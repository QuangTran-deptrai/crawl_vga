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crawlVGA\"/>
    </mc:Choice>
  </mc:AlternateContent>
  <xr:revisionPtr revIDLastSave="0" documentId="13_ncr:1_{88F13E5B-17AE-46A0-BF37-17BC794ECEDE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  <workbookView xWindow="-19310" yWindow="-110" windowWidth="19420" windowHeight="11020" xr2:uid="{8B073BE8-E186-49A5-94FB-08EE197BD8F3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5" i="1" l="1"/>
  <c r="G545" i="1"/>
  <c r="G544" i="1"/>
  <c r="G543" i="1"/>
  <c r="G542" i="1"/>
  <c r="G541" i="1"/>
  <c r="H540" i="1"/>
  <c r="G540" i="1"/>
  <c r="H539" i="1"/>
  <c r="G539" i="1"/>
  <c r="H538" i="1"/>
  <c r="G538" i="1"/>
  <c r="H537" i="1"/>
  <c r="G537" i="1"/>
  <c r="G536" i="1"/>
  <c r="G535" i="1"/>
  <c r="G534" i="1"/>
  <c r="G533" i="1"/>
  <c r="H532" i="1"/>
  <c r="G532" i="1"/>
  <c r="G531" i="1"/>
  <c r="H530" i="1"/>
  <c r="G530" i="1"/>
  <c r="G529" i="1"/>
  <c r="G528" i="1"/>
  <c r="H527" i="1"/>
  <c r="G527" i="1"/>
  <c r="I526" i="1"/>
  <c r="H526" i="1"/>
  <c r="G526" i="1"/>
  <c r="G525" i="1"/>
  <c r="H524" i="1"/>
  <c r="G524" i="1"/>
  <c r="H523" i="1"/>
  <c r="G523" i="1"/>
  <c r="H522" i="1"/>
  <c r="G522" i="1"/>
  <c r="G521" i="1"/>
  <c r="G520" i="1"/>
  <c r="H519" i="1"/>
  <c r="G519" i="1"/>
  <c r="H518" i="1"/>
  <c r="G518" i="1"/>
  <c r="H517" i="1"/>
  <c r="G517" i="1"/>
  <c r="H516" i="1"/>
  <c r="G515" i="1"/>
  <c r="I514" i="1"/>
  <c r="G514" i="1"/>
  <c r="G513" i="1"/>
  <c r="H512" i="1"/>
  <c r="G512" i="1"/>
  <c r="G511" i="1"/>
  <c r="G510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G502" i="1"/>
  <c r="G501" i="1"/>
  <c r="G500" i="1"/>
  <c r="G499" i="1"/>
  <c r="H498" i="1"/>
  <c r="G498" i="1"/>
  <c r="H497" i="1"/>
  <c r="G497" i="1"/>
  <c r="I496" i="1"/>
  <c r="H496" i="1"/>
  <c r="G496" i="1"/>
  <c r="G495" i="1"/>
  <c r="H494" i="1"/>
  <c r="G494" i="1"/>
  <c r="I493" i="1"/>
  <c r="H493" i="1"/>
  <c r="G493" i="1"/>
  <c r="H492" i="1"/>
  <c r="G492" i="1"/>
  <c r="I491" i="1"/>
  <c r="H491" i="1"/>
  <c r="G491" i="1"/>
  <c r="H490" i="1"/>
  <c r="G490" i="1"/>
  <c r="G489" i="1"/>
  <c r="G488" i="1"/>
  <c r="G487" i="1"/>
  <c r="G486" i="1"/>
  <c r="G485" i="1"/>
  <c r="G484" i="1"/>
  <c r="H483" i="1"/>
  <c r="G483" i="1"/>
  <c r="H482" i="1"/>
  <c r="G482" i="1"/>
  <c r="H481" i="1"/>
  <c r="G481" i="1"/>
  <c r="I480" i="1"/>
  <c r="H480" i="1"/>
  <c r="G480" i="1"/>
  <c r="G479" i="1"/>
  <c r="G478" i="1"/>
  <c r="G477" i="1"/>
  <c r="G476" i="1"/>
  <c r="G475" i="1"/>
  <c r="H474" i="1"/>
  <c r="G474" i="1"/>
  <c r="H473" i="1"/>
  <c r="G473" i="1"/>
  <c r="G472" i="1"/>
  <c r="G471" i="1"/>
  <c r="H470" i="1"/>
  <c r="G470" i="1"/>
  <c r="G469" i="1"/>
  <c r="G468" i="1"/>
  <c r="H467" i="1"/>
  <c r="G467" i="1"/>
  <c r="H466" i="1"/>
  <c r="G466" i="1"/>
  <c r="I465" i="1"/>
  <c r="H465" i="1"/>
  <c r="G465" i="1"/>
  <c r="H464" i="1"/>
  <c r="G464" i="1"/>
  <c r="H463" i="1"/>
  <c r="G463" i="1"/>
  <c r="H462" i="1"/>
  <c r="G462" i="1"/>
  <c r="G461" i="1"/>
  <c r="G460" i="1"/>
  <c r="G459" i="1"/>
  <c r="H458" i="1"/>
  <c r="G458" i="1"/>
  <c r="H457" i="1"/>
  <c r="G457" i="1"/>
  <c r="G456" i="1"/>
  <c r="H455" i="1"/>
  <c r="G455" i="1"/>
  <c r="G454" i="1"/>
  <c r="H453" i="1"/>
  <c r="G453" i="1"/>
  <c r="H452" i="1"/>
  <c r="G452" i="1"/>
  <c r="G451" i="1"/>
  <c r="H450" i="1"/>
  <c r="G450" i="1"/>
  <c r="H449" i="1"/>
  <c r="G449" i="1"/>
  <c r="G448" i="1"/>
  <c r="H447" i="1"/>
  <c r="G447" i="1"/>
  <c r="H446" i="1"/>
  <c r="G446" i="1"/>
  <c r="G445" i="1"/>
  <c r="H444" i="1"/>
  <c r="G444" i="1"/>
  <c r="H443" i="1"/>
  <c r="G443" i="1"/>
  <c r="G442" i="1"/>
  <c r="G441" i="1"/>
  <c r="G440" i="1"/>
  <c r="H439" i="1"/>
  <c r="G439" i="1"/>
  <c r="G438" i="1"/>
  <c r="G437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G428" i="1"/>
  <c r="H427" i="1"/>
  <c r="G427" i="1"/>
  <c r="I426" i="1"/>
  <c r="H426" i="1"/>
  <c r="G426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I417" i="1"/>
  <c r="G417" i="1"/>
  <c r="H416" i="1"/>
  <c r="G416" i="1"/>
  <c r="I415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I398" i="1"/>
  <c r="H398" i="1"/>
  <c r="G398" i="1"/>
  <c r="H397" i="1"/>
  <c r="G397" i="1"/>
  <c r="H396" i="1"/>
  <c r="G396" i="1"/>
  <c r="H395" i="1"/>
  <c r="G395" i="1"/>
  <c r="H394" i="1"/>
  <c r="G394" i="1"/>
  <c r="I393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G356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G340" i="1"/>
  <c r="I339" i="1"/>
  <c r="G339" i="1"/>
  <c r="I338" i="1"/>
  <c r="G338" i="1"/>
  <c r="I337" i="1"/>
  <c r="G337" i="1"/>
  <c r="G336" i="1"/>
  <c r="G335" i="1"/>
  <c r="H334" i="1"/>
  <c r="G334" i="1"/>
  <c r="I333" i="1"/>
  <c r="G333" i="1"/>
  <c r="I332" i="1"/>
  <c r="G332" i="1"/>
  <c r="I331" i="1"/>
  <c r="G331" i="1"/>
  <c r="G330" i="1"/>
  <c r="I329" i="1"/>
  <c r="H329" i="1"/>
  <c r="G329" i="1"/>
  <c r="I328" i="1"/>
  <c r="G328" i="1"/>
  <c r="G327" i="1"/>
  <c r="G326" i="1"/>
  <c r="I325" i="1"/>
  <c r="G325" i="1"/>
  <c r="I324" i="1"/>
  <c r="G324" i="1"/>
  <c r="I323" i="1"/>
  <c r="G323" i="1"/>
  <c r="G322" i="1"/>
  <c r="G321" i="1"/>
  <c r="H320" i="1"/>
  <c r="G320" i="1"/>
  <c r="I319" i="1"/>
  <c r="H319" i="1"/>
  <c r="G319" i="1"/>
  <c r="G318" i="1"/>
  <c r="G317" i="1"/>
  <c r="H316" i="1"/>
  <c r="G316" i="1"/>
  <c r="I315" i="1"/>
  <c r="H315" i="1"/>
  <c r="G315" i="1"/>
  <c r="H314" i="1"/>
  <c r="G314" i="1"/>
  <c r="G313" i="1"/>
  <c r="G312" i="1"/>
  <c r="I311" i="1"/>
  <c r="G311" i="1"/>
  <c r="I310" i="1"/>
  <c r="G310" i="1"/>
  <c r="G309" i="1"/>
  <c r="G308" i="1"/>
  <c r="G307" i="1"/>
  <c r="I306" i="1"/>
  <c r="G306" i="1"/>
  <c r="I305" i="1"/>
  <c r="G305" i="1"/>
  <c r="I304" i="1"/>
  <c r="G304" i="1"/>
  <c r="I303" i="1"/>
  <c r="H303" i="1"/>
  <c r="G303" i="1"/>
  <c r="G302" i="1"/>
  <c r="I301" i="1"/>
  <c r="G301" i="1"/>
  <c r="I300" i="1"/>
  <c r="G300" i="1"/>
  <c r="G299" i="1"/>
  <c r="G298" i="1"/>
  <c r="G297" i="1"/>
  <c r="G296" i="1"/>
  <c r="I295" i="1"/>
  <c r="H295" i="1"/>
  <c r="G295" i="1"/>
  <c r="I294" i="1"/>
  <c r="G294" i="1"/>
  <c r="I293" i="1"/>
  <c r="G293" i="1"/>
  <c r="I292" i="1"/>
  <c r="G292" i="1"/>
  <c r="I291" i="1"/>
  <c r="H291" i="1"/>
  <c r="G291" i="1"/>
  <c r="I290" i="1"/>
  <c r="H290" i="1"/>
  <c r="G290" i="1"/>
  <c r="G289" i="1"/>
  <c r="H288" i="1"/>
  <c r="G288" i="1"/>
  <c r="H287" i="1"/>
  <c r="G287" i="1"/>
  <c r="G286" i="1"/>
  <c r="H285" i="1"/>
  <c r="G285" i="1"/>
  <c r="I284" i="1"/>
  <c r="G284" i="1"/>
  <c r="I283" i="1"/>
  <c r="G283" i="1"/>
  <c r="I282" i="1"/>
  <c r="G282" i="1"/>
  <c r="I281" i="1"/>
  <c r="G281" i="1"/>
  <c r="G280" i="1"/>
  <c r="G279" i="1"/>
  <c r="G278" i="1"/>
  <c r="G277" i="1"/>
  <c r="G276" i="1"/>
  <c r="I275" i="1"/>
  <c r="G275" i="1"/>
  <c r="I274" i="1"/>
  <c r="G274" i="1"/>
  <c r="I273" i="1"/>
  <c r="H273" i="1"/>
  <c r="G273" i="1"/>
  <c r="I272" i="1"/>
  <c r="G272" i="1"/>
  <c r="G271" i="1"/>
  <c r="G270" i="1"/>
  <c r="G269" i="1"/>
  <c r="H268" i="1"/>
  <c r="G268" i="1"/>
  <c r="G267" i="1"/>
  <c r="I266" i="1"/>
  <c r="G266" i="1"/>
  <c r="G265" i="1"/>
  <c r="G264" i="1"/>
  <c r="G263" i="1"/>
  <c r="G262" i="1"/>
  <c r="G261" i="1"/>
  <c r="G260" i="1"/>
  <c r="G259" i="1"/>
  <c r="I258" i="1"/>
  <c r="G258" i="1"/>
  <c r="I257" i="1"/>
  <c r="G257" i="1"/>
  <c r="I256" i="1"/>
  <c r="G256" i="1"/>
  <c r="I255" i="1"/>
  <c r="G255" i="1"/>
  <c r="G254" i="1"/>
  <c r="G253" i="1"/>
  <c r="G252" i="1"/>
  <c r="I251" i="1"/>
  <c r="G251" i="1"/>
  <c r="I250" i="1"/>
  <c r="G250" i="1"/>
  <c r="I249" i="1"/>
  <c r="G249" i="1"/>
  <c r="G248" i="1"/>
  <c r="G247" i="1"/>
  <c r="G246" i="1"/>
  <c r="I245" i="1"/>
  <c r="G245" i="1"/>
  <c r="G244" i="1"/>
  <c r="G243" i="1"/>
  <c r="I242" i="1"/>
  <c r="H242" i="1"/>
  <c r="G242" i="1"/>
  <c r="I241" i="1"/>
  <c r="H241" i="1"/>
  <c r="G241" i="1"/>
  <c r="H240" i="1"/>
  <c r="G240" i="1"/>
  <c r="I239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G233" i="1"/>
  <c r="G232" i="1"/>
  <c r="H231" i="1"/>
  <c r="G231" i="1"/>
  <c r="G230" i="1"/>
  <c r="I229" i="1"/>
  <c r="H229" i="1"/>
  <c r="G229" i="1"/>
  <c r="H228" i="1"/>
  <c r="G228" i="1"/>
  <c r="H227" i="1"/>
  <c r="G227" i="1"/>
  <c r="I226" i="1"/>
  <c r="G226" i="1"/>
  <c r="I225" i="1"/>
  <c r="G225" i="1"/>
  <c r="H224" i="1"/>
  <c r="G224" i="1"/>
  <c r="H223" i="1"/>
  <c r="G223" i="1"/>
  <c r="H222" i="1"/>
  <c r="G222" i="1"/>
  <c r="G221" i="1"/>
  <c r="G220" i="1"/>
  <c r="H219" i="1"/>
  <c r="G219" i="1"/>
  <c r="H218" i="1"/>
  <c r="G218" i="1"/>
  <c r="I217" i="1"/>
  <c r="H217" i="1"/>
  <c r="G217" i="1"/>
  <c r="G216" i="1"/>
  <c r="I215" i="1"/>
  <c r="H215" i="1"/>
  <c r="G215" i="1"/>
  <c r="G214" i="1"/>
  <c r="I213" i="1"/>
  <c r="H213" i="1"/>
  <c r="G213" i="1"/>
  <c r="H212" i="1"/>
  <c r="G212" i="1"/>
  <c r="H211" i="1"/>
  <c r="G211" i="1"/>
  <c r="H210" i="1"/>
  <c r="G210" i="1"/>
  <c r="H209" i="1"/>
  <c r="G209" i="1"/>
  <c r="G208" i="1"/>
  <c r="H207" i="1"/>
  <c r="G207" i="1"/>
  <c r="I206" i="1"/>
  <c r="H206" i="1"/>
  <c r="G206" i="1"/>
  <c r="H205" i="1"/>
  <c r="G205" i="1"/>
  <c r="H204" i="1"/>
  <c r="G204" i="1"/>
  <c r="H203" i="1"/>
  <c r="G203" i="1"/>
  <c r="H202" i="1"/>
  <c r="G202" i="1"/>
  <c r="G201" i="1"/>
  <c r="G200" i="1"/>
  <c r="G199" i="1"/>
  <c r="G198" i="1"/>
  <c r="G197" i="1"/>
  <c r="G196" i="1"/>
  <c r="H195" i="1"/>
  <c r="G195" i="1"/>
  <c r="G194" i="1"/>
  <c r="G193" i="1"/>
  <c r="G192" i="1"/>
  <c r="G191" i="1"/>
  <c r="G190" i="1"/>
  <c r="G189" i="1"/>
  <c r="G188" i="1"/>
  <c r="H187" i="1"/>
  <c r="G187" i="1"/>
  <c r="H186" i="1"/>
  <c r="G186" i="1"/>
  <c r="H185" i="1"/>
  <c r="G185" i="1"/>
  <c r="G184" i="1"/>
  <c r="G183" i="1"/>
  <c r="H182" i="1"/>
  <c r="G182" i="1"/>
  <c r="H181" i="1"/>
  <c r="G181" i="1"/>
  <c r="G180" i="1"/>
  <c r="H179" i="1"/>
  <c r="G179" i="1"/>
  <c r="I178" i="1"/>
  <c r="G178" i="1"/>
  <c r="G177" i="1"/>
  <c r="G176" i="1"/>
  <c r="H175" i="1"/>
  <c r="G174" i="1"/>
  <c r="G173" i="1"/>
  <c r="G172" i="1"/>
  <c r="I171" i="1"/>
  <c r="H171" i="1"/>
  <c r="G171" i="1"/>
  <c r="I170" i="1"/>
  <c r="H170" i="1"/>
  <c r="G170" i="1"/>
  <c r="I169" i="1"/>
  <c r="H169" i="1"/>
  <c r="G169" i="1"/>
  <c r="G168" i="1"/>
  <c r="I167" i="1"/>
  <c r="H167" i="1"/>
  <c r="G167" i="1"/>
  <c r="H166" i="1"/>
  <c r="G166" i="1"/>
  <c r="H165" i="1"/>
  <c r="G165" i="1"/>
  <c r="G164" i="1"/>
  <c r="H163" i="1"/>
  <c r="G163" i="1"/>
  <c r="H162" i="1"/>
  <c r="G162" i="1"/>
  <c r="H161" i="1"/>
  <c r="G161" i="1"/>
  <c r="G160" i="1"/>
  <c r="G159" i="1"/>
  <c r="G158" i="1"/>
  <c r="H157" i="1"/>
  <c r="G157" i="1"/>
  <c r="G156" i="1"/>
  <c r="H155" i="1"/>
  <c r="G155" i="1"/>
  <c r="H154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<sst xmlns="http://schemas.openxmlformats.org/spreadsheetml/2006/main" count="3149" uniqueCount="1134">
  <si>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</si>
  <si>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</si>
  <si>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</si>
  <si>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</si>
  <si>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</si>
  <si>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</si>
  <si>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</si>
  <si>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</si>
  <si>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</si>
  <si>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</si>
  <si>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</si>
  <si>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</si>
  <si>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</si>
  <si>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Card màn hình MSI GeForce RTX 5070 Ti 16GB Shadow 3X OC</t>
  </si>
  <si>
    <t>https://gearvn.com/products/card-man-hinh-msi-geforce-rtx-5070-ti-16gb-shadow-3x-oc</t>
  </si>
  <si>
    <t>Card màn hình MSI GeForce RTX 5090 LIGHTNING Z 32GB</t>
  </si>
  <si>
    <t>https://gearvn.com/products/card-man-hinh-msi-geforce-rtx-5090-lightning-z-32gb</t>
  </si>
  <si>
    <t>Card màn hình Gigabyte GeForce RTX 5060 Windforce Max OC 8GB</t>
  </si>
  <si>
    <t>https://gearvn.com/products/card-man-hinh-gigabyte-geforce-rtx-5060-windforce-max-oc-8gb</t>
  </si>
  <si>
    <t>Card màn hình Zotac GEFORCE RTX 5050 TWIN EDGE OC 8GB GDDR6</t>
  </si>
  <si>
    <t>https://gearvn.com/products/card-man-hinh-zotac-geforce-rtx-5050-twin-edge-oc-8gb-gddr6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</si>
  <si>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</si>
  <si>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</si>
  <si>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</si>
  <si>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</si>
  <si>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</si>
  <si>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</si>
  <si>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</si>
  <si>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</si>
  <si>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</si>
  <si>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</si>
  <si>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</si>
  <si>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</si>
  <si>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</si>
  <si>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</si>
  <si>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</si>
  <si>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</si>
  <si>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</si>
  <si>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</si>
  <si>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</si>
  <si>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</si>
  <si>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</si>
  <si>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</si>
  <si>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</si>
  <si>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</si>
  <si>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</si>
  <si>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</si>
  <si>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</si>
  <si>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</si>
  <si>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</si>
  <si>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</si>
  <si>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</si>
  <si>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</si>
  <si>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</si>
  <si>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</si>
  <si>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</si>
  <si>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</si>
  <si>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</si>
  <si>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</si>
  <si>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</si>
  <si>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</si>
  <si>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</si>
  <si>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</si>
  <si>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</si>
  <si>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</si>
  <si>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</si>
  <si>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</si>
  <si>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</si>
  <si>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</si>
  <si>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</si>
  <si>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</si>
  <si>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</si>
  <si>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</si>
  <si>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</si>
  <si>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</si>
  <si>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</si>
  <si>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</si>
  <si>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</si>
  <si>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</si>
  <si>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</si>
  <si>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</si>
  <si>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</si>
  <si>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</si>
  <si>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</si>
  <si>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</si>
  <si>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</si>
  <si>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</si>
  <si>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</si>
  <si>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</si>
  <si>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</si>
  <si>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</si>
  <si>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</si>
  <si>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</si>
  <si>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</si>
  <si>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</si>
  <si>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</si>
  <si>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</si>
  <si>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</si>
  <si>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</si>
  <si>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</si>
  <si>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</si>
  <si>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</si>
  <si>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</si>
  <si>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</si>
  <si>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</si>
  <si>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</si>
  <si>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</si>
  <si>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</si>
  <si>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</si>
  <si>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</si>
  <si>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</si>
  <si>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</si>
  <si>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</si>
  <si>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</si>
  <si>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</si>
  <si>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</si>
  <si>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</si>
  <si>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</si>
  <si>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</si>
  <si>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</si>
  <si>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</si>
  <si>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</si>
  <si>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</si>
  <si>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</si>
  <si>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</si>
  <si>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</si>
  <si>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</si>
  <si>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</si>
  <si>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</si>
  <si>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</si>
  <si>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</si>
  <si>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</si>
  <si>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</si>
  <si>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</si>
  <si>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</si>
  <si>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</si>
  <si>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</si>
  <si>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</si>
  <si>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</si>
  <si>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</si>
  <si>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</si>
  <si>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</si>
  <si>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</si>
  <si>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</si>
  <si>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</si>
  <si>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</si>
  <si>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</si>
  <si>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</si>
  <si>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</si>
  <si>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</si>
  <si>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</si>
  <si>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</si>
  <si>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</si>
  <si>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</si>
  <si>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</si>
  <si>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</si>
  <si>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</si>
  <si>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</si>
  <si>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</si>
  <si>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</si>
  <si>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</si>
  <si>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</si>
  <si>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</si>
  <si>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</si>
  <si>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</si>
  <si>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</si>
  <si>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</si>
  <si>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</si>
  <si>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</si>
  <si>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</si>
  <si>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</si>
  <si>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</si>
  <si>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</si>
  <si>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</si>
  <si>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</si>
  <si>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</si>
  <si>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</si>
  <si>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</si>
  <si>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</si>
  <si>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</si>
  <si>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</si>
  <si>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</si>
  <si>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</si>
  <si>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</si>
  <si>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</si>
  <si>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</si>
  <si>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</si>
  <si>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</si>
  <si>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</si>
  <si>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</si>
  <si>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</si>
  <si>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</si>
  <si>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</si>
  <si>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</si>
  <si>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</si>
  <si>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</si>
  <si>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</si>
  <si>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</si>
  <si>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</si>
  <si>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</si>
  <si>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</si>
  <si>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</si>
  <si>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</si>
  <si>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</si>
  <si>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</si>
  <si>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</si>
  <si>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</si>
  <si>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</si>
  <si>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</si>
  <si>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</si>
  <si>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</si>
  <si>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</si>
  <si>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</si>
  <si>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</si>
  <si>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</si>
  <si>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</si>
  <si>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</si>
  <si>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</si>
  <si>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</si>
  <si>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</si>
  <si>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</si>
  <si>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</si>
  <si>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</si>
  <si>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</si>
  <si>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</si>
  <si>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</si>
  <si>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</si>
  <si>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</si>
  <si>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</si>
  <si>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</si>
  <si>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</si>
  <si>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</si>
  <si>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</si>
  <si>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</si>
  <si>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</si>
  <si>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</si>
  <si>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</si>
  <si>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</si>
  <si>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</si>
  <si>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</si>
  <si>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</si>
  <si>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</si>
  <si>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</si>
  <si>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</si>
  <si>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</si>
  <si>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</si>
  <si>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</si>
  <si>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</si>
  <si>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</si>
  <si>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</si>
  <si>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</si>
  <si>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</si>
  <si>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</si>
  <si>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</si>
  <si>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</si>
  <si>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</si>
  <si>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</si>
  <si>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</si>
  <si>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</si>
  <si>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</si>
  <si>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</si>
  <si>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</si>
  <si>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</si>
  <si>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</si>
  <si>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</si>
  <si>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</si>
  <si>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</si>
  <si>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</si>
  <si>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</si>
  <si>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</si>
  <si>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</si>
  <si>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</si>
  <si>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</si>
  <si>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</si>
  <si>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</si>
  <si>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</si>
  <si>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</si>
  <si>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</si>
  <si>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</si>
  <si>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</si>
  <si>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</si>
  <si>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</si>
  <si>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</si>
  <si>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</si>
  <si>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</si>
  <si>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</si>
  <si>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</si>
  <si>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</si>
  <si>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</si>
  <si>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</si>
  <si>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</si>
  <si>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</si>
  <si>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</si>
  <si>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</si>
  <si>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</si>
  <si>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</si>
  <si>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</si>
  <si>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</si>
  <si>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</si>
  <si>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</si>
  <si>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</si>
  <si>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</si>
  <si>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</si>
  <si>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</si>
  <si>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</si>
  <si>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</si>
  <si>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</si>
  <si>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</si>
  <si>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</si>
  <si>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</si>
  <si>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</si>
  <si>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Card màn hình Zotac GEFORCE RTX 3050 TWIN EDGE OC 6GB GDDR6</t>
  </si>
  <si>
    <t>https://gearvn.com/products/card-man-hinh-zotac-geforce-rtx-3050-twin-edge-oc-6gb-gddr6</t>
  </si>
  <si>
    <t>Card màn hình GIGABYTE GeForce RTX 4070 SUPER WINDFORCE OC 12G (GV-N407SWF3OC-12GD)</t>
  </si>
  <si>
    <t>https://gearvn.com/products/card-man-hinh-gigabyte-geforce-rtx-4070-super-windforce-oc-12g</t>
  </si>
  <si>
    <t>Card màn hình GIGABYTE GeForce RTX 3060 WINDFORCE OC 12G V2 (GV-N3060WF2OC-12GD)</t>
  </si>
  <si>
    <t>https://gearvn.com/products/card-man-hinh-gigabyte-geforce-rtx-3060-windforce-oc-12g-v2-gv-n3060wf2oc-12gd</t>
  </si>
  <si>
    <t>Card màn hình ASUS Dual Radeon RX 6500 XT V2 OC Edition 4GB GDDR6 (DUAL-RX6500XT-O4G-V2)</t>
  </si>
  <si>
    <t>https://gearvn.com/products/card-man-hinh-asus-dual-radeon-rx6500-xt-v2-oc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</si>
  <si>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</si>
  <si>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</si>
  <si>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</si>
  <si>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</si>
  <si>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</si>
  <si>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</si>
  <si>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</si>
  <si>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</si>
  <si>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</si>
  <si>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</si>
  <si>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</si>
  <si>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</si>
  <si>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</si>
  <si>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</si>
  <si>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</si>
  <si>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</si>
  <si>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</si>
  <si>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</si>
  <si>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</si>
  <si>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</si>
  <si>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</si>
  <si>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</si>
  <si>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</si>
  <si>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</si>
  <si>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</si>
  <si>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</si>
  <si>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</si>
  <si>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</si>
  <si>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</si>
  <si>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</si>
  <si>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</si>
  <si>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</si>
  <si>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</si>
  <si>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</si>
  <si>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</si>
  <si>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</si>
  <si>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</si>
  <si>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</si>
  <si>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</si>
  <si>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</si>
  <si>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</si>
  <si>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</si>
  <si>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</si>
  <si>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</si>
  <si>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</si>
  <si>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</si>
  <si>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</si>
  <si>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</si>
  <si>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</si>
  <si>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</si>
  <si>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</si>
  <si>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</si>
  <si>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</si>
  <si>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</si>
  <si>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</si>
  <si>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</si>
  <si>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</si>
  <si>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</si>
  <si>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</si>
  <si>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</si>
  <si>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</si>
  <si>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</si>
  <si>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</si>
  <si>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</si>
  <si>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</si>
  <si>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</si>
  <si>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</si>
  <si>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</si>
  <si>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</si>
  <si>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</si>
  <si>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</si>
  <si>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</si>
  <si>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</si>
  <si>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</si>
  <si>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</si>
  <si>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</si>
  <si>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</si>
  <si>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</si>
  <si>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</si>
  <si>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</si>
  <si>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</si>
  <si>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</si>
  <si>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</si>
  <si>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</si>
  <si>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</si>
  <si>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</si>
  <si>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</si>
  <si>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</si>
  <si>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</si>
  <si>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</si>
  <si>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</si>
  <si>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</si>
  <si>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</si>
  <si>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</si>
  <si>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</si>
  <si>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</si>
  <si>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</si>
  <si>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</si>
  <si>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</si>
  <si>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</si>
  <si>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</si>
  <si>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</si>
  <si>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</si>
  <si>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</si>
  <si>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</si>
  <si>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</si>
  <si>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</si>
  <si>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</si>
  <si>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</si>
  <si>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</si>
  <si>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</si>
  <si>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</si>
  <si>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</si>
  <si>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</si>
  <si>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</si>
  <si>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</si>
  <si>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</si>
  <si>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</si>
  <si>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</si>
  <si>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</si>
  <si>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</si>
  <si>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</si>
  <si>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</si>
  <si>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</si>
  <si>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</si>
  <si>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</si>
  <si>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</si>
  <si>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</si>
  <si>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</si>
  <si>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</si>
  <si>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</si>
  <si>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</si>
  <si>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</si>
  <si>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</si>
  <si>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</si>
  <si>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</si>
  <si>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</si>
  <si>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</si>
  <si>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</si>
  <si>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</si>
  <si>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</si>
  <si>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</si>
  <si>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</si>
  <si>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</si>
  <si>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</si>
  <si>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</si>
  <si>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</si>
  <si>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</si>
  <si>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</si>
  <si>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</si>
  <si>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</si>
  <si>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</si>
  <si>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</si>
  <si>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</si>
  <si>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</si>
  <si>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</si>
  <si>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</si>
  <si>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</si>
  <si>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</si>
  <si>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</si>
  <si>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</si>
  <si>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</si>
  <si>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</si>
  <si>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</si>
  <si>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</si>
  <si>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</si>
  <si>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</si>
  <si>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</si>
  <si>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</si>
  <si>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</si>
  <si>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</si>
  <si>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</si>
  <si>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</si>
  <si>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</si>
  <si>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</si>
  <si>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</si>
  <si>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</si>
  <si>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</si>
  <si>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</si>
  <si>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</si>
  <si>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</si>
  <si>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</si>
  <si>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</si>
  <si>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</si>
  <si>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</si>
  <si>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</si>
  <si>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</si>
  <si>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</si>
  <si>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</si>
  <si>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</si>
  <si>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</si>
  <si>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</si>
  <si>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</si>
  <si>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</si>
  <si>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</si>
  <si>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</si>
  <si>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</si>
  <si>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</si>
  <si>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</si>
  <si>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</si>
  <si>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</si>
  <si>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</si>
  <si>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</si>
  <si>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</si>
  <si>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</si>
  <si>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</si>
  <si>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</si>
  <si>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</si>
  <si>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</si>
  <si>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</si>
  <si>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</si>
  <si>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</si>
  <si>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</si>
  <si>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</si>
  <si>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</si>
  <si>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</si>
  <si>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</si>
  <si>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</si>
  <si>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</si>
  <si>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</si>
  <si>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</si>
  <si>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</si>
  <si>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</si>
  <si>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</si>
  <si>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</si>
  <si>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</si>
  <si>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</si>
  <si>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</si>
  <si>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</si>
  <si>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</si>
  <si>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</si>
  <si>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</si>
  <si>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</si>
  <si>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</si>
  <si>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</si>
  <si>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</si>
  <si>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</si>
  <si>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</si>
  <si>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</si>
  <si>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</si>
  <si>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</si>
  <si>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</si>
  <si>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</si>
  <si>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</si>
  <si>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</si>
  <si>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</si>
  <si>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</si>
  <si>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</si>
  <si>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</si>
  <si>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</si>
  <si>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</si>
  <si>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</si>
  <si>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</si>
  <si>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</si>
  <si>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</si>
  <si>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</si>
  <si>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</si>
  <si>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</si>
  <si>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</si>
  <si>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</si>
  <si>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</si>
  <si>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</si>
  <si>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</si>
  <si>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</si>
  <si>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</si>
  <si>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</si>
  <si>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</si>
  <si>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</si>
  <si>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</si>
  <si>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</si>
  <si>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</si>
  <si>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</si>
  <si>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</si>
  <si>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</si>
  <si>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</si>
  <si>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</si>
  <si>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</si>
  <si>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</si>
  <si>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</si>
  <si>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</si>
  <si>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</si>
  <si>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</si>
  <si>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</si>
  <si>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</si>
  <si>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</si>
  <si>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</si>
  <si>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</si>
  <si>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</si>
  <si>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</si>
  <si>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</si>
  <si>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</si>
  <si>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</si>
  <si>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</si>
  <si>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</si>
  <si>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</si>
  <si>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</si>
  <si>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</si>
  <si>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</si>
  <si>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</si>
  <si>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</si>
  <si>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</si>
  <si>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</si>
  <si>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</si>
  <si>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</si>
  <si>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</si>
  <si>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</si>
  <si>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</si>
  <si>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</si>
  <si>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</si>
  <si>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</si>
  <si>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</si>
  <si>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</si>
  <si>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</si>
  <si>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</si>
  <si>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</si>
  <si>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</si>
  <si>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</si>
  <si>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</si>
  <si>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</si>
  <si>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</si>
  <si>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</si>
  <si>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</si>
  <si>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</si>
  <si>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</si>
  <si>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</si>
  <si>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</si>
  <si>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</si>
  <si>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</si>
  <si>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</si>
  <si>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</si>
  <si>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</si>
  <si>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</si>
  <si>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</si>
  <si>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</si>
  <si>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</si>
  <si>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</si>
  <si>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</si>
  <si>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</si>
  <si>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</si>
  <si>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</si>
  <si>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</si>
  <si>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</si>
  <si>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</si>
  <si>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</si>
  <si>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</si>
  <si>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</si>
  <si>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</si>
  <si>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</si>
  <si>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</si>
  <si>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</si>
  <si>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</si>
  <si>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</si>
  <si>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</si>
  <si>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</si>
  <si>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</si>
  <si>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</si>
  <si>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</si>
  <si>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</si>
  <si>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</si>
  <si>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</si>
  <si>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</si>
  <si>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</si>
  <si>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</si>
  <si>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</si>
  <si>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</si>
  <si>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</si>
  <si>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</si>
  <si>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</si>
  <si>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</si>
  <si>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</si>
  <si>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</si>
  <si>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</si>
  <si>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</si>
  <si>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</si>
  <si>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</si>
  <si>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</si>
  <si>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</si>
  <si>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</si>
  <si>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</si>
  <si>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</si>
  <si>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</si>
  <si>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</si>
  <si>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</si>
  <si>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</si>
  <si>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</si>
  <si>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</si>
  <si>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</si>
  <si>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</si>
  <si>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</si>
  <si>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</si>
  <si>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</si>
  <si>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</si>
  <si>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</si>
  <si>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</si>
  <si>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</si>
  <si>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</si>
  <si>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</si>
  <si>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</si>
  <si>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</si>
  <si>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</si>
  <si>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</si>
  <si>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</si>
  <si>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</si>
  <si>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</si>
  <si>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</si>
  <si>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</si>
  <si>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</si>
  <si>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</si>
  <si>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</si>
  <si>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</si>
  <si>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</si>
  <si>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</si>
  <si>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</si>
  <si>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</si>
  <si>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</si>
  <si>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</si>
  <si>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</si>
  <si>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</si>
  <si>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</si>
  <si>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</si>
  <si>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</si>
  <si>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</si>
  <si>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</si>
  <si>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</si>
  <si>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</si>
  <si>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</si>
  <si>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</si>
  <si>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</si>
  <si>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</si>
  <si>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</si>
  <si>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</si>
  <si>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</si>
  <si>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</si>
  <si>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</si>
  <si>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</si>
  <si>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</si>
  <si>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</si>
  <si>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</si>
  <si>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</si>
  <si>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</si>
  <si>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</si>
  <si>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</si>
  <si>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</si>
  <si>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</si>
  <si>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</si>
  <si>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</si>
  <si>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</si>
  <si>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</si>
  <si>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</si>
  <si>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</si>
  <si>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</si>
  <si>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</si>
  <si>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</si>
  <si>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</si>
  <si>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</si>
  <si>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</si>
  <si>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</si>
  <si>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</si>
  <si>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</si>
  <si>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</si>
  <si>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</si>
  <si>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</si>
  <si>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</si>
  <si>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</si>
  <si>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</si>
  <si>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</si>
  <si>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</si>
  <si>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</si>
  <si>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</si>
  <si>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</si>
  <si>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</si>
  <si>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</si>
  <si>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</si>
  <si>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</si>
  <si>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</si>
  <si>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</si>
  <si>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</si>
  <si>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</si>
  <si>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</si>
  <si>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</si>
  <si>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</si>
  <si>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</si>
  <si>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</si>
  <si>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</si>
  <si>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</si>
  <si>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</si>
  <si>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</si>
  <si>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</si>
  <si>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</si>
  <si>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</si>
  <si>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</si>
  <si>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</si>
  <si>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</si>
  <si>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</si>
  <si>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</si>
  <si>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</si>
  <si>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</si>
  <si>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</si>
  <si>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</si>
  <si>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</si>
  <si>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</si>
  <si>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</si>
  <si>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</si>
  <si>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</si>
  <si>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</si>
  <si>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</si>
  <si>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</si>
  <si>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</si>
  <si>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</si>
  <si>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</si>
  <si>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</si>
  <si>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</si>
  <si>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</si>
  <si>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</si>
  <si>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</si>
  <si>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</si>
  <si>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</si>
  <si>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</si>
  <si>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</si>
  <si>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</si>
  <si>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</si>
  <si>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</si>
  <si>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</si>
  <si>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</si>
  <si>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</si>
  <si>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</si>
  <si>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</si>
  <si>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</si>
  <si>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</si>
  <si>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</si>
  <si>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</si>
  <si>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</si>
  <si>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</si>
  <si>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</si>
  <si>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</si>
  <si>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</si>
  <si>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</si>
  <si>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</si>
  <si>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</si>
  <si>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</si>
  <si>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</si>
  <si>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</si>
  <si>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</si>
  <si>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</si>
  <si>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</si>
  <si>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</si>
  <si>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</si>
  <si>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</si>
  <si>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</si>
  <si>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</si>
  <si>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</si>
  <si>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</si>
  <si>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</si>
  <si>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</si>
  <si>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</si>
  <si>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</si>
  <si>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</si>
  <si>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</si>
  <si>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</si>
  <si>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</si>
  <si>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</si>
  <si>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</si>
  <si>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</si>
  <si>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</si>
  <si>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</si>
  <si>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</si>
  <si>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</si>
  <si>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</si>
  <si>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</si>
  <si>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</si>
  <si>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</si>
  <si>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</si>
  <si>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</si>
  <si>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</si>
  <si>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</si>
  <si>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</si>
  <si>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</si>
  <si>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</si>
  <si>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</si>
  <si>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</si>
  <si>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</si>
  <si>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</si>
  <si>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</si>
  <si>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</si>
  <si>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</si>
  <si>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</si>
  <si>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</si>
  <si>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</si>
  <si>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</si>
  <si>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</si>
  <si>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</si>
  <si>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</si>
  <si>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</si>
  <si>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</si>
  <si>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</si>
  <si>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</si>
  <si>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</si>
  <si>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</si>
  <si>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</si>
  <si>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</si>
  <si>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</si>
  <si>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</si>
  <si>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</si>
  <si>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</si>
  <si>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</si>
  <si>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</si>
  <si>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</si>
  <si>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</si>
  <si>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</si>
  <si>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</si>
  <si>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</si>
  <si>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</si>
  <si>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</si>
  <si>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</si>
  <si>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</si>
  <si>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</si>
  <si>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</si>
  <si>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</si>
  <si>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</si>
  <si>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</si>
  <si>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</si>
  <si>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</si>
  <si>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</si>
  <si>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</si>
  <si>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</si>
  <si>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</si>
  <si>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</si>
  <si>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</si>
  <si>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</si>
  <si>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</si>
  <si>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</si>
  <si>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</si>
  <si>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</si>
  <si>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</si>
  <si>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</si>
  <si>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</si>
  <si>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</si>
  <si>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</si>
  <si>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</si>
  <si>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</si>
  <si>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</si>
  <si>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</si>
  <si>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</si>
  <si>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</si>
  <si>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</si>
  <si>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</si>
  <si>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</si>
  <si>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</si>
  <si>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</si>
  <si>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</si>
  <si>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</si>
  <si>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</si>
  <si>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</si>
  <si>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</si>
  <si>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</si>
  <si>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</si>
  <si>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</si>
  <si>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</si>
  <si>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</si>
  <si>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</si>
  <si>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</si>
  <si>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</si>
  <si>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</si>
  <si>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</si>
  <si>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</si>
  <si>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</si>
  <si>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</si>
  <si>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</si>
  <si>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</si>
  <si>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</si>
  <si>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</si>
  <si>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</si>
  <si>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</si>
  <si>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</si>
  <si>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</si>
  <si>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</si>
  <si>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</si>
  <si>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</si>
  <si>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</si>
  <si>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</si>
  <si>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</si>
  <si>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</si>
  <si>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</si>
  <si>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</si>
  <si>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</si>
  <si>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</si>
  <si>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</si>
  <si>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</si>
  <si>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</si>
  <si>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</si>
  <si>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</si>
  <si>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</si>
  <si>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</si>
  <si>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</si>
  <si>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</si>
  <si>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</si>
  <si>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</si>
  <si>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</si>
  <si>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</si>
  <si>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</si>
  <si>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</si>
  <si>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</si>
  <si>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</si>
  <si>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</si>
  <si>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</si>
  <si>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</si>
  <si>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</si>
  <si>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</si>
  <si>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</si>
  <si>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GPU brand text</t>
  </si>
  <si>
    <t>GPU brand</t>
  </si>
  <si>
    <t>Chipset text</t>
  </si>
  <si>
    <t>Chipset</t>
  </si>
  <si>
    <t>Video memory text</t>
  </si>
  <si>
    <t>Video memory</t>
  </si>
  <si>
    <t>ASUS</t>
  </si>
  <si>
    <t>RTX 3060</t>
  </si>
  <si>
    <t>8GB</t>
  </si>
  <si>
    <t>MSI</t>
  </si>
  <si>
    <t>ZOTAC</t>
  </si>
  <si>
    <t>Gigabyte</t>
  </si>
  <si>
    <t>Colorful</t>
  </si>
  <si>
    <t>SPARKLE</t>
  </si>
  <si>
    <t>INNO3D</t>
  </si>
  <si>
    <t>Leadtek</t>
  </si>
  <si>
    <t>EVGA</t>
  </si>
  <si>
    <t>Palit</t>
  </si>
  <si>
    <t>Manli</t>
  </si>
  <si>
    <t>ASRock</t>
  </si>
  <si>
    <t>ARK</t>
  </si>
  <si>
    <t>Unika</t>
  </si>
  <si>
    <t>T-WOLF</t>
  </si>
  <si>
    <t>Sapphire</t>
  </si>
  <si>
    <t>PNY</t>
  </si>
  <si>
    <t>SimorChip</t>
  </si>
  <si>
    <t>Nvidia</t>
  </si>
  <si>
    <t>GeForce RTX 5070</t>
  </si>
  <si>
    <t>GeForce RTX 5070 Ti</t>
  </si>
  <si>
    <t>GeForce RTX 3060</t>
  </si>
  <si>
    <t>GeForce RTX 3060 Ti</t>
  </si>
  <si>
    <t>GeForce RTX 5090</t>
  </si>
  <si>
    <t>GeForce RTX 5060</t>
  </si>
  <si>
    <t>GEFORCE RTX 5050</t>
  </si>
  <si>
    <t>GeForce RTX 5060 Ti</t>
  </si>
  <si>
    <t>GeForce RTX 5080</t>
  </si>
  <si>
    <t>GeForce RTX 3050</t>
  </si>
  <si>
    <t>GeForce RTX 4070 SUPER</t>
  </si>
  <si>
    <t>RX 6500 XT</t>
  </si>
  <si>
    <t>GeForce RTX 4060</t>
  </si>
  <si>
    <t>RX 7600</t>
  </si>
  <si>
    <t>GeForce RTX 4080 SUPER</t>
  </si>
  <si>
    <t>GeForce GTX 1650</t>
  </si>
  <si>
    <t>RX 9070</t>
  </si>
  <si>
    <t>GeForce RTX 4090</t>
  </si>
  <si>
    <t>RX 6600</t>
  </si>
  <si>
    <t>GeForce RTX 4070 Ti SUPER</t>
  </si>
  <si>
    <t>GeForce RTX 4070</t>
  </si>
  <si>
    <t>GeForce GTX 1660 SUPER</t>
  </si>
  <si>
    <t>GeForce RTX 2060</t>
  </si>
  <si>
    <t>GeForce GTX 1660</t>
  </si>
  <si>
    <t xml:space="preserve"> GTX 1660 Super</t>
  </si>
  <si>
    <t>GeForce RTX 3080 Ti</t>
  </si>
  <si>
    <t>RTX 2060</t>
  </si>
  <si>
    <t>GeForce GT 730</t>
  </si>
  <si>
    <t>GTX 1650</t>
  </si>
  <si>
    <t>GeForce RTX 4080</t>
  </si>
  <si>
    <t>GeForce GT 1030</t>
  </si>
  <si>
    <t>GeForce RTX™ 5060 Ti</t>
  </si>
  <si>
    <t>GT 1030</t>
  </si>
  <si>
    <t>RX 9060 XT</t>
  </si>
  <si>
    <t>RTX 5050</t>
  </si>
  <si>
    <t>RX550</t>
  </si>
  <si>
    <t>RX 550</t>
  </si>
  <si>
    <t>RTX 5070</t>
  </si>
  <si>
    <t>RX560</t>
  </si>
  <si>
    <t>RX 560</t>
  </si>
  <si>
    <t>RX 9060XT</t>
  </si>
  <si>
    <t>RX 580</t>
  </si>
  <si>
    <t>GeForce GT 710</t>
  </si>
  <si>
    <t>RTX 5060 Ti</t>
  </si>
  <si>
    <t>RTX A1000</t>
  </si>
  <si>
    <t>RTX™ 5080</t>
  </si>
  <si>
    <t>RTX 5080</t>
  </si>
  <si>
    <t>RX 6900 XT</t>
  </si>
  <si>
    <t>RX7900XTX</t>
  </si>
  <si>
    <t>RX 7900XTX</t>
  </si>
  <si>
    <t>GeForce GTX 1060</t>
  </si>
  <si>
    <t>RTX 4000</t>
  </si>
  <si>
    <t>GeForce GTX 1050</t>
  </si>
  <si>
    <t>NVIDIA T1000</t>
  </si>
  <si>
    <t>RTX A400</t>
  </si>
  <si>
    <t>GeForce RTX™ 5060</t>
  </si>
  <si>
    <t>Intel Arc B580</t>
  </si>
  <si>
    <t>GeForce RTX 4080 SUPER XTREME</t>
  </si>
  <si>
    <t>GeForce RTX 4080 SUPER XT</t>
  </si>
  <si>
    <t>16GB</t>
  </si>
  <si>
    <t>ZT-B50700J-10P</t>
  </si>
  <si>
    <t>12GB</t>
  </si>
  <si>
    <t>32GB</t>
  </si>
  <si>
    <t>16G</t>
  </si>
  <si>
    <t>12G</t>
  </si>
  <si>
    <t>32G</t>
  </si>
  <si>
    <t>ZT-B50700FQ-10P</t>
  </si>
  <si>
    <t>8G</t>
  </si>
  <si>
    <t>6GB</t>
  </si>
  <si>
    <t>4GB</t>
  </si>
  <si>
    <t>6G</t>
  </si>
  <si>
    <t>24G</t>
  </si>
  <si>
    <t>24GB</t>
  </si>
  <si>
    <t>4G</t>
  </si>
  <si>
    <t>2G</t>
  </si>
  <si>
    <t>2GB</t>
  </si>
  <si>
    <t>3GB</t>
  </si>
  <si>
    <t>20GB</t>
  </si>
  <si>
    <t>16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</si>
</sst>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545">
  <autoFilter ref="A1:I545" xr:uid="{00000000-0009-0000-0100-000001000000}"/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5"/>
  <sheetViews>
    <sheetView workbookViewId="0"/>
    <sheetView tabSelected="1" topLeftCell="B1" zoomScale="80" zoomScaleNormal="80" workbookViewId="1">
      <selection activeCell="B10" sqref="B10"/>
    </sheetView>
  </sheetViews>
  <sheetFormatPr defaultRowHeight="15" x14ac:dyDescent="0.25"/>
  <cols>
    <col min="2" max="2" width="128.28515625" bestFit="1" customWidth="1"/>
    <col min="7" max="7" width="14.42578125" customWidth="1"/>
    <col min="8" max="8" width="23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1055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25">
      <c r="A3" t="s">
        <v>9</v>
      </c>
      <c r="B3" t="s">
        <v>13</v>
      </c>
      <c r="C3">
        <v>32990000</v>
      </c>
      <c r="D3">
        <v>31990000</v>
      </c>
      <c r="E3" t="s">
        <v>14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1056</v>
      </c>
      <c r="I3" t="s">
        <v>1114</v>
      </c>
    </row>
    <row r="4" spans="1:9" x14ac:dyDescent="0.25">
      <c r="A4" t="s">
        <v>9</v>
      </c>
      <c r="B4" t="s">
        <v>15</v>
      </c>
      <c r="C4">
        <v>209990000</v>
      </c>
      <c r="D4">
        <v>199990000</v>
      </c>
      <c r="E4" t="s">
        <v>16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1117</v>
      </c>
    </row>
    <row r="5" spans="1:9" x14ac:dyDescent="0.25">
      <c r="A5" t="s">
        <v>9</v>
      </c>
      <c r="B5" t="s">
        <v>17</v>
      </c>
      <c r="C5">
        <v>11990000</v>
      </c>
      <c r="D5">
        <v>11490000</v>
      </c>
      <c r="E5" t="s">
        <v>18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1036</v>
      </c>
    </row>
    <row r="6" spans="1:9" x14ac:dyDescent="0.25">
      <c r="A6" t="s">
        <v>9</v>
      </c>
      <c r="B6" t="s">
        <v>19</v>
      </c>
      <c r="C6">
        <v>9490000</v>
      </c>
      <c r="D6">
        <v>8990000</v>
      </c>
      <c r="E6" t="s">
        <v>20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1061</v>
      </c>
      <c r="I6" t="s">
        <v>1036</v>
      </c>
    </row>
    <row r="7" spans="1:9" x14ac:dyDescent="0.25">
      <c r="A7" t="s">
        <v>9</v>
      </c>
      <c r="B7" t="s">
        <v>21</v>
      </c>
      <c r="C7">
        <v>33990000</v>
      </c>
      <c r="D7">
        <v>32990000</v>
      </c>
      <c r="E7" t="s">
        <v>22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1056</v>
      </c>
      <c r="I7" t="s">
        <v>1114</v>
      </c>
    </row>
    <row r="8" spans="1:9" x14ac:dyDescent="0.25">
      <c r="A8" t="s">
        <v>9</v>
      </c>
      <c r="B8" t="s">
        <v>23</v>
      </c>
      <c r="C8">
        <v>16990000</v>
      </c>
      <c r="D8">
        <v>15990000</v>
      </c>
      <c r="E8" t="s">
        <v>24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1062</v>
      </c>
      <c r="I8" t="s">
        <v>1114</v>
      </c>
    </row>
    <row r="9" spans="1:9" x14ac:dyDescent="0.25">
      <c r="A9" t="s">
        <v>9</v>
      </c>
      <c r="B9" t="s">
        <v>25</v>
      </c>
      <c r="C9">
        <v>11990000</v>
      </c>
      <c r="D9">
        <v>11490000</v>
      </c>
      <c r="E9" t="s">
        <v>26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1036</v>
      </c>
    </row>
    <row r="10" spans="1:9" x14ac:dyDescent="0.25">
      <c r="A10" t="s">
        <v>9</v>
      </c>
      <c r="B10" t="s">
        <v>27</v>
      </c>
      <c r="C10">
        <v>11690000</v>
      </c>
      <c r="D10">
        <v>9990000</v>
      </c>
      <c r="E10" t="s">
        <v>28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1036</v>
      </c>
    </row>
    <row r="11" spans="1:9" x14ac:dyDescent="0.25">
      <c r="A11" t="s">
        <v>9</v>
      </c>
      <c r="B11" t="s">
        <v>29</v>
      </c>
      <c r="C11">
        <v>21490000</v>
      </c>
      <c r="D11">
        <v>19990000</v>
      </c>
      <c r="E11" t="s">
        <v>30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1062</v>
      </c>
      <c r="I11" t="s">
        <v>1114</v>
      </c>
    </row>
    <row r="12" spans="1:9" x14ac:dyDescent="0.25">
      <c r="A12" t="s">
        <v>9</v>
      </c>
      <c r="B12" t="s">
        <v>31</v>
      </c>
      <c r="C12">
        <v>53990000</v>
      </c>
      <c r="D12">
        <v>49990000</v>
      </c>
      <c r="E12" t="s">
        <v>32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1063</v>
      </c>
      <c r="I12" t="s">
        <v>1114</v>
      </c>
    </row>
    <row r="13" spans="1:9" x14ac:dyDescent="0.25">
      <c r="A13" t="s">
        <v>9</v>
      </c>
      <c r="B13" t="s">
        <v>33</v>
      </c>
      <c r="C13">
        <v>39990000</v>
      </c>
      <c r="D13">
        <v>38990000</v>
      </c>
      <c r="E13" t="s">
        <v>34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1063</v>
      </c>
      <c r="I13" t="s">
        <v>1114</v>
      </c>
    </row>
    <row r="14" spans="1:9" x14ac:dyDescent="0.25">
      <c r="A14" t="s">
        <v>9</v>
      </c>
      <c r="B14" t="s">
        <v>35</v>
      </c>
      <c r="C14">
        <v>25490000</v>
      </c>
      <c r="D14">
        <v>22990000</v>
      </c>
      <c r="E14" t="s">
        <v>36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1055</v>
      </c>
      <c r="I14" t="s">
        <v>1116</v>
      </c>
    </row>
    <row r="15" spans="1:9" x14ac:dyDescent="0.25">
      <c r="A15" t="s">
        <v>9</v>
      </c>
      <c r="B15" t="s">
        <v>37</v>
      </c>
      <c r="C15">
        <v>32990000</v>
      </c>
      <c r="D15">
        <v>31490000</v>
      </c>
      <c r="E15" t="s">
        <v>38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1056</v>
      </c>
      <c r="I15" t="s">
        <v>1114</v>
      </c>
    </row>
    <row r="16" spans="1:9" x14ac:dyDescent="0.25">
      <c r="A16" t="s">
        <v>9</v>
      </c>
      <c r="B16" t="s">
        <v>39</v>
      </c>
      <c r="C16">
        <v>54990000</v>
      </c>
      <c r="D16">
        <v>49990000</v>
      </c>
      <c r="E16" t="s">
        <v>40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1063</v>
      </c>
      <c r="I16" t="s">
        <v>1114</v>
      </c>
    </row>
    <row r="17" spans="1:9" x14ac:dyDescent="0.25">
      <c r="A17" t="s">
        <v>9</v>
      </c>
      <c r="B17" t="s">
        <v>41</v>
      </c>
      <c r="C17">
        <v>0</v>
      </c>
      <c r="D17">
        <v>44690000</v>
      </c>
      <c r="E17" t="s">
        <v>42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1063</v>
      </c>
      <c r="I17" t="s">
        <v>1114</v>
      </c>
    </row>
    <row r="18" spans="1:9" x14ac:dyDescent="0.25">
      <c r="A18" t="s">
        <v>9</v>
      </c>
      <c r="B18" t="s">
        <v>43</v>
      </c>
      <c r="C18">
        <v>49990000</v>
      </c>
      <c r="D18">
        <v>46990000</v>
      </c>
      <c r="E18" t="s">
        <v>44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1063</v>
      </c>
      <c r="I18" t="s">
        <v>1114</v>
      </c>
    </row>
    <row r="19" spans="1:9" x14ac:dyDescent="0.25">
      <c r="A19" t="s">
        <v>9</v>
      </c>
      <c r="B19" t="s">
        <v>45</v>
      </c>
      <c r="C19">
        <v>59990000</v>
      </c>
      <c r="D19">
        <v>57990000</v>
      </c>
      <c r="E19" t="s">
        <v>46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1063</v>
      </c>
      <c r="I19" t="s">
        <v>1114</v>
      </c>
    </row>
    <row r="20" spans="1:9" x14ac:dyDescent="0.25">
      <c r="A20" t="s">
        <v>9</v>
      </c>
      <c r="B20" t="s">
        <v>47</v>
      </c>
      <c r="C20">
        <v>129990000</v>
      </c>
      <c r="D20">
        <v>124990000</v>
      </c>
      <c r="E20" t="s">
        <v>48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1117</v>
      </c>
    </row>
    <row r="21" spans="1:9" x14ac:dyDescent="0.25">
      <c r="A21" t="s">
        <v>9</v>
      </c>
      <c r="B21" t="s">
        <v>49</v>
      </c>
      <c r="C21">
        <v>135000000</v>
      </c>
      <c r="D21">
        <v>134990000</v>
      </c>
      <c r="E21" t="s">
        <v>50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1117</v>
      </c>
    </row>
    <row r="22" spans="1:9" x14ac:dyDescent="0.25">
      <c r="A22" t="s">
        <v>9</v>
      </c>
      <c r="B22" t="s">
        <v>51</v>
      </c>
      <c r="C22">
        <v>13490000</v>
      </c>
      <c r="D22">
        <v>12990000</v>
      </c>
      <c r="E22" t="s">
        <v>52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1062</v>
      </c>
      <c r="I22" t="s">
        <v>1036</v>
      </c>
    </row>
    <row r="23" spans="1:9" x14ac:dyDescent="0.25">
      <c r="A23" t="s">
        <v>9</v>
      </c>
      <c r="B23" t="s">
        <v>53</v>
      </c>
      <c r="C23">
        <v>13490000</v>
      </c>
      <c r="D23">
        <v>12490000</v>
      </c>
      <c r="E23" t="s">
        <v>54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1062</v>
      </c>
      <c r="I23" t="s">
        <v>1036</v>
      </c>
    </row>
    <row r="24" spans="1:9" x14ac:dyDescent="0.25">
      <c r="A24" t="s">
        <v>9</v>
      </c>
      <c r="B24" t="s">
        <v>55</v>
      </c>
      <c r="C24">
        <v>15990000</v>
      </c>
      <c r="D24">
        <v>14990000</v>
      </c>
      <c r="E24" t="s">
        <v>56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1062</v>
      </c>
      <c r="I24" t="s">
        <v>1114</v>
      </c>
    </row>
    <row r="25" spans="1:9" x14ac:dyDescent="0.25">
      <c r="A25" t="s">
        <v>9</v>
      </c>
      <c r="B25" t="s">
        <v>57</v>
      </c>
      <c r="C25">
        <v>19990000</v>
      </c>
      <c r="D25">
        <v>18990000</v>
      </c>
      <c r="E25" t="s">
        <v>58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1055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25">
      <c r="A26" t="s">
        <v>9</v>
      </c>
      <c r="B26" t="s">
        <v>59</v>
      </c>
      <c r="C26">
        <v>28490000</v>
      </c>
      <c r="D26">
        <v>27990000</v>
      </c>
      <c r="E26" t="s">
        <v>60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1056</v>
      </c>
      <c r="I26" t="s">
        <v>1114</v>
      </c>
    </row>
    <row r="27" spans="1:9" x14ac:dyDescent="0.25">
      <c r="A27" t="s">
        <v>9</v>
      </c>
      <c r="B27" t="s">
        <v>61</v>
      </c>
      <c r="C27">
        <v>0</v>
      </c>
      <c r="D27">
        <v>188000000</v>
      </c>
      <c r="E27" t="s">
        <v>62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1117</v>
      </c>
    </row>
    <row r="28" spans="1:9" x14ac:dyDescent="0.25">
      <c r="A28" t="s">
        <v>9</v>
      </c>
      <c r="B28" t="s">
        <v>63</v>
      </c>
      <c r="C28">
        <v>20990000</v>
      </c>
      <c r="D28">
        <v>20490000</v>
      </c>
      <c r="E28" t="s">
        <v>64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1055</v>
      </c>
      <c r="I28" t="s">
        <v>1116</v>
      </c>
    </row>
    <row r="29" spans="1:9" x14ac:dyDescent="0.25">
      <c r="A29" t="s">
        <v>9</v>
      </c>
      <c r="B29" t="s">
        <v>65</v>
      </c>
      <c r="C29">
        <v>14990000</v>
      </c>
      <c r="D29">
        <v>14490000</v>
      </c>
      <c r="E29" t="s">
        <v>66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1062</v>
      </c>
      <c r="I29" t="s">
        <v>1114</v>
      </c>
    </row>
    <row r="30" spans="1:9" x14ac:dyDescent="0.25">
      <c r="A30" t="s">
        <v>9</v>
      </c>
      <c r="B30" t="s">
        <v>67</v>
      </c>
      <c r="C30">
        <v>104990000</v>
      </c>
      <c r="D30">
        <v>103990000</v>
      </c>
      <c r="E30" t="s">
        <v>68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1117</v>
      </c>
    </row>
    <row r="31" spans="1:9" x14ac:dyDescent="0.25">
      <c r="A31" t="s">
        <v>9</v>
      </c>
      <c r="B31" t="s">
        <v>69</v>
      </c>
      <c r="C31">
        <v>0</v>
      </c>
      <c r="D31">
        <v>32990000</v>
      </c>
      <c r="E31" t="s">
        <v>70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1056</v>
      </c>
      <c r="I31" t="s">
        <v>1114</v>
      </c>
    </row>
    <row r="32" spans="1:9" x14ac:dyDescent="0.25">
      <c r="A32" t="s">
        <v>9</v>
      </c>
      <c r="B32" t="s">
        <v>71</v>
      </c>
      <c r="C32">
        <v>0</v>
      </c>
      <c r="D32">
        <v>54120000</v>
      </c>
      <c r="E32" t="s">
        <v>72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1063</v>
      </c>
      <c r="I32" t="s">
        <v>1114</v>
      </c>
    </row>
    <row r="33" spans="1:9" x14ac:dyDescent="0.25">
      <c r="A33" t="s">
        <v>9</v>
      </c>
      <c r="B33" t="s">
        <v>73</v>
      </c>
      <c r="C33">
        <v>54990000</v>
      </c>
      <c r="D33">
        <v>53990000</v>
      </c>
      <c r="E33" t="s">
        <v>74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1063</v>
      </c>
      <c r="I33" t="s">
        <v>1114</v>
      </c>
    </row>
    <row r="34" spans="1:9" x14ac:dyDescent="0.25">
      <c r="A34" t="s">
        <v>9</v>
      </c>
      <c r="B34" t="s">
        <v>75</v>
      </c>
      <c r="C34">
        <v>114990000</v>
      </c>
      <c r="D34">
        <v>102990000</v>
      </c>
      <c r="E34" t="s">
        <v>76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1117</v>
      </c>
    </row>
    <row r="35" spans="1:9" x14ac:dyDescent="0.25">
      <c r="A35" t="s">
        <v>9</v>
      </c>
      <c r="B35" t="s">
        <v>77</v>
      </c>
      <c r="C35">
        <v>10990000</v>
      </c>
      <c r="D35">
        <v>9790000</v>
      </c>
      <c r="E35" t="s">
        <v>78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1036</v>
      </c>
    </row>
    <row r="36" spans="1:9" x14ac:dyDescent="0.25">
      <c r="A36" t="s">
        <v>9</v>
      </c>
      <c r="B36" t="s">
        <v>79</v>
      </c>
      <c r="C36">
        <v>8290000</v>
      </c>
      <c r="D36">
        <v>7890000</v>
      </c>
      <c r="E36" t="s">
        <v>80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1061</v>
      </c>
      <c r="I36" t="s">
        <v>1036</v>
      </c>
    </row>
    <row r="37" spans="1:9" x14ac:dyDescent="0.25">
      <c r="A37" t="s">
        <v>9</v>
      </c>
      <c r="B37" t="s">
        <v>81</v>
      </c>
      <c r="C37">
        <v>9590000</v>
      </c>
      <c r="D37">
        <v>9390000</v>
      </c>
      <c r="E37" t="s">
        <v>82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1061</v>
      </c>
      <c r="I37" t="s">
        <v>1036</v>
      </c>
    </row>
    <row r="38" spans="1:9" x14ac:dyDescent="0.25">
      <c r="A38" t="s">
        <v>9</v>
      </c>
      <c r="B38" t="s">
        <v>83</v>
      </c>
      <c r="C38">
        <v>31990000</v>
      </c>
      <c r="D38">
        <v>29490000</v>
      </c>
      <c r="E38" t="s">
        <v>84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1056</v>
      </c>
      <c r="I38" t="s">
        <v>1114</v>
      </c>
    </row>
    <row r="39" spans="1:9" x14ac:dyDescent="0.25">
      <c r="A39" t="s">
        <v>9</v>
      </c>
      <c r="B39" t="s">
        <v>85</v>
      </c>
      <c r="C39">
        <v>9890000</v>
      </c>
      <c r="D39">
        <v>8690000</v>
      </c>
      <c r="E39" t="s">
        <v>86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1061</v>
      </c>
      <c r="I39" t="s">
        <v>1036</v>
      </c>
    </row>
    <row r="40" spans="1:9" x14ac:dyDescent="0.25">
      <c r="A40" t="s">
        <v>9</v>
      </c>
      <c r="B40" t="s">
        <v>87</v>
      </c>
      <c r="C40">
        <v>9290000</v>
      </c>
      <c r="D40">
        <v>7490000</v>
      </c>
      <c r="E40" t="s">
        <v>88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1061</v>
      </c>
      <c r="I40" t="s">
        <v>1036</v>
      </c>
    </row>
    <row r="41" spans="1:9" x14ac:dyDescent="0.25">
      <c r="A41" t="s">
        <v>9</v>
      </c>
      <c r="B41" t="s">
        <v>89</v>
      </c>
      <c r="C41">
        <v>8690000</v>
      </c>
      <c r="D41">
        <v>8390000</v>
      </c>
      <c r="E41" t="s">
        <v>90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1061</v>
      </c>
      <c r="I41" t="s">
        <v>1036</v>
      </c>
    </row>
    <row r="42" spans="1:9" x14ac:dyDescent="0.25">
      <c r="A42" t="s">
        <v>9</v>
      </c>
      <c r="B42" t="s">
        <v>91</v>
      </c>
      <c r="C42">
        <v>9490000</v>
      </c>
      <c r="D42">
        <v>8890000</v>
      </c>
      <c r="E42" t="s">
        <v>92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1061</v>
      </c>
      <c r="I42" t="s">
        <v>1036</v>
      </c>
    </row>
    <row r="43" spans="1:9" x14ac:dyDescent="0.25">
      <c r="A43" t="s">
        <v>9</v>
      </c>
      <c r="B43" t="s">
        <v>93</v>
      </c>
      <c r="C43">
        <v>7890000</v>
      </c>
      <c r="D43">
        <v>7490000</v>
      </c>
      <c r="E43" t="s">
        <v>94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1061</v>
      </c>
      <c r="I43" t="s">
        <v>1036</v>
      </c>
    </row>
    <row r="44" spans="1:9" x14ac:dyDescent="0.25">
      <c r="A44" t="s">
        <v>9</v>
      </c>
      <c r="B44" t="s">
        <v>95</v>
      </c>
      <c r="C44">
        <v>8590000</v>
      </c>
      <c r="D44">
        <v>8390000</v>
      </c>
      <c r="E44" t="s">
        <v>96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1061</v>
      </c>
      <c r="I44" t="s">
        <v>1036</v>
      </c>
    </row>
    <row r="45" spans="1:9" x14ac:dyDescent="0.25">
      <c r="A45" t="s">
        <v>9</v>
      </c>
      <c r="B45" t="s">
        <v>97</v>
      </c>
      <c r="C45">
        <v>8990000</v>
      </c>
      <c r="D45">
        <v>8790000</v>
      </c>
      <c r="E45" t="s">
        <v>98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1061</v>
      </c>
      <c r="I45" t="s">
        <v>1036</v>
      </c>
    </row>
    <row r="46" spans="1:9" x14ac:dyDescent="0.25">
      <c r="A46" t="s">
        <v>9</v>
      </c>
      <c r="B46" t="s">
        <v>99</v>
      </c>
      <c r="C46">
        <v>11990000</v>
      </c>
      <c r="D46">
        <v>10990000</v>
      </c>
      <c r="E46" t="s">
        <v>100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1036</v>
      </c>
    </row>
    <row r="47" spans="1:9" x14ac:dyDescent="0.25">
      <c r="A47" t="s">
        <v>9</v>
      </c>
      <c r="B47" t="s">
        <v>101</v>
      </c>
      <c r="C47">
        <v>10490000</v>
      </c>
      <c r="D47">
        <v>9890000</v>
      </c>
      <c r="E47" t="s">
        <v>102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1036</v>
      </c>
    </row>
    <row r="48" spans="1:9" x14ac:dyDescent="0.25">
      <c r="A48" t="s">
        <v>9</v>
      </c>
      <c r="B48" t="s">
        <v>103</v>
      </c>
      <c r="C48">
        <v>9990000</v>
      </c>
      <c r="D48">
        <v>9690000</v>
      </c>
      <c r="E48" t="s">
        <v>104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1036</v>
      </c>
    </row>
    <row r="49" spans="1:9" x14ac:dyDescent="0.25">
      <c r="A49" t="s">
        <v>9</v>
      </c>
      <c r="B49" t="s">
        <v>105</v>
      </c>
      <c r="C49">
        <v>20490000</v>
      </c>
      <c r="D49">
        <v>19990000</v>
      </c>
      <c r="E49" t="s">
        <v>106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1055</v>
      </c>
      <c r="I49" t="s">
        <v>1116</v>
      </c>
    </row>
    <row r="50" spans="1:9" x14ac:dyDescent="0.25">
      <c r="A50" t="s">
        <v>9</v>
      </c>
      <c r="B50" t="s">
        <v>107</v>
      </c>
      <c r="C50">
        <v>33990000</v>
      </c>
      <c r="D50">
        <v>32490000</v>
      </c>
      <c r="E50" t="s">
        <v>108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1056</v>
      </c>
      <c r="I50" t="s">
        <v>1114</v>
      </c>
    </row>
    <row r="51" spans="1:9" x14ac:dyDescent="0.25">
      <c r="A51" t="s">
        <v>9</v>
      </c>
      <c r="B51" t="s">
        <v>109</v>
      </c>
      <c r="C51">
        <v>13490000</v>
      </c>
      <c r="D51">
        <v>12990000</v>
      </c>
      <c r="E51" t="s">
        <v>110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1036</v>
      </c>
    </row>
    <row r="52" spans="1:9" x14ac:dyDescent="0.25">
      <c r="A52" t="s">
        <v>9</v>
      </c>
      <c r="B52" t="s">
        <v>111</v>
      </c>
      <c r="C52">
        <v>13990000</v>
      </c>
      <c r="D52">
        <v>12990000</v>
      </c>
      <c r="E52" t="s">
        <v>112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1036</v>
      </c>
    </row>
    <row r="53" spans="1:9" x14ac:dyDescent="0.25">
      <c r="A53" t="s">
        <v>9</v>
      </c>
      <c r="B53" t="s">
        <v>113</v>
      </c>
      <c r="C53">
        <v>14990000</v>
      </c>
      <c r="D53">
        <v>12990000</v>
      </c>
      <c r="E53" t="s">
        <v>114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1062</v>
      </c>
      <c r="I53" t="s">
        <v>1036</v>
      </c>
    </row>
    <row r="54" spans="1:9" x14ac:dyDescent="0.25">
      <c r="A54" t="s">
        <v>9</v>
      </c>
      <c r="B54" t="s">
        <v>115</v>
      </c>
      <c r="C54">
        <v>11390000</v>
      </c>
      <c r="D54">
        <v>10890000</v>
      </c>
      <c r="E54" t="s">
        <v>116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1036</v>
      </c>
    </row>
    <row r="55" spans="1:9" x14ac:dyDescent="0.25">
      <c r="A55" t="s">
        <v>9</v>
      </c>
      <c r="B55" t="s">
        <v>117</v>
      </c>
      <c r="C55">
        <v>0</v>
      </c>
      <c r="D55">
        <v>9990000</v>
      </c>
      <c r="E55" t="s">
        <v>118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1036</v>
      </c>
    </row>
    <row r="56" spans="1:9" x14ac:dyDescent="0.25">
      <c r="A56" t="s">
        <v>9</v>
      </c>
      <c r="B56" t="s">
        <v>119</v>
      </c>
      <c r="C56">
        <v>10990000</v>
      </c>
      <c r="D56">
        <v>10490000</v>
      </c>
      <c r="E56" t="s">
        <v>120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1036</v>
      </c>
    </row>
    <row r="57" spans="1:9" x14ac:dyDescent="0.25">
      <c r="A57" t="s">
        <v>9</v>
      </c>
      <c r="B57" t="s">
        <v>121</v>
      </c>
      <c r="C57">
        <v>11290000</v>
      </c>
      <c r="D57">
        <v>10690000</v>
      </c>
      <c r="E57" t="s">
        <v>122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1036</v>
      </c>
    </row>
    <row r="58" spans="1:9" x14ac:dyDescent="0.25">
      <c r="A58" t="s">
        <v>9</v>
      </c>
      <c r="B58" t="s">
        <v>123</v>
      </c>
      <c r="C58">
        <v>12490000</v>
      </c>
      <c r="D58">
        <v>11890000</v>
      </c>
      <c r="E58" t="s">
        <v>124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1036</v>
      </c>
    </row>
    <row r="59" spans="1:9" x14ac:dyDescent="0.25">
      <c r="A59" t="s">
        <v>9</v>
      </c>
      <c r="B59" t="s">
        <v>125</v>
      </c>
      <c r="C59">
        <v>14990000</v>
      </c>
      <c r="D59">
        <v>12990000</v>
      </c>
      <c r="E59" t="s">
        <v>126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1062</v>
      </c>
      <c r="I59" t="s">
        <v>1036</v>
      </c>
    </row>
    <row r="60" spans="1:9" x14ac:dyDescent="0.25">
      <c r="A60" t="s">
        <v>9</v>
      </c>
      <c r="B60" t="s">
        <v>127</v>
      </c>
      <c r="C60">
        <v>22990000</v>
      </c>
      <c r="D60">
        <v>20990000</v>
      </c>
      <c r="E60" t="s">
        <v>128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1055</v>
      </c>
      <c r="I60" t="s">
        <v>1116</v>
      </c>
    </row>
    <row r="61" spans="1:9" x14ac:dyDescent="0.25">
      <c r="A61" t="s">
        <v>9</v>
      </c>
      <c r="B61" t="s">
        <v>129</v>
      </c>
      <c r="C61">
        <v>16790000</v>
      </c>
      <c r="D61">
        <v>16390000</v>
      </c>
      <c r="E61" t="s">
        <v>130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1062</v>
      </c>
      <c r="I61" t="s">
        <v>1114</v>
      </c>
    </row>
    <row r="62" spans="1:9" x14ac:dyDescent="0.25">
      <c r="A62" t="s">
        <v>9</v>
      </c>
      <c r="B62" t="s">
        <v>131</v>
      </c>
      <c r="C62">
        <v>15990000</v>
      </c>
      <c r="D62">
        <v>14990000</v>
      </c>
      <c r="E62" t="s">
        <v>132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1062</v>
      </c>
      <c r="I62" t="s">
        <v>1114</v>
      </c>
    </row>
    <row r="63" spans="1:9" x14ac:dyDescent="0.25">
      <c r="A63" t="s">
        <v>9</v>
      </c>
      <c r="B63" t="s">
        <v>133</v>
      </c>
      <c r="C63">
        <v>14390000</v>
      </c>
      <c r="D63">
        <v>12990000</v>
      </c>
      <c r="E63" t="s">
        <v>134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1062</v>
      </c>
      <c r="I63" t="s">
        <v>1036</v>
      </c>
    </row>
    <row r="64" spans="1:9" x14ac:dyDescent="0.25">
      <c r="A64" t="s">
        <v>9</v>
      </c>
      <c r="B64" t="s">
        <v>135</v>
      </c>
      <c r="C64">
        <v>19290000</v>
      </c>
      <c r="D64">
        <v>18690000</v>
      </c>
      <c r="E64" t="s">
        <v>136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1062</v>
      </c>
      <c r="I64" t="s">
        <v>1114</v>
      </c>
    </row>
    <row r="65" spans="1:9" x14ac:dyDescent="0.25">
      <c r="A65" t="s">
        <v>9</v>
      </c>
      <c r="B65" t="s">
        <v>137</v>
      </c>
      <c r="C65">
        <v>13290000</v>
      </c>
      <c r="D65">
        <v>12990000</v>
      </c>
      <c r="E65" t="s">
        <v>138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1062</v>
      </c>
      <c r="I65" t="s">
        <v>1036</v>
      </c>
    </row>
    <row r="66" spans="1:9" x14ac:dyDescent="0.25">
      <c r="A66" t="s">
        <v>9</v>
      </c>
      <c r="B66" t="s">
        <v>139</v>
      </c>
      <c r="C66">
        <v>16990000</v>
      </c>
      <c r="D66">
        <v>16290000</v>
      </c>
      <c r="E66" t="s">
        <v>140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1062</v>
      </c>
      <c r="I66" t="s">
        <v>1114</v>
      </c>
    </row>
    <row r="67" spans="1:9" x14ac:dyDescent="0.25">
      <c r="A67" t="s">
        <v>9</v>
      </c>
      <c r="B67" t="s">
        <v>141</v>
      </c>
      <c r="C67">
        <v>18290000</v>
      </c>
      <c r="D67">
        <v>17690000</v>
      </c>
      <c r="E67" t="s">
        <v>142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1062</v>
      </c>
      <c r="I67" t="s">
        <v>1114</v>
      </c>
    </row>
    <row r="68" spans="1:9" x14ac:dyDescent="0.25">
      <c r="A68" t="s">
        <v>9</v>
      </c>
      <c r="B68" t="s">
        <v>143</v>
      </c>
      <c r="C68">
        <v>17890000</v>
      </c>
      <c r="D68">
        <v>17390000</v>
      </c>
      <c r="E68" t="s">
        <v>144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1062</v>
      </c>
      <c r="I68" t="s">
        <v>1114</v>
      </c>
    </row>
    <row r="69" spans="1:9" x14ac:dyDescent="0.25">
      <c r="A69" t="s">
        <v>9</v>
      </c>
      <c r="B69" t="s">
        <v>145</v>
      </c>
      <c r="C69">
        <v>15290000</v>
      </c>
      <c r="D69">
        <v>14890000</v>
      </c>
      <c r="E69" t="s">
        <v>146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1062</v>
      </c>
      <c r="I69" t="s">
        <v>1036</v>
      </c>
    </row>
    <row r="70" spans="1:9" x14ac:dyDescent="0.25">
      <c r="A70" t="s">
        <v>9</v>
      </c>
      <c r="B70" t="s">
        <v>147</v>
      </c>
      <c r="C70">
        <v>17590000</v>
      </c>
      <c r="D70">
        <v>16890000</v>
      </c>
      <c r="E70" t="s">
        <v>148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1062</v>
      </c>
      <c r="I70" t="s">
        <v>1114</v>
      </c>
    </row>
    <row r="71" spans="1:9" x14ac:dyDescent="0.25">
      <c r="A71" t="s">
        <v>9</v>
      </c>
      <c r="B71" t="s">
        <v>149</v>
      </c>
      <c r="C71">
        <v>14990000</v>
      </c>
      <c r="D71">
        <v>14290000</v>
      </c>
      <c r="E71" t="s">
        <v>150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1062</v>
      </c>
      <c r="I71" t="s">
        <v>1036</v>
      </c>
    </row>
    <row r="72" spans="1:9" x14ac:dyDescent="0.25">
      <c r="A72" t="s">
        <v>9</v>
      </c>
      <c r="B72" t="s">
        <v>151</v>
      </c>
      <c r="C72">
        <v>15190000</v>
      </c>
      <c r="D72">
        <v>14990000</v>
      </c>
      <c r="E72" t="s">
        <v>152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1062</v>
      </c>
      <c r="I72" t="s">
        <v>1036</v>
      </c>
    </row>
    <row r="73" spans="1:9" x14ac:dyDescent="0.25">
      <c r="A73" t="s">
        <v>9</v>
      </c>
      <c r="B73" t="s">
        <v>153</v>
      </c>
      <c r="C73">
        <v>15490000</v>
      </c>
      <c r="D73">
        <v>15390000</v>
      </c>
      <c r="E73" t="s">
        <v>154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1062</v>
      </c>
      <c r="I73" t="s">
        <v>1036</v>
      </c>
    </row>
    <row r="74" spans="1:9" x14ac:dyDescent="0.25">
      <c r="A74" t="s">
        <v>9</v>
      </c>
      <c r="B74" t="s">
        <v>155</v>
      </c>
      <c r="C74">
        <v>0</v>
      </c>
      <c r="D74">
        <v>16990000</v>
      </c>
      <c r="E74" t="s">
        <v>156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1062</v>
      </c>
      <c r="I74" t="s">
        <v>1036</v>
      </c>
    </row>
    <row r="75" spans="1:9" x14ac:dyDescent="0.25">
      <c r="A75" t="s">
        <v>9</v>
      </c>
      <c r="B75" t="s">
        <v>157</v>
      </c>
      <c r="C75">
        <v>0</v>
      </c>
      <c r="D75">
        <v>18990000</v>
      </c>
      <c r="E75" t="s">
        <v>158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1062</v>
      </c>
      <c r="I75" t="s">
        <v>1114</v>
      </c>
    </row>
    <row r="76" spans="1:9" x14ac:dyDescent="0.25">
      <c r="A76" t="s">
        <v>9</v>
      </c>
      <c r="B76" t="s">
        <v>159</v>
      </c>
      <c r="C76">
        <v>0</v>
      </c>
      <c r="D76">
        <v>19490000</v>
      </c>
      <c r="E76" t="s">
        <v>160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1062</v>
      </c>
      <c r="I76" t="s">
        <v>1114</v>
      </c>
    </row>
    <row r="77" spans="1:9" x14ac:dyDescent="0.25">
      <c r="A77" t="s">
        <v>9</v>
      </c>
      <c r="B77" t="s">
        <v>161</v>
      </c>
      <c r="C77">
        <v>20490000</v>
      </c>
      <c r="D77">
        <v>20290000</v>
      </c>
      <c r="E77" t="s">
        <v>162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1062</v>
      </c>
      <c r="I77" t="s">
        <v>1114</v>
      </c>
    </row>
    <row r="78" spans="1:9" x14ac:dyDescent="0.25">
      <c r="A78" t="s">
        <v>9</v>
      </c>
      <c r="B78" t="s">
        <v>163</v>
      </c>
      <c r="C78">
        <v>22390000</v>
      </c>
      <c r="D78">
        <v>18990000</v>
      </c>
      <c r="E78" t="s">
        <v>164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1062</v>
      </c>
      <c r="I78" t="s">
        <v>1114</v>
      </c>
    </row>
    <row r="79" spans="1:9" x14ac:dyDescent="0.25">
      <c r="A79" t="s">
        <v>9</v>
      </c>
      <c r="B79" t="s">
        <v>165</v>
      </c>
      <c r="C79">
        <v>21990000</v>
      </c>
      <c r="D79">
        <v>17490000</v>
      </c>
      <c r="E79" t="s">
        <v>166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1062</v>
      </c>
      <c r="I79" t="s">
        <v>1114</v>
      </c>
    </row>
    <row r="80" spans="1:9" x14ac:dyDescent="0.25">
      <c r="A80" t="s">
        <v>9</v>
      </c>
      <c r="B80" t="s">
        <v>167</v>
      </c>
      <c r="C80">
        <v>17990000</v>
      </c>
      <c r="D80">
        <v>13990000</v>
      </c>
      <c r="E80" t="s">
        <v>168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1062</v>
      </c>
      <c r="I80" t="s">
        <v>1114</v>
      </c>
    </row>
    <row r="81" spans="1:9" x14ac:dyDescent="0.25">
      <c r="A81" t="s">
        <v>9</v>
      </c>
      <c r="B81" t="s">
        <v>169</v>
      </c>
      <c r="C81">
        <v>18990000</v>
      </c>
      <c r="D81">
        <v>14690000</v>
      </c>
      <c r="E81" t="s">
        <v>170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1062</v>
      </c>
      <c r="I81" t="s">
        <v>1114</v>
      </c>
    </row>
    <row r="82" spans="1:9" x14ac:dyDescent="0.25">
      <c r="A82" t="s">
        <v>9</v>
      </c>
      <c r="B82" t="s">
        <v>171</v>
      </c>
      <c r="C82">
        <v>22490000</v>
      </c>
      <c r="D82">
        <v>20490000</v>
      </c>
      <c r="E82" t="s">
        <v>172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1062</v>
      </c>
      <c r="I82" t="s">
        <v>1114</v>
      </c>
    </row>
    <row r="83" spans="1:9" x14ac:dyDescent="0.25">
      <c r="A83" t="s">
        <v>9</v>
      </c>
      <c r="B83" t="s">
        <v>173</v>
      </c>
      <c r="C83">
        <v>20490000</v>
      </c>
      <c r="D83">
        <v>16990000</v>
      </c>
      <c r="E83" t="s">
        <v>174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1062</v>
      </c>
      <c r="I83" t="s">
        <v>1114</v>
      </c>
    </row>
    <row r="84" spans="1:9" x14ac:dyDescent="0.25">
      <c r="A84" t="s">
        <v>9</v>
      </c>
      <c r="B84" t="s">
        <v>175</v>
      </c>
      <c r="C84">
        <v>21990000</v>
      </c>
      <c r="D84">
        <v>19690000</v>
      </c>
      <c r="E84" t="s">
        <v>176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1062</v>
      </c>
      <c r="I84" t="s">
        <v>1114</v>
      </c>
    </row>
    <row r="85" spans="1:9" x14ac:dyDescent="0.25">
      <c r="A85" t="s">
        <v>9</v>
      </c>
      <c r="B85" t="s">
        <v>177</v>
      </c>
      <c r="C85">
        <v>41990000</v>
      </c>
      <c r="D85">
        <v>37490000</v>
      </c>
      <c r="E85" t="s">
        <v>178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1063</v>
      </c>
      <c r="I85" t="s">
        <v>1114</v>
      </c>
    </row>
    <row r="86" spans="1:9" x14ac:dyDescent="0.25">
      <c r="A86" t="s">
        <v>9</v>
      </c>
      <c r="B86" t="s">
        <v>179</v>
      </c>
      <c r="C86">
        <v>44990000</v>
      </c>
      <c r="D86">
        <v>42690000</v>
      </c>
      <c r="E86" t="s">
        <v>180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1063</v>
      </c>
      <c r="I86" t="s">
        <v>1114</v>
      </c>
    </row>
    <row r="87" spans="1:9" x14ac:dyDescent="0.25">
      <c r="A87" t="s">
        <v>9</v>
      </c>
      <c r="B87" t="s">
        <v>181</v>
      </c>
      <c r="C87">
        <v>0</v>
      </c>
      <c r="D87">
        <v>29990000</v>
      </c>
      <c r="E87" t="s">
        <v>182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1056</v>
      </c>
      <c r="I87" t="s">
        <v>1114</v>
      </c>
    </row>
    <row r="88" spans="1:9" x14ac:dyDescent="0.25">
      <c r="A88" t="s">
        <v>9</v>
      </c>
      <c r="B88" t="s">
        <v>183</v>
      </c>
      <c r="C88">
        <v>99990000</v>
      </c>
      <c r="D88">
        <v>98990000</v>
      </c>
      <c r="E88" t="s">
        <v>184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1117</v>
      </c>
    </row>
    <row r="89" spans="1:9" x14ac:dyDescent="0.25">
      <c r="A89" t="s">
        <v>9</v>
      </c>
      <c r="B89" t="s">
        <v>185</v>
      </c>
      <c r="C89">
        <v>88990000</v>
      </c>
      <c r="D89">
        <v>79990000</v>
      </c>
      <c r="E89" t="s">
        <v>186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1117</v>
      </c>
    </row>
    <row r="90" spans="1:9" x14ac:dyDescent="0.25">
      <c r="A90" t="s">
        <v>9</v>
      </c>
      <c r="B90" t="s">
        <v>187</v>
      </c>
      <c r="C90">
        <v>21490000</v>
      </c>
      <c r="D90">
        <v>19890000</v>
      </c>
      <c r="E90" t="s">
        <v>188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1055</v>
      </c>
      <c r="I90" t="s">
        <v>1116</v>
      </c>
    </row>
    <row r="91" spans="1:9" x14ac:dyDescent="0.25">
      <c r="A91" t="s">
        <v>9</v>
      </c>
      <c r="B91" t="s">
        <v>189</v>
      </c>
      <c r="C91">
        <v>21690000</v>
      </c>
      <c r="D91">
        <v>20490000</v>
      </c>
      <c r="E91" t="s">
        <v>190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1055</v>
      </c>
      <c r="I91" t="s">
        <v>1116</v>
      </c>
    </row>
    <row r="92" spans="1:9" x14ac:dyDescent="0.25">
      <c r="A92" t="s">
        <v>9</v>
      </c>
      <c r="B92" t="s">
        <v>191</v>
      </c>
      <c r="C92">
        <v>25490000</v>
      </c>
      <c r="D92">
        <v>22490000</v>
      </c>
      <c r="E92" t="s">
        <v>192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1055</v>
      </c>
      <c r="I92" t="s">
        <v>1116</v>
      </c>
    </row>
    <row r="93" spans="1:9" x14ac:dyDescent="0.25">
      <c r="A93" t="s">
        <v>9</v>
      </c>
      <c r="B93" t="s">
        <v>193</v>
      </c>
      <c r="C93">
        <v>25990000</v>
      </c>
      <c r="D93">
        <v>24990000</v>
      </c>
      <c r="E93" t="s">
        <v>194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1055</v>
      </c>
      <c r="I93" t="s">
        <v>1116</v>
      </c>
    </row>
    <row r="94" spans="1:9" x14ac:dyDescent="0.25">
      <c r="A94" t="s">
        <v>9</v>
      </c>
      <c r="B94" t="s">
        <v>195</v>
      </c>
      <c r="C94">
        <v>29490000</v>
      </c>
      <c r="D94">
        <v>25490000</v>
      </c>
      <c r="E94" t="s">
        <v>196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1055</v>
      </c>
      <c r="I94" t="s">
        <v>1116</v>
      </c>
    </row>
    <row r="95" spans="1:9" x14ac:dyDescent="0.25">
      <c r="A95" t="s">
        <v>9</v>
      </c>
      <c r="B95" t="s">
        <v>197</v>
      </c>
      <c r="C95">
        <v>29990000</v>
      </c>
      <c r="D95">
        <v>26490000</v>
      </c>
      <c r="E95" t="s">
        <v>198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1055</v>
      </c>
      <c r="I95" t="s">
        <v>1116</v>
      </c>
    </row>
    <row r="96" spans="1:9" x14ac:dyDescent="0.25">
      <c r="A96" t="s">
        <v>9</v>
      </c>
      <c r="B96" t="s">
        <v>199</v>
      </c>
      <c r="C96">
        <v>0</v>
      </c>
      <c r="D96">
        <v>39490000</v>
      </c>
      <c r="E96" t="s">
        <v>200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1056</v>
      </c>
      <c r="I96" t="s">
        <v>1114</v>
      </c>
    </row>
    <row r="97" spans="1:9" x14ac:dyDescent="0.25">
      <c r="A97" t="s">
        <v>9</v>
      </c>
      <c r="B97" t="s">
        <v>201</v>
      </c>
      <c r="C97">
        <v>0</v>
      </c>
      <c r="D97">
        <v>39990000</v>
      </c>
      <c r="E97" t="s">
        <v>202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1056</v>
      </c>
      <c r="I97" t="s">
        <v>1114</v>
      </c>
    </row>
    <row r="98" spans="1:9" x14ac:dyDescent="0.25">
      <c r="A98" t="s">
        <v>9</v>
      </c>
      <c r="B98" t="s">
        <v>203</v>
      </c>
      <c r="C98">
        <v>26990000</v>
      </c>
      <c r="D98">
        <v>25990000</v>
      </c>
      <c r="E98" t="s">
        <v>204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1055</v>
      </c>
      <c r="I98" t="s">
        <v>1116</v>
      </c>
    </row>
    <row r="99" spans="1:9" x14ac:dyDescent="0.25">
      <c r="A99" t="s">
        <v>9</v>
      </c>
      <c r="B99" t="s">
        <v>205</v>
      </c>
      <c r="C99">
        <v>25990000</v>
      </c>
      <c r="D99">
        <v>24990000</v>
      </c>
      <c r="E99" t="s">
        <v>206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1055</v>
      </c>
      <c r="I99" t="s">
        <v>1116</v>
      </c>
    </row>
    <row r="100" spans="1:9" x14ac:dyDescent="0.25">
      <c r="A100" t="s">
        <v>9</v>
      </c>
      <c r="B100" t="s">
        <v>207</v>
      </c>
      <c r="C100">
        <v>26490000</v>
      </c>
      <c r="D100">
        <v>25490000</v>
      </c>
      <c r="E100" t="s">
        <v>208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1055</v>
      </c>
      <c r="I100" t="s">
        <v>1116</v>
      </c>
    </row>
    <row r="101" spans="1:9" x14ac:dyDescent="0.25">
      <c r="A101" t="s">
        <v>9</v>
      </c>
      <c r="B101" t="s">
        <v>209</v>
      </c>
      <c r="C101">
        <v>27490000</v>
      </c>
      <c r="D101">
        <v>26990000</v>
      </c>
      <c r="E101" t="s">
        <v>210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1055</v>
      </c>
      <c r="I101" t="s">
        <v>1116</v>
      </c>
    </row>
    <row r="102" spans="1:9" x14ac:dyDescent="0.25">
      <c r="A102" t="s">
        <v>9</v>
      </c>
      <c r="B102" t="s">
        <v>211</v>
      </c>
      <c r="C102">
        <v>35990000</v>
      </c>
      <c r="D102">
        <v>31990000</v>
      </c>
      <c r="E102" t="s">
        <v>212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1056</v>
      </c>
      <c r="I102" t="s">
        <v>1114</v>
      </c>
    </row>
    <row r="103" spans="1:9" x14ac:dyDescent="0.25">
      <c r="A103" t="s">
        <v>9</v>
      </c>
      <c r="B103" t="s">
        <v>213</v>
      </c>
      <c r="C103">
        <v>35790000</v>
      </c>
      <c r="D103">
        <v>33990000</v>
      </c>
      <c r="E103" t="s">
        <v>214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1056</v>
      </c>
      <c r="I103" t="s">
        <v>1114</v>
      </c>
    </row>
    <row r="104" spans="1:9" x14ac:dyDescent="0.25">
      <c r="A104" t="s">
        <v>9</v>
      </c>
      <c r="B104" t="s">
        <v>215</v>
      </c>
      <c r="C104">
        <v>33390000</v>
      </c>
      <c r="D104">
        <v>30990000</v>
      </c>
      <c r="E104" t="s">
        <v>216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1056</v>
      </c>
      <c r="I104" t="s">
        <v>1114</v>
      </c>
    </row>
    <row r="105" spans="1:9" x14ac:dyDescent="0.25">
      <c r="A105" t="s">
        <v>9</v>
      </c>
      <c r="B105" t="s">
        <v>217</v>
      </c>
      <c r="C105">
        <v>0</v>
      </c>
      <c r="D105">
        <v>33990000</v>
      </c>
      <c r="E105" t="s">
        <v>218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1056</v>
      </c>
      <c r="I105" t="s">
        <v>1114</v>
      </c>
    </row>
    <row r="106" spans="1:9" x14ac:dyDescent="0.25">
      <c r="A106" t="s">
        <v>9</v>
      </c>
      <c r="B106" t="s">
        <v>219</v>
      </c>
      <c r="C106">
        <v>0</v>
      </c>
      <c r="D106">
        <v>36490000</v>
      </c>
      <c r="E106" t="s">
        <v>220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1056</v>
      </c>
      <c r="I106" t="s">
        <v>1114</v>
      </c>
    </row>
    <row r="107" spans="1:9" x14ac:dyDescent="0.25">
      <c r="A107" t="s">
        <v>9</v>
      </c>
      <c r="B107" t="s">
        <v>221</v>
      </c>
      <c r="C107">
        <v>45990000</v>
      </c>
      <c r="D107">
        <v>43990000</v>
      </c>
      <c r="E107" t="s">
        <v>222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1063</v>
      </c>
      <c r="I107" t="s">
        <v>1114</v>
      </c>
    </row>
    <row r="108" spans="1:9" x14ac:dyDescent="0.25">
      <c r="A108" t="s">
        <v>9</v>
      </c>
      <c r="B108" t="s">
        <v>223</v>
      </c>
      <c r="C108">
        <v>47990000</v>
      </c>
      <c r="D108">
        <v>44990000</v>
      </c>
      <c r="E108" t="s">
        <v>224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1063</v>
      </c>
      <c r="I108" t="s">
        <v>1114</v>
      </c>
    </row>
    <row r="109" spans="1:9" x14ac:dyDescent="0.25">
      <c r="A109" t="s">
        <v>9</v>
      </c>
      <c r="B109" t="s">
        <v>225</v>
      </c>
      <c r="C109">
        <v>47490000</v>
      </c>
      <c r="D109">
        <v>44990000</v>
      </c>
      <c r="E109" t="s">
        <v>226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1063</v>
      </c>
      <c r="I109" t="s">
        <v>1114</v>
      </c>
    </row>
    <row r="110" spans="1:9" x14ac:dyDescent="0.25">
      <c r="A110" t="s">
        <v>9</v>
      </c>
      <c r="B110" t="s">
        <v>227</v>
      </c>
      <c r="C110">
        <v>0</v>
      </c>
      <c r="D110">
        <v>49990000</v>
      </c>
      <c r="E110" t="s">
        <v>228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1063</v>
      </c>
      <c r="I110" t="s">
        <v>1114</v>
      </c>
    </row>
    <row r="111" spans="1:9" x14ac:dyDescent="0.25">
      <c r="A111" t="s">
        <v>9</v>
      </c>
      <c r="B111" t="s">
        <v>229</v>
      </c>
      <c r="C111">
        <v>0</v>
      </c>
      <c r="D111">
        <v>50990000</v>
      </c>
      <c r="E111" t="s">
        <v>230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1063</v>
      </c>
      <c r="I111" t="s">
        <v>1114</v>
      </c>
    </row>
    <row r="112" spans="1:9" x14ac:dyDescent="0.25">
      <c r="A112" t="s">
        <v>9</v>
      </c>
      <c r="B112" t="s">
        <v>231</v>
      </c>
      <c r="C112">
        <v>0</v>
      </c>
      <c r="D112">
        <v>51990000</v>
      </c>
      <c r="E112" t="s">
        <v>232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1063</v>
      </c>
      <c r="I112" t="s">
        <v>1114</v>
      </c>
    </row>
    <row r="113" spans="1:9" x14ac:dyDescent="0.25">
      <c r="A113" t="s">
        <v>9</v>
      </c>
      <c r="B113" t="s">
        <v>233</v>
      </c>
      <c r="C113">
        <v>54990000</v>
      </c>
      <c r="D113">
        <v>51990000</v>
      </c>
      <c r="E113" t="s">
        <v>234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1063</v>
      </c>
      <c r="I113" t="s">
        <v>1114</v>
      </c>
    </row>
    <row r="114" spans="1:9" x14ac:dyDescent="0.25">
      <c r="A114" t="s">
        <v>9</v>
      </c>
      <c r="B114" t="s">
        <v>235</v>
      </c>
      <c r="C114">
        <v>105990000</v>
      </c>
      <c r="D114">
        <v>102990000</v>
      </c>
      <c r="E114" t="s">
        <v>236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1117</v>
      </c>
    </row>
    <row r="115" spans="1:9" x14ac:dyDescent="0.25">
      <c r="A115" t="s">
        <v>9</v>
      </c>
      <c r="B115" t="s">
        <v>237</v>
      </c>
      <c r="C115">
        <v>119000000</v>
      </c>
      <c r="D115">
        <v>114990000</v>
      </c>
      <c r="E115" t="s">
        <v>238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1117</v>
      </c>
    </row>
    <row r="116" spans="1:9" x14ac:dyDescent="0.25">
      <c r="A116" t="s">
        <v>9</v>
      </c>
      <c r="B116" t="s">
        <v>239</v>
      </c>
      <c r="C116">
        <v>110000000</v>
      </c>
      <c r="D116">
        <v>99990000</v>
      </c>
      <c r="E116" t="s">
        <v>240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1117</v>
      </c>
    </row>
    <row r="117" spans="1:9" x14ac:dyDescent="0.25">
      <c r="A117" t="s">
        <v>9</v>
      </c>
      <c r="B117" t="s">
        <v>241</v>
      </c>
      <c r="C117">
        <v>120000000</v>
      </c>
      <c r="D117">
        <v>109990000</v>
      </c>
      <c r="E117" t="s">
        <v>242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1117</v>
      </c>
    </row>
    <row r="118" spans="1:9" x14ac:dyDescent="0.25">
      <c r="A118" t="s">
        <v>9</v>
      </c>
      <c r="B118" t="s">
        <v>243</v>
      </c>
      <c r="C118">
        <v>118990000</v>
      </c>
      <c r="D118">
        <v>113990000</v>
      </c>
      <c r="E118" t="s">
        <v>244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1117</v>
      </c>
    </row>
    <row r="119" spans="1:9" x14ac:dyDescent="0.25">
      <c r="A119" t="s">
        <v>9</v>
      </c>
      <c r="B119" t="s">
        <v>245</v>
      </c>
      <c r="C119">
        <v>0</v>
      </c>
      <c r="D119">
        <v>21690000</v>
      </c>
      <c r="E119" t="s">
        <v>246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1055</v>
      </c>
      <c r="I119" t="s">
        <v>1116</v>
      </c>
    </row>
    <row r="120" spans="1:9" x14ac:dyDescent="0.25">
      <c r="A120" t="s">
        <v>9</v>
      </c>
      <c r="B120" t="s">
        <v>247</v>
      </c>
      <c r="C120">
        <v>21490000</v>
      </c>
      <c r="D120">
        <v>19490000</v>
      </c>
      <c r="E120" t="s">
        <v>248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1055</v>
      </c>
      <c r="I120" t="s">
        <v>1116</v>
      </c>
    </row>
    <row r="121" spans="1:9" x14ac:dyDescent="0.25">
      <c r="A121" t="s">
        <v>9</v>
      </c>
      <c r="B121" t="s">
        <v>249</v>
      </c>
      <c r="C121">
        <v>21990000</v>
      </c>
      <c r="D121">
        <v>20690000</v>
      </c>
      <c r="E121" t="s">
        <v>250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1055</v>
      </c>
      <c r="I121" t="s">
        <v>1116</v>
      </c>
    </row>
    <row r="122" spans="1:9" x14ac:dyDescent="0.25">
      <c r="A122" t="s">
        <v>9</v>
      </c>
      <c r="B122" t="s">
        <v>251</v>
      </c>
      <c r="C122">
        <v>21790000</v>
      </c>
      <c r="D122">
        <v>20790000</v>
      </c>
      <c r="E122" t="s">
        <v>252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1055</v>
      </c>
      <c r="I122" t="s">
        <v>1116</v>
      </c>
    </row>
    <row r="123" spans="1:9" x14ac:dyDescent="0.25">
      <c r="A123" t="s">
        <v>9</v>
      </c>
      <c r="B123" t="s">
        <v>253</v>
      </c>
      <c r="C123">
        <v>0</v>
      </c>
      <c r="D123">
        <v>22490000</v>
      </c>
      <c r="E123" t="s">
        <v>254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1055</v>
      </c>
      <c r="I123" t="s">
        <v>1116</v>
      </c>
    </row>
    <row r="124" spans="1:9" x14ac:dyDescent="0.25">
      <c r="A124" t="s">
        <v>9</v>
      </c>
      <c r="B124" t="s">
        <v>255</v>
      </c>
      <c r="C124">
        <v>0</v>
      </c>
      <c r="D124">
        <v>23490000</v>
      </c>
      <c r="E124" t="s">
        <v>256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1055</v>
      </c>
      <c r="I124" t="s">
        <v>1116</v>
      </c>
    </row>
    <row r="125" spans="1:9" x14ac:dyDescent="0.25">
      <c r="A125" t="s">
        <v>9</v>
      </c>
      <c r="B125" t="s">
        <v>257</v>
      </c>
      <c r="C125">
        <v>24990000</v>
      </c>
      <c r="D125">
        <v>23890000</v>
      </c>
      <c r="E125" t="s">
        <v>258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1055</v>
      </c>
      <c r="I125" t="s">
        <v>1116</v>
      </c>
    </row>
    <row r="126" spans="1:9" x14ac:dyDescent="0.25">
      <c r="A126" t="s">
        <v>9</v>
      </c>
      <c r="B126" t="s">
        <v>259</v>
      </c>
      <c r="C126">
        <v>0</v>
      </c>
      <c r="D126">
        <v>28990000</v>
      </c>
      <c r="E126" t="s">
        <v>260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1056</v>
      </c>
      <c r="I126" t="s">
        <v>1114</v>
      </c>
    </row>
    <row r="127" spans="1:9" x14ac:dyDescent="0.25">
      <c r="A127" t="s">
        <v>9</v>
      </c>
      <c r="B127" t="s">
        <v>261</v>
      </c>
      <c r="C127">
        <v>0</v>
      </c>
      <c r="D127">
        <v>29990000</v>
      </c>
      <c r="E127" t="s">
        <v>262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1056</v>
      </c>
      <c r="I127" t="s">
        <v>1114</v>
      </c>
    </row>
    <row r="128" spans="1:9" x14ac:dyDescent="0.25">
      <c r="A128" t="s">
        <v>9</v>
      </c>
      <c r="B128" t="s">
        <v>263</v>
      </c>
      <c r="C128">
        <v>0</v>
      </c>
      <c r="D128">
        <v>29490000</v>
      </c>
      <c r="E128" t="s">
        <v>264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1056</v>
      </c>
      <c r="I128" t="s">
        <v>1114</v>
      </c>
    </row>
    <row r="129" spans="1:9" x14ac:dyDescent="0.25">
      <c r="A129" t="s">
        <v>9</v>
      </c>
      <c r="B129" t="s">
        <v>265</v>
      </c>
      <c r="C129">
        <v>32990000</v>
      </c>
      <c r="D129">
        <v>31490000</v>
      </c>
      <c r="E129" t="s">
        <v>266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1056</v>
      </c>
      <c r="I129" t="s">
        <v>1114</v>
      </c>
    </row>
    <row r="130" spans="1:9" x14ac:dyDescent="0.25">
      <c r="A130" t="s">
        <v>9</v>
      </c>
      <c r="B130" t="s">
        <v>267</v>
      </c>
      <c r="C130">
        <v>53990000</v>
      </c>
      <c r="D130">
        <v>48990000</v>
      </c>
      <c r="E130" t="s">
        <v>268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1063</v>
      </c>
      <c r="I130" t="s">
        <v>1114</v>
      </c>
    </row>
    <row r="131" spans="1:9" x14ac:dyDescent="0.25">
      <c r="A131" t="s">
        <v>9</v>
      </c>
      <c r="B131" t="s">
        <v>269</v>
      </c>
      <c r="C131">
        <v>42990000</v>
      </c>
      <c r="D131">
        <v>38990000</v>
      </c>
      <c r="E131" t="s">
        <v>270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1063</v>
      </c>
      <c r="I131" t="s">
        <v>1114</v>
      </c>
    </row>
    <row r="132" spans="1:9" x14ac:dyDescent="0.25">
      <c r="A132" t="s">
        <v>9</v>
      </c>
      <c r="B132" t="s">
        <v>271</v>
      </c>
      <c r="C132">
        <v>43990000</v>
      </c>
      <c r="D132">
        <v>42990000</v>
      </c>
      <c r="E132" t="s">
        <v>272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1063</v>
      </c>
      <c r="I132" t="s">
        <v>1114</v>
      </c>
    </row>
    <row r="133" spans="1:9" x14ac:dyDescent="0.25">
      <c r="A133" t="s">
        <v>9</v>
      </c>
      <c r="B133" t="s">
        <v>273</v>
      </c>
      <c r="C133">
        <v>45990000</v>
      </c>
      <c r="D133">
        <v>45490000</v>
      </c>
      <c r="E133" t="s">
        <v>274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1063</v>
      </c>
      <c r="I133" t="s">
        <v>1114</v>
      </c>
    </row>
    <row r="134" spans="1:9" x14ac:dyDescent="0.25">
      <c r="A134" t="s">
        <v>9</v>
      </c>
      <c r="B134" t="s">
        <v>275</v>
      </c>
      <c r="C134">
        <v>119990000</v>
      </c>
      <c r="D134">
        <v>114990000</v>
      </c>
      <c r="E134" t="s">
        <v>276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1117</v>
      </c>
    </row>
    <row r="135" spans="1:9" x14ac:dyDescent="0.25">
      <c r="A135" t="s">
        <v>9</v>
      </c>
      <c r="B135" t="s">
        <v>277</v>
      </c>
      <c r="C135">
        <v>134990000</v>
      </c>
      <c r="D135">
        <v>129990000</v>
      </c>
      <c r="E135" t="s">
        <v>278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1117</v>
      </c>
    </row>
    <row r="136" spans="1:9" x14ac:dyDescent="0.25">
      <c r="A136" t="s">
        <v>9</v>
      </c>
      <c r="B136" t="s">
        <v>279</v>
      </c>
      <c r="C136">
        <v>134990000</v>
      </c>
      <c r="D136">
        <v>132990000</v>
      </c>
      <c r="E136" t="s">
        <v>280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1117</v>
      </c>
    </row>
    <row r="137" spans="1:9" x14ac:dyDescent="0.25">
      <c r="A137" t="s">
        <v>9</v>
      </c>
      <c r="B137" t="s">
        <v>281</v>
      </c>
      <c r="C137">
        <v>104990000</v>
      </c>
      <c r="D137">
        <v>98990000</v>
      </c>
      <c r="E137" t="s">
        <v>282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1117</v>
      </c>
    </row>
    <row r="138" spans="1:9" x14ac:dyDescent="0.25">
      <c r="A138" t="s">
        <v>9</v>
      </c>
      <c r="B138" t="s">
        <v>283</v>
      </c>
      <c r="C138">
        <v>33990000</v>
      </c>
      <c r="D138">
        <v>32990000</v>
      </c>
      <c r="E138" t="s">
        <v>284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1056</v>
      </c>
      <c r="I138" t="s">
        <v>1114</v>
      </c>
    </row>
    <row r="139" spans="1:9" x14ac:dyDescent="0.25">
      <c r="A139" t="s">
        <v>9</v>
      </c>
      <c r="B139" t="s">
        <v>285</v>
      </c>
      <c r="C139">
        <v>33990000</v>
      </c>
      <c r="D139">
        <v>32990000</v>
      </c>
      <c r="E139" t="s">
        <v>286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1056</v>
      </c>
      <c r="I139" t="s">
        <v>1114</v>
      </c>
    </row>
    <row r="140" spans="1:9" x14ac:dyDescent="0.25">
      <c r="A140" t="s">
        <v>9</v>
      </c>
      <c r="B140" t="s">
        <v>287</v>
      </c>
      <c r="C140">
        <v>34490000</v>
      </c>
      <c r="D140">
        <v>33990000</v>
      </c>
      <c r="E140" t="s">
        <v>288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1056</v>
      </c>
      <c r="I140" t="s">
        <v>1114</v>
      </c>
    </row>
    <row r="141" spans="1:9" x14ac:dyDescent="0.25">
      <c r="A141" t="s">
        <v>9</v>
      </c>
      <c r="B141" t="s">
        <v>289</v>
      </c>
      <c r="C141">
        <v>33490000</v>
      </c>
      <c r="D141">
        <v>31990000</v>
      </c>
      <c r="E141" t="s">
        <v>290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1056</v>
      </c>
      <c r="I141" t="s">
        <v>1114</v>
      </c>
    </row>
    <row r="142" spans="1:9" x14ac:dyDescent="0.25">
      <c r="A142" t="s">
        <v>9</v>
      </c>
      <c r="B142" t="s">
        <v>291</v>
      </c>
      <c r="C142">
        <v>40990000</v>
      </c>
      <c r="D142">
        <v>39990000</v>
      </c>
      <c r="E142" t="s">
        <v>292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1063</v>
      </c>
      <c r="I142" t="s">
        <v>1114</v>
      </c>
    </row>
    <row r="143" spans="1:9" x14ac:dyDescent="0.25">
      <c r="A143" t="s">
        <v>9</v>
      </c>
      <c r="B143" t="s">
        <v>293</v>
      </c>
      <c r="C143">
        <v>41490000</v>
      </c>
      <c r="D143">
        <v>38690000</v>
      </c>
      <c r="E143" t="s">
        <v>294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1063</v>
      </c>
      <c r="I143" t="s">
        <v>1114</v>
      </c>
    </row>
    <row r="144" spans="1:9" x14ac:dyDescent="0.25">
      <c r="A144" t="s">
        <v>9</v>
      </c>
      <c r="B144" t="s">
        <v>295</v>
      </c>
      <c r="C144">
        <v>45490000</v>
      </c>
      <c r="D144">
        <v>43990000</v>
      </c>
      <c r="E144" t="s">
        <v>296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1063</v>
      </c>
      <c r="I144" t="s">
        <v>1114</v>
      </c>
    </row>
    <row r="145" spans="1:9" x14ac:dyDescent="0.25">
      <c r="A145" t="s">
        <v>9</v>
      </c>
      <c r="B145" t="s">
        <v>297</v>
      </c>
      <c r="C145">
        <v>48990000</v>
      </c>
      <c r="D145">
        <v>47290000</v>
      </c>
      <c r="E145" t="s">
        <v>298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1063</v>
      </c>
      <c r="I145" t="s">
        <v>1114</v>
      </c>
    </row>
    <row r="146" spans="1:9" x14ac:dyDescent="0.25">
      <c r="A146" t="s">
        <v>9</v>
      </c>
      <c r="B146" t="s">
        <v>299</v>
      </c>
      <c r="C146">
        <v>104990000</v>
      </c>
      <c r="D146">
        <v>99990000</v>
      </c>
      <c r="E146" t="s">
        <v>300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1117</v>
      </c>
    </row>
    <row r="147" spans="1:9" x14ac:dyDescent="0.25">
      <c r="A147" t="s">
        <v>9</v>
      </c>
      <c r="B147" t="s">
        <v>301</v>
      </c>
      <c r="C147">
        <v>135000000</v>
      </c>
      <c r="D147">
        <v>108990000</v>
      </c>
      <c r="E147" t="s">
        <v>302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1117</v>
      </c>
    </row>
    <row r="148" spans="1:9" x14ac:dyDescent="0.25">
      <c r="A148" t="s">
        <v>9</v>
      </c>
      <c r="B148" t="s">
        <v>303</v>
      </c>
      <c r="C148">
        <v>135000000</v>
      </c>
      <c r="D148">
        <v>115000000</v>
      </c>
      <c r="E148" t="s">
        <v>304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1117</v>
      </c>
    </row>
    <row r="149" spans="1:9" x14ac:dyDescent="0.25">
      <c r="A149" t="s">
        <v>9</v>
      </c>
      <c r="B149" t="s">
        <v>305</v>
      </c>
      <c r="C149">
        <v>139000000</v>
      </c>
      <c r="D149">
        <v>104990000</v>
      </c>
      <c r="E149" t="s">
        <v>306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1117</v>
      </c>
    </row>
    <row r="150" spans="1:9" x14ac:dyDescent="0.25">
      <c r="A150" t="s">
        <v>9</v>
      </c>
      <c r="B150" t="s">
        <v>307</v>
      </c>
      <c r="C150">
        <v>8490000</v>
      </c>
      <c r="D150">
        <v>8390000</v>
      </c>
      <c r="E150" t="s">
        <v>308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25">
      <c r="A151" t="s">
        <v>9</v>
      </c>
      <c r="B151" t="s">
        <v>309</v>
      </c>
      <c r="C151">
        <v>10990000</v>
      </c>
      <c r="D151">
        <v>9690000</v>
      </c>
      <c r="E151" t="s">
        <v>310</v>
      </c>
      <c r="F151" t="s">
        <v>12</v>
      </c>
      <c r="G151" t="s">
        <v>1041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1116</v>
      </c>
    </row>
    <row r="152" spans="1:9" x14ac:dyDescent="0.25">
      <c r="A152" t="s">
        <v>9</v>
      </c>
      <c r="B152" t="s">
        <v>17</v>
      </c>
      <c r="C152">
        <v>11990000</v>
      </c>
      <c r="D152">
        <v>11490000</v>
      </c>
      <c r="E152" t="s">
        <v>18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Gigabyte</v>
      </c>
      <c r="H152" t="str">
        <f>_xlfn.TEXTJOIN(",",TRUE,_xlfn._xlws.FILTER(Chipset_Table[Chipset], (Chipset_Table[Chipset text]&lt;&gt;"") * ISNUMBER(SEARCH(Chipset_Table[Chipset text], B152)), ""))</f>
        <v>GeForce RTX 5060</v>
      </c>
      <c r="I152" t="s">
        <v>1036</v>
      </c>
    </row>
    <row r="153" spans="1:9" x14ac:dyDescent="0.25">
      <c r="A153" t="s">
        <v>9</v>
      </c>
      <c r="B153" t="s">
        <v>19</v>
      </c>
      <c r="C153">
        <v>9490000</v>
      </c>
      <c r="D153">
        <v>8990000</v>
      </c>
      <c r="E153" t="s">
        <v>20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ZOTAC</v>
      </c>
      <c r="H153" t="s">
        <v>1061</v>
      </c>
      <c r="I153" t="s">
        <v>1036</v>
      </c>
    </row>
    <row r="154" spans="1:9" x14ac:dyDescent="0.25">
      <c r="A154" t="s">
        <v>9</v>
      </c>
      <c r="B154" t="s">
        <v>311</v>
      </c>
      <c r="C154">
        <v>6890000</v>
      </c>
      <c r="D154">
        <v>6390000</v>
      </c>
      <c r="E154" t="s">
        <v>312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ZOTAC</v>
      </c>
      <c r="H154" t="str">
        <f>_xlfn.TEXTJOIN(",",TRUE,_xlfn._xlws.FILTER(Chipset_Table[Chipset], (Chipset_Table[Chipset text]&lt;&gt;"") * ISNUMBER(SEARCH(Chipset_Table[Chipset text], B154)), ""))</f>
        <v>GeForce RTX 3050</v>
      </c>
      <c r="I154" t="s">
        <v>1123</v>
      </c>
    </row>
    <row r="155" spans="1:9" x14ac:dyDescent="0.25">
      <c r="A155" t="s">
        <v>9</v>
      </c>
      <c r="B155" t="s">
        <v>25</v>
      </c>
      <c r="C155">
        <v>11990000</v>
      </c>
      <c r="D155">
        <v>11490000</v>
      </c>
      <c r="E155" t="s">
        <v>26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MSI</v>
      </c>
      <c r="H155" t="str">
        <f>_xlfn.TEXTJOIN(",",TRUE,_xlfn._xlws.FILTER(Chipset_Table[Chipset], (Chipset_Table[Chipset text]&lt;&gt;"") * ISNUMBER(SEARCH(Chipset_Table[Chipset text], B155)), ""))</f>
        <v>GeForce RTX 5060</v>
      </c>
      <c r="I155" t="s">
        <v>1036</v>
      </c>
    </row>
    <row r="156" spans="1:9" x14ac:dyDescent="0.25">
      <c r="A156" t="s">
        <v>9</v>
      </c>
      <c r="B156" t="s">
        <v>23</v>
      </c>
      <c r="C156">
        <v>16990000</v>
      </c>
      <c r="D156">
        <v>15990000</v>
      </c>
      <c r="E156" t="s">
        <v>24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ZOTAC</v>
      </c>
      <c r="H156" t="s">
        <v>1062</v>
      </c>
      <c r="I156" t="s">
        <v>1114</v>
      </c>
    </row>
    <row r="157" spans="1:9" x14ac:dyDescent="0.25">
      <c r="A157" t="s">
        <v>9</v>
      </c>
      <c r="B157" t="s">
        <v>27</v>
      </c>
      <c r="C157">
        <v>11690000</v>
      </c>
      <c r="D157">
        <v>9990000</v>
      </c>
      <c r="E157" t="s">
        <v>28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Gigabyte</v>
      </c>
      <c r="H157" t="str">
        <f>_xlfn.TEXTJOIN(",",TRUE,_xlfn._xlws.FILTER(Chipset_Table[Chipset], (Chipset_Table[Chipset text]&lt;&gt;"") * ISNUMBER(SEARCH(Chipset_Table[Chipset text], B157)), ""))</f>
        <v>GeForce RTX 5060</v>
      </c>
      <c r="I157" t="s">
        <v>1036</v>
      </c>
    </row>
    <row r="158" spans="1:9" x14ac:dyDescent="0.25">
      <c r="A158" t="s">
        <v>9</v>
      </c>
      <c r="B158" t="s">
        <v>313</v>
      </c>
      <c r="C158">
        <v>20990000</v>
      </c>
      <c r="D158">
        <v>19490000</v>
      </c>
      <c r="E158" t="s">
        <v>314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1065</v>
      </c>
      <c r="I158" t="s">
        <v>1116</v>
      </c>
    </row>
    <row r="159" spans="1:9" x14ac:dyDescent="0.25">
      <c r="A159" t="s">
        <v>9</v>
      </c>
      <c r="B159" t="s">
        <v>31</v>
      </c>
      <c r="C159">
        <v>53990000</v>
      </c>
      <c r="D159">
        <v>49990000</v>
      </c>
      <c r="E159" t="s">
        <v>32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MSI</v>
      </c>
      <c r="H159" t="s">
        <v>1063</v>
      </c>
      <c r="I159" t="s">
        <v>1114</v>
      </c>
    </row>
    <row r="160" spans="1:9" x14ac:dyDescent="0.25">
      <c r="A160" t="s">
        <v>9</v>
      </c>
      <c r="B160" t="s">
        <v>315</v>
      </c>
      <c r="C160">
        <v>8990000</v>
      </c>
      <c r="D160">
        <v>8590000</v>
      </c>
      <c r="E160" t="s">
        <v>316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Gigabyte</v>
      </c>
      <c r="H160" t="s">
        <v>1057</v>
      </c>
      <c r="I160" t="s">
        <v>1116</v>
      </c>
    </row>
    <row r="161" spans="1:9" x14ac:dyDescent="0.25">
      <c r="A161" t="s">
        <v>9</v>
      </c>
      <c r="B161" t="s">
        <v>317</v>
      </c>
      <c r="C161">
        <v>4990000</v>
      </c>
      <c r="D161">
        <v>3790000</v>
      </c>
      <c r="E161" t="s">
        <v>318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ASUS</v>
      </c>
      <c r="H161" t="str">
        <f>_xlfn.TEXTJOIN(",",TRUE,_xlfn._xlws.FILTER(Chipset_Table[Chipset], (Chipset_Table[Chipset text]&lt;&gt;"") * ISNUMBER(SEARCH(Chipset_Table[Chipset text], B161)), ""))</f>
        <v>RX 6500 XT</v>
      </c>
      <c r="I161" t="s">
        <v>1124</v>
      </c>
    </row>
    <row r="162" spans="1:9" x14ac:dyDescent="0.25">
      <c r="A162" t="s">
        <v>9</v>
      </c>
      <c r="B162" t="s">
        <v>319</v>
      </c>
      <c r="C162">
        <v>8990000</v>
      </c>
      <c r="D162">
        <v>8490000</v>
      </c>
      <c r="E162" t="s">
        <v>320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tr">
        <f>_xlfn.TEXTJOIN(",",TRUE,_xlfn._xlws.FILTER(Chipset_Table[Chipset], (Chipset_Table[Chipset text]&lt;&gt;"") * ISNUMBER(SEARCH(Chipset_Table[Chipset text], B162)), ""))</f>
        <v>GeForce RTX 4060</v>
      </c>
      <c r="I162" t="s">
        <v>1036</v>
      </c>
    </row>
    <row r="163" spans="1:9" x14ac:dyDescent="0.25">
      <c r="A163" t="s">
        <v>9</v>
      </c>
      <c r="B163" t="s">
        <v>321</v>
      </c>
      <c r="C163">
        <v>7990000</v>
      </c>
      <c r="D163">
        <v>7790000</v>
      </c>
      <c r="E163" t="s">
        <v>322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ASUS</v>
      </c>
      <c r="H163" t="str">
        <f>_xlfn.TEXTJOIN(",",TRUE,_xlfn._xlws.FILTER(Chipset_Table[Chipset], (Chipset_Table[Chipset text]&lt;&gt;"") * ISNUMBER(SEARCH(Chipset_Table[Chipset text], B163)), ""))</f>
        <v>RX 7600</v>
      </c>
      <c r="I163" t="s">
        <v>1036</v>
      </c>
    </row>
    <row r="164" spans="1:9" x14ac:dyDescent="0.25">
      <c r="A164" t="s">
        <v>9</v>
      </c>
      <c r="B164" t="s">
        <v>323</v>
      </c>
      <c r="C164">
        <v>59990000</v>
      </c>
      <c r="D164">
        <v>39990000</v>
      </c>
      <c r="E164" t="s">
        <v>324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Gigabyte</v>
      </c>
      <c r="H164" t="s">
        <v>1113</v>
      </c>
      <c r="I164" t="s">
        <v>1114</v>
      </c>
    </row>
    <row r="165" spans="1:9" x14ac:dyDescent="0.25">
      <c r="A165" t="s">
        <v>9</v>
      </c>
      <c r="B165" t="s">
        <v>325</v>
      </c>
      <c r="C165">
        <v>5690000</v>
      </c>
      <c r="D165">
        <v>4690000</v>
      </c>
      <c r="E165" t="s">
        <v>326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ASUS</v>
      </c>
      <c r="H165" t="str">
        <f>_xlfn.TEXTJOIN(",",TRUE,_xlfn._xlws.FILTER(Chipset_Table[Chipset], (Chipset_Table[Chipset text]&lt;&gt;"") * ISNUMBER(SEARCH(Chipset_Table[Chipset text], B165)), ""))</f>
        <v>GeForce RTX 3050</v>
      </c>
      <c r="I165" t="s">
        <v>1123</v>
      </c>
    </row>
    <row r="166" spans="1:9" x14ac:dyDescent="0.25">
      <c r="A166" t="s">
        <v>9</v>
      </c>
      <c r="B166" t="s">
        <v>327</v>
      </c>
      <c r="C166">
        <v>5790000</v>
      </c>
      <c r="D166">
        <v>4790000</v>
      </c>
      <c r="E166" t="s">
        <v>328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ASUS</v>
      </c>
      <c r="H166" t="str">
        <f>_xlfn.TEXTJOIN(",",TRUE,_xlfn._xlws.FILTER(Chipset_Table[Chipset], (Chipset_Table[Chipset text]&lt;&gt;"") * ISNUMBER(SEARCH(Chipset_Table[Chipset text], B166)), ""))</f>
        <v>GeForce RTX 3050</v>
      </c>
      <c r="I166" t="s">
        <v>1123</v>
      </c>
    </row>
    <row r="167" spans="1:9" x14ac:dyDescent="0.25">
      <c r="A167" t="s">
        <v>9</v>
      </c>
      <c r="B167" t="s">
        <v>329</v>
      </c>
      <c r="C167">
        <v>5990000</v>
      </c>
      <c r="D167">
        <v>4990000</v>
      </c>
      <c r="E167" t="s">
        <v>330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MSI</v>
      </c>
      <c r="H167" t="str">
        <f>_xlfn.TEXTJOIN(",",TRUE,_xlfn._xlws.FILTER(Chipset_Table[Chipset], (Chipset_Table[Chipset text]&lt;&gt;"") * ISNUMBER(SEARCH(Chipset_Table[Chipset text], B167)), ""))</f>
        <v>GeForce RTX 3050</v>
      </c>
      <c r="I167" t="str">
        <f>_xlfn.TEXTJOIN(",",TRUE,_xlfn._xlws.FILTER(VRAM_table[Video memory], (VRAM_table[Video memory text]&lt;&gt;"") * ISNUMBER(SEARCH(VRAM_table[Video memory text], B167)), ""))</f>
        <v>6GB</v>
      </c>
    </row>
    <row r="168" spans="1:9" x14ac:dyDescent="0.25">
      <c r="A168" t="s">
        <v>9</v>
      </c>
      <c r="B168" t="s">
        <v>331</v>
      </c>
      <c r="C168">
        <v>4190000</v>
      </c>
      <c r="D168">
        <v>3690000</v>
      </c>
      <c r="E168" t="s">
        <v>332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ASUS</v>
      </c>
      <c r="H168" t="s">
        <v>1070</v>
      </c>
      <c r="I168" t="s">
        <v>1124</v>
      </c>
    </row>
    <row r="169" spans="1:9" x14ac:dyDescent="0.25">
      <c r="A169" t="s">
        <v>9</v>
      </c>
      <c r="B169" t="s">
        <v>333</v>
      </c>
      <c r="C169">
        <v>9390000</v>
      </c>
      <c r="D169">
        <v>8990000</v>
      </c>
      <c r="E169" t="s">
        <v>334</v>
      </c>
      <c r="F169" t="s">
        <v>12</v>
      </c>
      <c r="G169" t="str">
        <f>_xlfn.TEXTJOIN(",",TRUE,_xlfn._xlws.FILTER(GPU_brand[GPU brand], (GPU_brand[GPU brand text]&lt;&gt;"") * ISNUMBER(SEARCH(GPU_brand[GPU brand text], B169)), ""))</f>
        <v>MSI</v>
      </c>
      <c r="H169" t="str">
        <f>_xlfn.TEXTJOIN(",",TRUE,_xlfn._xlws.FILTER(Chipset_Table[Chipset], (Chipset_Table[Chipset text]&lt;&gt;"") * ISNUMBER(SEARCH(Chipset_Table[Chipset text], B169)), ""))</f>
        <v>GeForce RTX 4060</v>
      </c>
      <c r="I169" t="str">
        <f>_xlfn.TEXTJOIN(",",TRUE,_xlfn._xlws.FILTER(VRAM_table[Video memory], (VRAM_table[Video memory text]&lt;&gt;"") * ISNUMBER(SEARCH(VRAM_table[Video memory text], B169)), ""))</f>
        <v>8GB</v>
      </c>
    </row>
    <row r="170" spans="1:9" x14ac:dyDescent="0.25">
      <c r="A170" t="s">
        <v>9</v>
      </c>
      <c r="B170" t="s">
        <v>335</v>
      </c>
      <c r="C170">
        <v>6990000</v>
      </c>
      <c r="D170">
        <v>5990000</v>
      </c>
      <c r="E170" t="s">
        <v>336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MSI</v>
      </c>
      <c r="H170" t="str">
        <f>_xlfn.TEXTJOIN(",",TRUE,_xlfn._xlws.FILTER(Chipset_Table[Chipset], (Chipset_Table[Chipset text]&lt;&gt;"") * ISNUMBER(SEARCH(Chipset_Table[Chipset text], B170)), ""))</f>
        <v>GeForce RTX 3050</v>
      </c>
      <c r="I170" t="str">
        <f>_xlfn.TEXTJOIN(",",TRUE,_xlfn._xlws.FILTER(VRAM_table[Video memory], (VRAM_table[Video memory text]&lt;&gt;"") * ISNUMBER(SEARCH(VRAM_table[Video memory text], B170)), ""))</f>
        <v>8GB</v>
      </c>
    </row>
    <row r="171" spans="1:9" x14ac:dyDescent="0.25">
      <c r="A171" t="s">
        <v>9</v>
      </c>
      <c r="B171" t="s">
        <v>337</v>
      </c>
      <c r="C171">
        <v>9590000</v>
      </c>
      <c r="D171">
        <v>8490000</v>
      </c>
      <c r="E171" t="s">
        <v>338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MSI</v>
      </c>
      <c r="H171" t="str">
        <f>_xlfn.TEXTJOIN(",",TRUE,_xlfn._xlws.FILTER(Chipset_Table[Chipset], (Chipset_Table[Chipset text]&lt;&gt;"") * ISNUMBER(SEARCH(Chipset_Table[Chipset text], B171)), ""))</f>
        <v>GeForce RTX 4060</v>
      </c>
      <c r="I171" t="str">
        <f>_xlfn.TEXTJOIN(",",TRUE,_xlfn._xlws.FILTER(VRAM_table[Video memory], (VRAM_table[Video memory text]&lt;&gt;"") * ISNUMBER(SEARCH(VRAM_table[Video memory text], B171)), ""))</f>
        <v>8GB</v>
      </c>
    </row>
    <row r="172" spans="1:9" x14ac:dyDescent="0.25">
      <c r="A172" t="s">
        <v>9</v>
      </c>
      <c r="B172" t="s">
        <v>339</v>
      </c>
      <c r="C172">
        <v>8990000</v>
      </c>
      <c r="D172">
        <v>8290000</v>
      </c>
      <c r="E172" t="s">
        <v>340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">
        <v>1057</v>
      </c>
      <c r="I172" t="s">
        <v>1116</v>
      </c>
    </row>
    <row r="173" spans="1:9" x14ac:dyDescent="0.25">
      <c r="A173" t="s">
        <v>9</v>
      </c>
      <c r="B173" t="s">
        <v>341</v>
      </c>
      <c r="C173">
        <v>8690000</v>
      </c>
      <c r="D173">
        <v>7890000</v>
      </c>
      <c r="E173" t="s">
        <v>342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ASUS</v>
      </c>
      <c r="H173" t="s">
        <v>1057</v>
      </c>
      <c r="I173" t="s">
        <v>1116</v>
      </c>
    </row>
    <row r="174" spans="1:9" x14ac:dyDescent="0.25">
      <c r="A174" t="s">
        <v>9</v>
      </c>
      <c r="B174" t="s">
        <v>343</v>
      </c>
      <c r="C174">
        <v>0</v>
      </c>
      <c r="D174">
        <v>8590000</v>
      </c>
      <c r="E174" t="s">
        <v>344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MSI</v>
      </c>
      <c r="H174" t="s">
        <v>1070</v>
      </c>
      <c r="I174" t="s">
        <v>1124</v>
      </c>
    </row>
    <row r="175" spans="1:9" x14ac:dyDescent="0.25">
      <c r="A175" t="s">
        <v>9</v>
      </c>
      <c r="B175" t="s">
        <v>345</v>
      </c>
      <c r="C175">
        <v>10990000</v>
      </c>
      <c r="D175">
        <v>9690000</v>
      </c>
      <c r="E175" t="s">
        <v>346</v>
      </c>
      <c r="F175" t="s">
        <v>12</v>
      </c>
      <c r="G175" t="s">
        <v>1041</v>
      </c>
      <c r="H175" t="str">
        <f>_xlfn.TEXTJOIN(",",TRUE,_xlfn._xlws.FILTER(Chipset_Table[Chipset], (Chipset_Table[Chipset text]&lt;&gt;"") * ISNUMBER(SEARCH(Chipset_Table[Chipset text], B175)), ""))</f>
        <v>Intel Arc B580</v>
      </c>
      <c r="I175" t="s">
        <v>1116</v>
      </c>
    </row>
    <row r="176" spans="1:9" x14ac:dyDescent="0.25">
      <c r="A176" t="s">
        <v>9</v>
      </c>
      <c r="B176" t="s">
        <v>55</v>
      </c>
      <c r="C176">
        <v>15990000</v>
      </c>
      <c r="D176">
        <v>14990000</v>
      </c>
      <c r="E176" t="s">
        <v>56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ZOTAC</v>
      </c>
      <c r="H176" t="s">
        <v>1062</v>
      </c>
      <c r="I176" t="s">
        <v>1114</v>
      </c>
    </row>
    <row r="177" spans="1:9" x14ac:dyDescent="0.25">
      <c r="A177" t="s">
        <v>9</v>
      </c>
      <c r="B177" t="s">
        <v>53</v>
      </c>
      <c r="C177">
        <v>13490000</v>
      </c>
      <c r="D177">
        <v>12490000</v>
      </c>
      <c r="E177" t="s">
        <v>54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ZOTAC</v>
      </c>
      <c r="H177" t="s">
        <v>1062</v>
      </c>
      <c r="I177" t="s">
        <v>1036</v>
      </c>
    </row>
    <row r="178" spans="1:9" x14ac:dyDescent="0.25">
      <c r="A178" t="s">
        <v>9</v>
      </c>
      <c r="B178" t="s">
        <v>57</v>
      </c>
      <c r="C178">
        <v>19990000</v>
      </c>
      <c r="D178">
        <v>18990000</v>
      </c>
      <c r="E178" t="s">
        <v>58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ZOTAC</v>
      </c>
      <c r="H178" t="s">
        <v>1055</v>
      </c>
      <c r="I178" t="str">
        <f>_xlfn.TEXTJOIN(",",TRUE,_xlfn._xlws.FILTER(VRAM_table[Video memory], (VRAM_table[Video memory text]&lt;&gt;"") * ISNUMBER(SEARCH(VRAM_table[Video memory text], B178)), ""))</f>
        <v>12GB</v>
      </c>
    </row>
    <row r="179" spans="1:9" x14ac:dyDescent="0.25">
      <c r="A179" t="s">
        <v>9</v>
      </c>
      <c r="B179" t="s">
        <v>115</v>
      </c>
      <c r="C179">
        <v>11390000</v>
      </c>
      <c r="D179">
        <v>10890000</v>
      </c>
      <c r="E179" t="s">
        <v>116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Gigabyte</v>
      </c>
      <c r="H179" t="str">
        <f>_xlfn.TEXTJOIN(",",TRUE,_xlfn._xlws.FILTER(Chipset_Table[Chipset], (Chipset_Table[Chipset text]&lt;&gt;"") * ISNUMBER(SEARCH(Chipset_Table[Chipset text], B179)), ""))</f>
        <v>GeForce RTX 5060</v>
      </c>
      <c r="I179" t="s">
        <v>1036</v>
      </c>
    </row>
    <row r="180" spans="1:9" x14ac:dyDescent="0.25">
      <c r="A180" t="s">
        <v>9</v>
      </c>
      <c r="B180" t="s">
        <v>113</v>
      </c>
      <c r="C180">
        <v>14990000</v>
      </c>
      <c r="D180">
        <v>12990000</v>
      </c>
      <c r="E180" t="s">
        <v>114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MSI</v>
      </c>
      <c r="H180" t="s">
        <v>1062</v>
      </c>
      <c r="I180" t="s">
        <v>1036</v>
      </c>
    </row>
    <row r="181" spans="1:9" x14ac:dyDescent="0.25">
      <c r="A181" t="s">
        <v>9</v>
      </c>
      <c r="B181" t="s">
        <v>111</v>
      </c>
      <c r="C181">
        <v>13990000</v>
      </c>
      <c r="D181">
        <v>12990000</v>
      </c>
      <c r="E181" t="s">
        <v>112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MSI</v>
      </c>
      <c r="H181" t="str">
        <f>_xlfn.TEXTJOIN(",",TRUE,_xlfn._xlws.FILTER(Chipset_Table[Chipset], (Chipset_Table[Chipset text]&lt;&gt;"") * ISNUMBER(SEARCH(Chipset_Table[Chipset text], B181)), ""))</f>
        <v>GeForce RTX 5060</v>
      </c>
      <c r="I181" t="s">
        <v>1036</v>
      </c>
    </row>
    <row r="182" spans="1:9" x14ac:dyDescent="0.25">
      <c r="A182" t="s">
        <v>9</v>
      </c>
      <c r="B182" t="s">
        <v>109</v>
      </c>
      <c r="C182">
        <v>13490000</v>
      </c>
      <c r="D182">
        <v>12990000</v>
      </c>
      <c r="E182" t="s">
        <v>110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MSI</v>
      </c>
      <c r="H182" t="str">
        <f>_xlfn.TEXTJOIN(",",TRUE,_xlfn._xlws.FILTER(Chipset_Table[Chipset], (Chipset_Table[Chipset text]&lt;&gt;"") * ISNUMBER(SEARCH(Chipset_Table[Chipset text], B182)), ""))</f>
        <v>GeForce RTX 5060</v>
      </c>
      <c r="I182" t="s">
        <v>1036</v>
      </c>
    </row>
    <row r="183" spans="1:9" x14ac:dyDescent="0.25">
      <c r="A183" t="s">
        <v>9</v>
      </c>
      <c r="B183" t="s">
        <v>73</v>
      </c>
      <c r="C183">
        <v>54990000</v>
      </c>
      <c r="D183">
        <v>53990000</v>
      </c>
      <c r="E183" t="s">
        <v>74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ASUS</v>
      </c>
      <c r="H183" t="s">
        <v>1063</v>
      </c>
      <c r="I183" t="s">
        <v>1114</v>
      </c>
    </row>
    <row r="184" spans="1:9" x14ac:dyDescent="0.25">
      <c r="A184" t="s">
        <v>9</v>
      </c>
      <c r="B184" t="s">
        <v>105</v>
      </c>
      <c r="C184">
        <v>20490000</v>
      </c>
      <c r="D184">
        <v>19990000</v>
      </c>
      <c r="E184" t="s">
        <v>106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ASUS</v>
      </c>
      <c r="H184" t="s">
        <v>1055</v>
      </c>
      <c r="I184" t="s">
        <v>1116</v>
      </c>
    </row>
    <row r="185" spans="1:9" x14ac:dyDescent="0.25">
      <c r="A185" t="s">
        <v>9</v>
      </c>
      <c r="B185" t="s">
        <v>103</v>
      </c>
      <c r="C185">
        <v>9990000</v>
      </c>
      <c r="D185">
        <v>9690000</v>
      </c>
      <c r="E185" t="s">
        <v>104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ZOTAC</v>
      </c>
      <c r="H185" t="str">
        <f>_xlfn.TEXTJOIN(",",TRUE,_xlfn._xlws.FILTER(Chipset_Table[Chipset], (Chipset_Table[Chipset text]&lt;&gt;"") * ISNUMBER(SEARCH(Chipset_Table[Chipset text], B185)), ""))</f>
        <v>GeForce RTX 5060</v>
      </c>
      <c r="I185" t="s">
        <v>1036</v>
      </c>
    </row>
    <row r="186" spans="1:9" x14ac:dyDescent="0.25">
      <c r="A186" t="s">
        <v>9</v>
      </c>
      <c r="B186" t="s">
        <v>101</v>
      </c>
      <c r="C186">
        <v>10490000</v>
      </c>
      <c r="D186">
        <v>9890000</v>
      </c>
      <c r="E186" t="s">
        <v>102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MSI</v>
      </c>
      <c r="H186" t="str">
        <f>_xlfn.TEXTJOIN(",",TRUE,_xlfn._xlws.FILTER(Chipset_Table[Chipset], (Chipset_Table[Chipset text]&lt;&gt;"") * ISNUMBER(SEARCH(Chipset_Table[Chipset text], B186)), ""))</f>
        <v>GeForce RTX 5060</v>
      </c>
      <c r="I186" t="s">
        <v>1036</v>
      </c>
    </row>
    <row r="187" spans="1:9" x14ac:dyDescent="0.25">
      <c r="A187" t="s">
        <v>9</v>
      </c>
      <c r="B187" t="s">
        <v>99</v>
      </c>
      <c r="C187">
        <v>11990000</v>
      </c>
      <c r="D187">
        <v>10990000</v>
      </c>
      <c r="E187" t="s">
        <v>100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MSI</v>
      </c>
      <c r="H187" t="str">
        <f>_xlfn.TEXTJOIN(",",TRUE,_xlfn._xlws.FILTER(Chipset_Table[Chipset], (Chipset_Table[Chipset text]&lt;&gt;"") * ISNUMBER(SEARCH(Chipset_Table[Chipset text], B187)), ""))</f>
        <v>GeForce RTX 5060</v>
      </c>
      <c r="I187" t="s">
        <v>1036</v>
      </c>
    </row>
    <row r="188" spans="1:9" x14ac:dyDescent="0.25">
      <c r="A188" t="s">
        <v>9</v>
      </c>
      <c r="B188" t="s">
        <v>97</v>
      </c>
      <c r="C188">
        <v>8990000</v>
      </c>
      <c r="D188">
        <v>8790000</v>
      </c>
      <c r="E188" t="s">
        <v>98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">
        <v>1061</v>
      </c>
      <c r="I188" t="s">
        <v>1036</v>
      </c>
    </row>
    <row r="189" spans="1:9" x14ac:dyDescent="0.25">
      <c r="A189" t="s">
        <v>9</v>
      </c>
      <c r="B189" t="s">
        <v>95</v>
      </c>
      <c r="C189">
        <v>8590000</v>
      </c>
      <c r="D189">
        <v>8390000</v>
      </c>
      <c r="E189" t="s">
        <v>96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">
        <v>1061</v>
      </c>
      <c r="I189" t="s">
        <v>1036</v>
      </c>
    </row>
    <row r="190" spans="1:9" x14ac:dyDescent="0.25">
      <c r="A190" t="s">
        <v>9</v>
      </c>
      <c r="B190" t="s">
        <v>93</v>
      </c>
      <c r="C190">
        <v>7890000</v>
      </c>
      <c r="D190">
        <v>7490000</v>
      </c>
      <c r="E190" t="s">
        <v>94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MSI</v>
      </c>
      <c r="H190" t="s">
        <v>1061</v>
      </c>
      <c r="I190" t="s">
        <v>1036</v>
      </c>
    </row>
    <row r="191" spans="1:9" x14ac:dyDescent="0.25">
      <c r="A191" t="s">
        <v>9</v>
      </c>
      <c r="B191" t="s">
        <v>79</v>
      </c>
      <c r="C191">
        <v>8290000</v>
      </c>
      <c r="D191">
        <v>7890000</v>
      </c>
      <c r="E191" t="s">
        <v>80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ASUS</v>
      </c>
      <c r="H191" t="s">
        <v>1061</v>
      </c>
      <c r="I191" t="s">
        <v>1036</v>
      </c>
    </row>
    <row r="192" spans="1:9" x14ac:dyDescent="0.25">
      <c r="A192" t="s">
        <v>9</v>
      </c>
      <c r="B192" t="s">
        <v>87</v>
      </c>
      <c r="C192">
        <v>9290000</v>
      </c>
      <c r="D192">
        <v>7490000</v>
      </c>
      <c r="E192" t="s">
        <v>88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ASUS</v>
      </c>
      <c r="H192" t="s">
        <v>1061</v>
      </c>
      <c r="I192" t="s">
        <v>1036</v>
      </c>
    </row>
    <row r="193" spans="1:9" x14ac:dyDescent="0.25">
      <c r="A193" t="s">
        <v>9</v>
      </c>
      <c r="B193" t="s">
        <v>85</v>
      </c>
      <c r="C193">
        <v>9890000</v>
      </c>
      <c r="D193">
        <v>8690000</v>
      </c>
      <c r="E193" t="s">
        <v>86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ASUS</v>
      </c>
      <c r="H193" t="s">
        <v>1061</v>
      </c>
      <c r="I193" t="s">
        <v>1036</v>
      </c>
    </row>
    <row r="194" spans="1:9" x14ac:dyDescent="0.25">
      <c r="A194" t="s">
        <v>9</v>
      </c>
      <c r="B194" t="s">
        <v>81</v>
      </c>
      <c r="C194">
        <v>9590000</v>
      </c>
      <c r="D194">
        <v>9390000</v>
      </c>
      <c r="E194" t="s">
        <v>82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ASUS</v>
      </c>
      <c r="H194" t="s">
        <v>1061</v>
      </c>
      <c r="I194" t="s">
        <v>1036</v>
      </c>
    </row>
    <row r="195" spans="1:9" x14ac:dyDescent="0.25">
      <c r="A195" t="s">
        <v>9</v>
      </c>
      <c r="B195" t="s">
        <v>75</v>
      </c>
      <c r="C195">
        <v>114990000</v>
      </c>
      <c r="D195">
        <v>102990000</v>
      </c>
      <c r="E195" t="s">
        <v>76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tr">
        <f>_xlfn.TEXTJOIN(",",TRUE,_xlfn._xlws.FILTER(Chipset_Table[Chipset], (Chipset_Table[Chipset text]&lt;&gt;"") * ISNUMBER(SEARCH(Chipset_Table[Chipset text], B195)), ""))</f>
        <v>GeForce RTX 5090</v>
      </c>
      <c r="I195" t="s">
        <v>1117</v>
      </c>
    </row>
    <row r="196" spans="1:9" x14ac:dyDescent="0.25">
      <c r="A196" t="s">
        <v>9</v>
      </c>
      <c r="B196" t="s">
        <v>91</v>
      </c>
      <c r="C196">
        <v>9490000</v>
      </c>
      <c r="D196">
        <v>8890000</v>
      </c>
      <c r="E196" t="s">
        <v>92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">
        <v>1061</v>
      </c>
      <c r="I196" t="s">
        <v>1036</v>
      </c>
    </row>
    <row r="197" spans="1:9" x14ac:dyDescent="0.25">
      <c r="A197" t="s">
        <v>9</v>
      </c>
      <c r="B197" t="s">
        <v>89</v>
      </c>
      <c r="C197">
        <v>8690000</v>
      </c>
      <c r="D197">
        <v>8390000</v>
      </c>
      <c r="E197" t="s">
        <v>90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Gigabyte</v>
      </c>
      <c r="H197" t="s">
        <v>1061</v>
      </c>
      <c r="I197" t="s">
        <v>1036</v>
      </c>
    </row>
    <row r="198" spans="1:9" x14ac:dyDescent="0.25">
      <c r="A198" t="s">
        <v>9</v>
      </c>
      <c r="B198" t="s">
        <v>83</v>
      </c>
      <c r="C198">
        <v>31990000</v>
      </c>
      <c r="D198">
        <v>29490000</v>
      </c>
      <c r="E198" t="s">
        <v>84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MSI</v>
      </c>
      <c r="H198" t="s">
        <v>1056</v>
      </c>
      <c r="I198" t="s">
        <v>1114</v>
      </c>
    </row>
    <row r="199" spans="1:9" x14ac:dyDescent="0.25">
      <c r="A199" t="s">
        <v>9</v>
      </c>
      <c r="B199" t="s">
        <v>69</v>
      </c>
      <c r="C199">
        <v>0</v>
      </c>
      <c r="D199">
        <v>32990000</v>
      </c>
      <c r="E199" t="s">
        <v>70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MSI</v>
      </c>
      <c r="H199" t="s">
        <v>1056</v>
      </c>
      <c r="I199" t="s">
        <v>1114</v>
      </c>
    </row>
    <row r="200" spans="1:9" x14ac:dyDescent="0.25">
      <c r="A200" t="s">
        <v>9</v>
      </c>
      <c r="B200" t="s">
        <v>71</v>
      </c>
      <c r="C200">
        <v>0</v>
      </c>
      <c r="D200">
        <v>54120000</v>
      </c>
      <c r="E200" t="s">
        <v>72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">
        <v>1063</v>
      </c>
      <c r="I200" t="s">
        <v>1114</v>
      </c>
    </row>
    <row r="201" spans="1:9" x14ac:dyDescent="0.25">
      <c r="A201" t="s">
        <v>9</v>
      </c>
      <c r="B201" t="s">
        <v>107</v>
      </c>
      <c r="C201">
        <v>33990000</v>
      </c>
      <c r="D201">
        <v>32490000</v>
      </c>
      <c r="E201" t="s">
        <v>108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">
        <v>1056</v>
      </c>
      <c r="I201" t="s">
        <v>1114</v>
      </c>
    </row>
    <row r="202" spans="1:9" x14ac:dyDescent="0.25">
      <c r="A202" t="s">
        <v>9</v>
      </c>
      <c r="B202" t="s">
        <v>119</v>
      </c>
      <c r="C202">
        <v>10990000</v>
      </c>
      <c r="D202">
        <v>10490000</v>
      </c>
      <c r="E202" t="s">
        <v>120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Gigabyte</v>
      </c>
      <c r="H202" t="str">
        <f>_xlfn.TEXTJOIN(",",TRUE,_xlfn._xlws.FILTER(Chipset_Table[Chipset], (Chipset_Table[Chipset text]&lt;&gt;"") * ISNUMBER(SEARCH(Chipset_Table[Chipset text], B202)), ""))</f>
        <v>GeForce RTX 5060</v>
      </c>
      <c r="I202" t="s">
        <v>1036</v>
      </c>
    </row>
    <row r="203" spans="1:9" x14ac:dyDescent="0.25">
      <c r="A203" t="s">
        <v>9</v>
      </c>
      <c r="B203" t="s">
        <v>117</v>
      </c>
      <c r="C203">
        <v>0</v>
      </c>
      <c r="D203">
        <v>9990000</v>
      </c>
      <c r="E203" t="s">
        <v>118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Gigabyte</v>
      </c>
      <c r="H203" t="str">
        <f>_xlfn.TEXTJOIN(",",TRUE,_xlfn._xlws.FILTER(Chipset_Table[Chipset], (Chipset_Table[Chipset text]&lt;&gt;"") * ISNUMBER(SEARCH(Chipset_Table[Chipset text], B203)), ""))</f>
        <v>GeForce RTX 5060</v>
      </c>
      <c r="I203" t="s">
        <v>1036</v>
      </c>
    </row>
    <row r="204" spans="1:9" x14ac:dyDescent="0.25">
      <c r="A204" t="s">
        <v>9</v>
      </c>
      <c r="B204" t="s">
        <v>347</v>
      </c>
      <c r="C204">
        <v>22990000</v>
      </c>
      <c r="D204">
        <v>19990000</v>
      </c>
      <c r="E204" t="s">
        <v>348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RX 9070</v>
      </c>
      <c r="I204" t="s">
        <v>1114</v>
      </c>
    </row>
    <row r="205" spans="1:9" x14ac:dyDescent="0.25">
      <c r="A205" t="s">
        <v>9</v>
      </c>
      <c r="B205" t="s">
        <v>349</v>
      </c>
      <c r="C205">
        <v>24990000</v>
      </c>
      <c r="D205">
        <v>23490000</v>
      </c>
      <c r="E205" t="s">
        <v>350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RX 9070</v>
      </c>
      <c r="I205" t="s">
        <v>1114</v>
      </c>
    </row>
    <row r="206" spans="1:9" x14ac:dyDescent="0.25">
      <c r="A206" t="s">
        <v>9</v>
      </c>
      <c r="B206" t="s">
        <v>351</v>
      </c>
      <c r="C206">
        <v>5990000</v>
      </c>
      <c r="D206">
        <v>4890000</v>
      </c>
      <c r="E206" t="s">
        <v>352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MSI</v>
      </c>
      <c r="H206" t="str">
        <f>_xlfn.TEXTJOIN(",",TRUE,_xlfn._xlws.FILTER(Chipset_Table[Chipset], (Chipset_Table[Chipset text]&lt;&gt;"") * ISNUMBER(SEARCH(Chipset_Table[Chipset text], B206)), ""))</f>
        <v>GeForce RTX 3050</v>
      </c>
      <c r="I206" t="str">
        <f>_xlfn.TEXTJOIN(",",TRUE,_xlfn._xlws.FILTER(VRAM_table[Video memory], (VRAM_table[Video memory text]&lt;&gt;"") * ISNUMBER(SEARCH(VRAM_table[Video memory text], B206)), ""))</f>
        <v>6GB</v>
      </c>
    </row>
    <row r="207" spans="1:9" x14ac:dyDescent="0.25">
      <c r="A207" t="s">
        <v>9</v>
      </c>
      <c r="B207" t="s">
        <v>185</v>
      </c>
      <c r="C207">
        <v>88990000</v>
      </c>
      <c r="D207">
        <v>79990000</v>
      </c>
      <c r="E207" t="s">
        <v>186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MSI</v>
      </c>
      <c r="H207" t="str">
        <f>_xlfn.TEXTJOIN(",",TRUE,_xlfn._xlws.FILTER(Chipset_Table[Chipset], (Chipset_Table[Chipset text]&lt;&gt;"") * ISNUMBER(SEARCH(Chipset_Table[Chipset text], B207)), ""))</f>
        <v>GeForce RTX 5090</v>
      </c>
      <c r="I207" t="s">
        <v>1117</v>
      </c>
    </row>
    <row r="208" spans="1:9" x14ac:dyDescent="0.25">
      <c r="A208" t="s">
        <v>9</v>
      </c>
      <c r="B208" t="s">
        <v>353</v>
      </c>
      <c r="C208">
        <v>0</v>
      </c>
      <c r="D208">
        <v>20490000</v>
      </c>
      <c r="E208" t="s">
        <v>354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1065</v>
      </c>
      <c r="I208" t="s">
        <v>1116</v>
      </c>
    </row>
    <row r="209" spans="1:9" x14ac:dyDescent="0.25">
      <c r="A209" t="s">
        <v>9</v>
      </c>
      <c r="B209" t="s">
        <v>355</v>
      </c>
      <c r="C209">
        <v>66990000</v>
      </c>
      <c r="D209">
        <v>62990000</v>
      </c>
      <c r="E209" t="s">
        <v>356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ASUS</v>
      </c>
      <c r="H209" t="str">
        <f>_xlfn.TEXTJOIN(",",TRUE,_xlfn._xlws.FILTER(Chipset_Table[Chipset], (Chipset_Table[Chipset text]&lt;&gt;"") * ISNUMBER(SEARCH(Chipset_Table[Chipset text], B209)), ""))</f>
        <v>GeForce RTX 4090</v>
      </c>
      <c r="I209" t="s">
        <v>1127</v>
      </c>
    </row>
    <row r="210" spans="1:9" x14ac:dyDescent="0.25">
      <c r="A210" t="s">
        <v>9</v>
      </c>
      <c r="B210" t="s">
        <v>357</v>
      </c>
      <c r="C210">
        <v>0</v>
      </c>
      <c r="D210">
        <v>12990000</v>
      </c>
      <c r="E210" t="s">
        <v>358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ASUS</v>
      </c>
      <c r="H210" t="str">
        <f>_xlfn.TEXTJOIN(",",TRUE,_xlfn._xlws.FILTER(Chipset_Table[Chipset], (Chipset_Table[Chipset text]&lt;&gt;"") * ISNUMBER(SEARCH(Chipset_Table[Chipset text], B210)), ""))</f>
        <v>GeForce RTX 4060</v>
      </c>
      <c r="I210" t="s">
        <v>1036</v>
      </c>
    </row>
    <row r="211" spans="1:9" x14ac:dyDescent="0.25">
      <c r="A211" t="s">
        <v>9</v>
      </c>
      <c r="B211" t="s">
        <v>359</v>
      </c>
      <c r="C211">
        <v>15990000</v>
      </c>
      <c r="D211">
        <v>14990000</v>
      </c>
      <c r="E211" t="s">
        <v>360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tr">
        <f>_xlfn.TEXTJOIN(",",TRUE,_xlfn._xlws.FILTER(Chipset_Table[Chipset], (Chipset_Table[Chipset text]&lt;&gt;"") * ISNUMBER(SEARCH(Chipset_Table[Chipset text], B211)), ""))</f>
        <v>GeForce RTX 4060</v>
      </c>
      <c r="I211" t="s">
        <v>1114</v>
      </c>
    </row>
    <row r="212" spans="1:9" x14ac:dyDescent="0.25">
      <c r="A212" t="s">
        <v>9</v>
      </c>
      <c r="B212" t="s">
        <v>361</v>
      </c>
      <c r="C212">
        <v>5990000</v>
      </c>
      <c r="D212">
        <v>5490000</v>
      </c>
      <c r="E212" t="s">
        <v>362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tr">
        <f>_xlfn.TEXTJOIN(",",TRUE,_xlfn._xlws.FILTER(Chipset_Table[Chipset], (Chipset_Table[Chipset text]&lt;&gt;"") * ISNUMBER(SEARCH(Chipset_Table[Chipset text], B212)), ""))</f>
        <v>RX 6600</v>
      </c>
      <c r="I212" t="s">
        <v>1036</v>
      </c>
    </row>
    <row r="213" spans="1:9" x14ac:dyDescent="0.25">
      <c r="A213" t="s">
        <v>9</v>
      </c>
      <c r="B213" t="s">
        <v>363</v>
      </c>
      <c r="C213">
        <v>14990000</v>
      </c>
      <c r="D213">
        <v>13990000</v>
      </c>
      <c r="E213" t="s">
        <v>364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MSI</v>
      </c>
      <c r="H213" t="str">
        <f>_xlfn.TEXTJOIN(",",TRUE,_xlfn._xlws.FILTER(Chipset_Table[Chipset], (Chipset_Table[Chipset text]&lt;&gt;"") * ISNUMBER(SEARCH(Chipset_Table[Chipset text], B213)), ""))</f>
        <v>GeForce RTX 4060</v>
      </c>
      <c r="I213" t="str">
        <f>_xlfn.TEXTJOIN(",",TRUE,_xlfn._xlws.FILTER(VRAM_table[Video memory], (VRAM_table[Video memory text]&lt;&gt;"") * ISNUMBER(SEARCH(VRAM_table[Video memory text], B213)), ""))</f>
        <v>8GB</v>
      </c>
    </row>
    <row r="214" spans="1:9" x14ac:dyDescent="0.25">
      <c r="A214" t="s">
        <v>9</v>
      </c>
      <c r="B214" t="s">
        <v>365</v>
      </c>
      <c r="C214">
        <v>31990000</v>
      </c>
      <c r="D214">
        <v>29490000</v>
      </c>
      <c r="E214" t="s">
        <v>366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ASUS</v>
      </c>
      <c r="H214" t="s">
        <v>1074</v>
      </c>
      <c r="I214" t="s">
        <v>1114</v>
      </c>
    </row>
    <row r="215" spans="1:9" x14ac:dyDescent="0.25">
      <c r="A215" t="s">
        <v>9</v>
      </c>
      <c r="B215" t="s">
        <v>367</v>
      </c>
      <c r="C215">
        <v>7490000</v>
      </c>
      <c r="D215">
        <v>6790000</v>
      </c>
      <c r="E215" t="s">
        <v>368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Gigabyte</v>
      </c>
      <c r="H215" t="str">
        <f>_xlfn.TEXTJOIN(",",TRUE,_xlfn._xlws.FILTER(Chipset_Table[Chipset], (Chipset_Table[Chipset text]&lt;&gt;"") * ISNUMBER(SEARCH(Chipset_Table[Chipset text], B215)), ""))</f>
        <v>GeForce RTX 3050</v>
      </c>
      <c r="I215" t="str">
        <f>_xlfn.TEXTJOIN(",",TRUE,_xlfn._xlws.FILTER(VRAM_table[Video memory], (VRAM_table[Video memory text]&lt;&gt;"") * ISNUMBER(SEARCH(VRAM_table[Video memory text], B215)), ""))</f>
        <v>6GB</v>
      </c>
    </row>
    <row r="216" spans="1:9" x14ac:dyDescent="0.25">
      <c r="A216" t="s">
        <v>9</v>
      </c>
      <c r="B216" t="s">
        <v>369</v>
      </c>
      <c r="C216">
        <v>29990000</v>
      </c>
      <c r="D216">
        <v>29190000</v>
      </c>
      <c r="E216" t="s">
        <v>370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ASUS</v>
      </c>
      <c r="H216" t="s">
        <v>1074</v>
      </c>
      <c r="I216" t="s">
        <v>1114</v>
      </c>
    </row>
    <row r="217" spans="1:9" x14ac:dyDescent="0.25">
      <c r="A217" t="s">
        <v>9</v>
      </c>
      <c r="B217" t="s">
        <v>371</v>
      </c>
      <c r="C217">
        <v>5990000</v>
      </c>
      <c r="D217">
        <v>5090000</v>
      </c>
      <c r="E217" t="s">
        <v>372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Gigabyte</v>
      </c>
      <c r="H217" t="str">
        <f>_xlfn.TEXTJOIN(",",TRUE,_xlfn._xlws.FILTER(Chipset_Table[Chipset], (Chipset_Table[Chipset text]&lt;&gt;"") * ISNUMBER(SEARCH(Chipset_Table[Chipset text], B217)), ""))</f>
        <v>GeForce RTX 3050</v>
      </c>
      <c r="I217" t="str">
        <f>_xlfn.TEXTJOIN(",",TRUE,_xlfn._xlws.FILTER(VRAM_table[Video memory], (VRAM_table[Video memory text]&lt;&gt;"") * ISNUMBER(SEARCH(VRAM_table[Video memory text], B217)), ""))</f>
        <v>6GB</v>
      </c>
    </row>
    <row r="218" spans="1:9" x14ac:dyDescent="0.25">
      <c r="A218" t="s">
        <v>9</v>
      </c>
      <c r="B218" t="s">
        <v>373</v>
      </c>
      <c r="C218">
        <v>18990000</v>
      </c>
      <c r="D218">
        <v>17390000</v>
      </c>
      <c r="E218" t="s">
        <v>374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tr">
        <f>_xlfn.TEXTJOIN(",",TRUE,_xlfn._xlws.FILTER(Chipset_Table[Chipset], (Chipset_Table[Chipset text]&lt;&gt;"") * ISNUMBER(SEARCH(Chipset_Table[Chipset text], B218)), ""))</f>
        <v>GeForce RTX 4070</v>
      </c>
      <c r="I218" t="s">
        <v>1116</v>
      </c>
    </row>
    <row r="219" spans="1:9" x14ac:dyDescent="0.25">
      <c r="A219" t="s">
        <v>9</v>
      </c>
      <c r="B219" t="s">
        <v>375</v>
      </c>
      <c r="C219">
        <v>0</v>
      </c>
      <c r="D219">
        <v>27990000</v>
      </c>
      <c r="E219" t="s">
        <v>376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Gigabyte</v>
      </c>
      <c r="H219" t="str">
        <f>_xlfn.TEXTJOIN(",",TRUE,_xlfn._xlws.FILTER(Chipset_Table[Chipset], (Chipset_Table[Chipset text]&lt;&gt;"") * ISNUMBER(SEARCH(Chipset_Table[Chipset text], B219)), ""))</f>
        <v>GeForce RTX 4070</v>
      </c>
      <c r="I219" t="s">
        <v>1116</v>
      </c>
    </row>
    <row r="220" spans="1:9" x14ac:dyDescent="0.25">
      <c r="A220" t="s">
        <v>9</v>
      </c>
      <c r="B220" t="s">
        <v>377</v>
      </c>
      <c r="C220">
        <v>0</v>
      </c>
      <c r="D220">
        <v>19490000</v>
      </c>
      <c r="E220" t="s">
        <v>378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MSI</v>
      </c>
      <c r="H220" t="s">
        <v>1065</v>
      </c>
      <c r="I220" t="s">
        <v>1116</v>
      </c>
    </row>
    <row r="221" spans="1:9" x14ac:dyDescent="0.25">
      <c r="A221" t="s">
        <v>9</v>
      </c>
      <c r="B221" t="s">
        <v>379</v>
      </c>
      <c r="C221">
        <v>0</v>
      </c>
      <c r="D221">
        <v>21490000</v>
      </c>
      <c r="E221" t="s">
        <v>380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1065</v>
      </c>
      <c r="I221" t="s">
        <v>1116</v>
      </c>
    </row>
    <row r="222" spans="1:9" x14ac:dyDescent="0.25">
      <c r="A222" t="s">
        <v>9</v>
      </c>
      <c r="B222" t="s">
        <v>381</v>
      </c>
      <c r="C222">
        <v>0</v>
      </c>
      <c r="D222">
        <v>59990000</v>
      </c>
      <c r="E222" t="s">
        <v>382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tr">
        <f>_xlfn.TEXTJOIN(",",TRUE,_xlfn._xlws.FILTER(Chipset_Table[Chipset], (Chipset_Table[Chipset text]&lt;&gt;"") * ISNUMBER(SEARCH(Chipset_Table[Chipset text], B222)), ""))</f>
        <v>GeForce RTX 4090</v>
      </c>
      <c r="I222" t="s">
        <v>1127</v>
      </c>
    </row>
    <row r="223" spans="1:9" x14ac:dyDescent="0.25">
      <c r="A223" t="s">
        <v>9</v>
      </c>
      <c r="B223" t="s">
        <v>383</v>
      </c>
      <c r="C223">
        <v>20990000</v>
      </c>
      <c r="D223">
        <v>17990000</v>
      </c>
      <c r="E223" t="s">
        <v>384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MSI</v>
      </c>
      <c r="H223" t="str">
        <f>_xlfn.TEXTJOIN(",",TRUE,_xlfn._xlws.FILTER(Chipset_Table[Chipset], (Chipset_Table[Chipset text]&lt;&gt;"") * ISNUMBER(SEARCH(Chipset_Table[Chipset text], B223)), ""))</f>
        <v>GeForce RTX 4070</v>
      </c>
      <c r="I223" t="s">
        <v>1116</v>
      </c>
    </row>
    <row r="224" spans="1:9" x14ac:dyDescent="0.25">
      <c r="A224" t="s">
        <v>9</v>
      </c>
      <c r="B224" t="s">
        <v>385</v>
      </c>
      <c r="C224">
        <v>27990000</v>
      </c>
      <c r="D224">
        <v>24990000</v>
      </c>
      <c r="E224" t="s">
        <v>386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MSI</v>
      </c>
      <c r="H224" t="str">
        <f>_xlfn.TEXTJOIN(",",TRUE,_xlfn._xlws.FILTER(Chipset_Table[Chipset], (Chipset_Table[Chipset text]&lt;&gt;"") * ISNUMBER(SEARCH(Chipset_Table[Chipset text], B224)), ""))</f>
        <v>GeForce RTX 4070</v>
      </c>
      <c r="I224" t="s">
        <v>1116</v>
      </c>
    </row>
    <row r="225" spans="1:9" x14ac:dyDescent="0.25">
      <c r="A225" t="s">
        <v>9</v>
      </c>
      <c r="B225" t="s">
        <v>387</v>
      </c>
      <c r="C225">
        <v>5690000</v>
      </c>
      <c r="D225">
        <v>5190000</v>
      </c>
      <c r="E225" t="s">
        <v>388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Colorful</v>
      </c>
      <c r="H225" t="s">
        <v>1076</v>
      </c>
      <c r="I225" t="str">
        <f>_xlfn.TEXTJOIN(",",TRUE,_xlfn._xlws.FILTER(VRAM_table[Video memory], (VRAM_table[Video memory text]&lt;&gt;"") * ISNUMBER(SEARCH(VRAM_table[Video memory text], B225)), ""))</f>
        <v>6GB</v>
      </c>
    </row>
    <row r="226" spans="1:9" x14ac:dyDescent="0.25">
      <c r="A226" t="s">
        <v>9</v>
      </c>
      <c r="B226" t="s">
        <v>389</v>
      </c>
      <c r="C226">
        <v>4490000</v>
      </c>
      <c r="D226">
        <v>3790000</v>
      </c>
      <c r="E226" t="s">
        <v>390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Colorful</v>
      </c>
      <c r="H226" t="s">
        <v>1070</v>
      </c>
      <c r="I226" t="str">
        <f>_xlfn.TEXTJOIN(",",TRUE,_xlfn._xlws.FILTER(VRAM_table[Video memory], (VRAM_table[Video memory text]&lt;&gt;"") * ISNUMBER(SEARCH(VRAM_table[Video memory text], B226)), ""))</f>
        <v>4GB</v>
      </c>
    </row>
    <row r="227" spans="1:9" x14ac:dyDescent="0.25">
      <c r="A227" t="s">
        <v>9</v>
      </c>
      <c r="B227" t="s">
        <v>391</v>
      </c>
      <c r="C227">
        <v>0</v>
      </c>
      <c r="D227">
        <v>19290000</v>
      </c>
      <c r="E227" t="s">
        <v>392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Gigabyte</v>
      </c>
      <c r="H227" t="str">
        <f>_xlfn.TEXTJOIN(",",TRUE,_xlfn._xlws.FILTER(Chipset_Table[Chipset], (Chipset_Table[Chipset text]&lt;&gt;"") * ISNUMBER(SEARCH(Chipset_Table[Chipset text], B227)), ""))</f>
        <v>GeForce RTX 4070</v>
      </c>
      <c r="I227" t="s">
        <v>1116</v>
      </c>
    </row>
    <row r="228" spans="1:9" x14ac:dyDescent="0.25">
      <c r="A228" t="s">
        <v>9</v>
      </c>
      <c r="B228" t="s">
        <v>393</v>
      </c>
      <c r="C228">
        <v>22190000</v>
      </c>
      <c r="D228">
        <v>19990000</v>
      </c>
      <c r="E228" t="s">
        <v>394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Colorful</v>
      </c>
      <c r="H228" t="str">
        <f>_xlfn.TEXTJOIN(",",TRUE,_xlfn._xlws.FILTER(Chipset_Table[Chipset], (Chipset_Table[Chipset text]&lt;&gt;"") * ISNUMBER(SEARCH(Chipset_Table[Chipset text], B228)), ""))</f>
        <v>GeForce RTX 4070</v>
      </c>
      <c r="I228" t="s">
        <v>1116</v>
      </c>
    </row>
    <row r="229" spans="1:9" x14ac:dyDescent="0.25">
      <c r="A229" t="s">
        <v>9</v>
      </c>
      <c r="B229" t="s">
        <v>395</v>
      </c>
      <c r="C229">
        <v>9490000</v>
      </c>
      <c r="D229">
        <v>9290000</v>
      </c>
      <c r="E229" t="s">
        <v>396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Gigabyte</v>
      </c>
      <c r="H229" t="str">
        <f>_xlfn.TEXTJOIN(",",TRUE,_xlfn._xlws.FILTER(Chipset_Table[Chipset], (Chipset_Table[Chipset text]&lt;&gt;"") * ISNUMBER(SEARCH(Chipset_Table[Chipset text], B229)), ""))</f>
        <v>GeForce RTX 4060</v>
      </c>
      <c r="I229" t="str">
        <f>_xlfn.TEXTJOIN(",",TRUE,_xlfn._xlws.FILTER(VRAM_table[Video memory], (VRAM_table[Video memory text]&lt;&gt;"") * ISNUMBER(SEARCH(VRAM_table[Video memory text], B229)), ""))</f>
        <v>8GB</v>
      </c>
    </row>
    <row r="230" spans="1:9" x14ac:dyDescent="0.25">
      <c r="A230" t="s">
        <v>9</v>
      </c>
      <c r="B230" t="s">
        <v>397</v>
      </c>
      <c r="C230">
        <v>4990000</v>
      </c>
      <c r="D230">
        <v>3690000</v>
      </c>
      <c r="E230" t="s">
        <v>398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ASUS</v>
      </c>
      <c r="H230" t="s">
        <v>1070</v>
      </c>
      <c r="I230" t="s">
        <v>1124</v>
      </c>
    </row>
    <row r="231" spans="1:9" x14ac:dyDescent="0.25">
      <c r="A231" t="s">
        <v>9</v>
      </c>
      <c r="B231" t="s">
        <v>399</v>
      </c>
      <c r="C231">
        <v>0</v>
      </c>
      <c r="D231">
        <v>15990000</v>
      </c>
      <c r="E231" t="s">
        <v>400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tr">
        <f>_xlfn.TEXTJOIN(",",TRUE,_xlfn._xlws.FILTER(Chipset_Table[Chipset], (Chipset_Table[Chipset text]&lt;&gt;"") * ISNUMBER(SEARCH(Chipset_Table[Chipset text], B231)), ""))</f>
        <v>GeForce RTX 4060</v>
      </c>
      <c r="I231" t="s">
        <v>1114</v>
      </c>
    </row>
    <row r="232" spans="1:9" x14ac:dyDescent="0.25">
      <c r="A232" t="s">
        <v>9</v>
      </c>
      <c r="B232" t="s">
        <v>401</v>
      </c>
      <c r="C232">
        <v>4190000</v>
      </c>
      <c r="D232">
        <v>3790000</v>
      </c>
      <c r="E232" t="s">
        <v>402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MSI</v>
      </c>
      <c r="H232" t="s">
        <v>1070</v>
      </c>
      <c r="I232" t="s">
        <v>1124</v>
      </c>
    </row>
    <row r="233" spans="1:9" x14ac:dyDescent="0.25">
      <c r="A233" t="s">
        <v>9</v>
      </c>
      <c r="B233" t="s">
        <v>403</v>
      </c>
      <c r="C233">
        <v>5990000</v>
      </c>
      <c r="D233">
        <v>3890000</v>
      </c>
      <c r="E233" t="s">
        <v>404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">
        <v>1070</v>
      </c>
      <c r="I233" t="s">
        <v>1124</v>
      </c>
    </row>
    <row r="234" spans="1:9" x14ac:dyDescent="0.25">
      <c r="A234" t="s">
        <v>9</v>
      </c>
      <c r="B234" t="s">
        <v>405</v>
      </c>
      <c r="C234">
        <v>11990000</v>
      </c>
      <c r="D234">
        <v>10990000</v>
      </c>
      <c r="E234" t="s">
        <v>406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tr">
        <f>_xlfn.TEXTJOIN(",",TRUE,_xlfn._xlws.FILTER(Chipset_Table[Chipset], (Chipset_Table[Chipset text]&lt;&gt;"") * ISNUMBER(SEARCH(Chipset_Table[Chipset text], B234)), ""))</f>
        <v>GeForce RTX 4060</v>
      </c>
      <c r="I234" t="s">
        <v>1036</v>
      </c>
    </row>
    <row r="235" spans="1:9" x14ac:dyDescent="0.25">
      <c r="A235" t="s">
        <v>9</v>
      </c>
      <c r="B235" t="s">
        <v>407</v>
      </c>
      <c r="C235">
        <v>0</v>
      </c>
      <c r="D235">
        <v>61990000</v>
      </c>
      <c r="E235" t="s">
        <v>408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ASUS</v>
      </c>
      <c r="H235" t="str">
        <f>_xlfn.TEXTJOIN(",",TRUE,_xlfn._xlws.FILTER(Chipset_Table[Chipset], (Chipset_Table[Chipset text]&lt;&gt;"") * ISNUMBER(SEARCH(Chipset_Table[Chipset text], B235)), ""))</f>
        <v>GeForce RTX 4090</v>
      </c>
      <c r="I235" t="s">
        <v>1127</v>
      </c>
    </row>
    <row r="236" spans="1:9" x14ac:dyDescent="0.25">
      <c r="A236" t="s">
        <v>9</v>
      </c>
      <c r="B236" t="s">
        <v>409</v>
      </c>
      <c r="C236">
        <v>0</v>
      </c>
      <c r="D236">
        <v>19390000</v>
      </c>
      <c r="E236" t="s">
        <v>410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tr">
        <f>_xlfn.TEXTJOIN(",",TRUE,_xlfn._xlws.FILTER(Chipset_Table[Chipset], (Chipset_Table[Chipset text]&lt;&gt;"") * ISNUMBER(SEARCH(Chipset_Table[Chipset text], B236)), ""))</f>
        <v>GeForce RTX 4070</v>
      </c>
      <c r="I236" t="s">
        <v>1116</v>
      </c>
    </row>
    <row r="237" spans="1:9" x14ac:dyDescent="0.25">
      <c r="A237" t="s">
        <v>9</v>
      </c>
      <c r="B237" t="s">
        <v>411</v>
      </c>
      <c r="C237">
        <v>107000000</v>
      </c>
      <c r="D237">
        <v>98990000</v>
      </c>
      <c r="E237" t="s">
        <v>412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ASUS</v>
      </c>
      <c r="H237" t="str">
        <f>_xlfn.TEXTJOIN(",",TRUE,_xlfn._xlws.FILTER(Chipset_Table[Chipset], (Chipset_Table[Chipset text]&lt;&gt;"") * ISNUMBER(SEARCH(Chipset_Table[Chipset text], B237)), ""))</f>
        <v>GeForce RTX 4090</v>
      </c>
      <c r="I237" t="s">
        <v>1127</v>
      </c>
    </row>
    <row r="238" spans="1:9" x14ac:dyDescent="0.25">
      <c r="A238" t="s">
        <v>9</v>
      </c>
      <c r="B238" t="s">
        <v>413</v>
      </c>
      <c r="C238">
        <v>15990000</v>
      </c>
      <c r="D238">
        <v>15490000</v>
      </c>
      <c r="E238" t="s">
        <v>414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ASUS</v>
      </c>
      <c r="H238" t="str">
        <f>_xlfn.TEXTJOIN(",",TRUE,_xlfn._xlws.FILTER(Chipset_Table[Chipset], (Chipset_Table[Chipset text]&lt;&gt;"") * ISNUMBER(SEARCH(Chipset_Table[Chipset text], B238)), ""))</f>
        <v>GeForce RTX 4060</v>
      </c>
      <c r="I238" t="s">
        <v>1114</v>
      </c>
    </row>
    <row r="239" spans="1:9" x14ac:dyDescent="0.25">
      <c r="A239" t="s">
        <v>9</v>
      </c>
      <c r="B239" t="s">
        <v>415</v>
      </c>
      <c r="C239">
        <v>6490000</v>
      </c>
      <c r="D239">
        <v>5790000</v>
      </c>
      <c r="E239" t="s">
        <v>416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tr">
        <f>_xlfn.TEXTJOIN(",",TRUE,_xlfn._xlws.FILTER(Chipset_Table[Chipset], (Chipset_Table[Chipset text]&lt;&gt;"") * ISNUMBER(SEARCH(Chipset_Table[Chipset text], B239)), ""))</f>
        <v>GeForce RTX 3050</v>
      </c>
      <c r="I239" t="str">
        <f>_xlfn.TEXTJOIN(",",TRUE,_xlfn._xlws.FILTER(VRAM_table[Video memory], (VRAM_table[Video memory text]&lt;&gt;"") * ISNUMBER(SEARCH(VRAM_table[Video memory text], B239)), ""))</f>
        <v>8GB</v>
      </c>
    </row>
    <row r="240" spans="1:9" x14ac:dyDescent="0.25">
      <c r="A240" t="s">
        <v>9</v>
      </c>
      <c r="B240" t="s">
        <v>417</v>
      </c>
      <c r="C240">
        <v>60990000</v>
      </c>
      <c r="D240">
        <v>59990000</v>
      </c>
      <c r="E240" t="s">
        <v>418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ASUS</v>
      </c>
      <c r="H240" t="str">
        <f>_xlfn.TEXTJOIN(",",TRUE,_xlfn._xlws.FILTER(Chipset_Table[Chipset], (Chipset_Table[Chipset text]&lt;&gt;"") * ISNUMBER(SEARCH(Chipset_Table[Chipset text], B240)), ""))</f>
        <v>GeForce RTX 4090</v>
      </c>
      <c r="I240" t="s">
        <v>1127</v>
      </c>
    </row>
    <row r="241" spans="1:9" x14ac:dyDescent="0.25">
      <c r="A241" t="s">
        <v>9</v>
      </c>
      <c r="B241" t="s">
        <v>419</v>
      </c>
      <c r="C241">
        <v>9990000</v>
      </c>
      <c r="D241">
        <v>9390000</v>
      </c>
      <c r="E241" t="s">
        <v>420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Gigabyte</v>
      </c>
      <c r="H241" t="str">
        <f>_xlfn.TEXTJOIN(",",TRUE,_xlfn._xlws.FILTER(Chipset_Table[Chipset], (Chipset_Table[Chipset text]&lt;&gt;"") * ISNUMBER(SEARCH(Chipset_Table[Chipset text], B241)), ""))</f>
        <v>GeForce RTX 4060</v>
      </c>
      <c r="I241" t="str">
        <f>_xlfn.TEXTJOIN(",",TRUE,_xlfn._xlws.FILTER(VRAM_table[Video memory], (VRAM_table[Video memory text]&lt;&gt;"") * ISNUMBER(SEARCH(VRAM_table[Video memory text], B241)), ""))</f>
        <v>8GB</v>
      </c>
    </row>
    <row r="242" spans="1:9" x14ac:dyDescent="0.25">
      <c r="A242" t="s">
        <v>9</v>
      </c>
      <c r="B242" t="s">
        <v>421</v>
      </c>
      <c r="C242">
        <v>11990000</v>
      </c>
      <c r="D242">
        <v>10990000</v>
      </c>
      <c r="E242" t="s">
        <v>422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Gigabyte</v>
      </c>
      <c r="H242" t="str">
        <f>_xlfn.TEXTJOIN(",",TRUE,_xlfn._xlws.FILTER(Chipset_Table[Chipset], (Chipset_Table[Chipset text]&lt;&gt;"") * ISNUMBER(SEARCH(Chipset_Table[Chipset text], B242)), ""))</f>
        <v>GeForce RTX 4060</v>
      </c>
      <c r="I242" t="str">
        <f>_xlfn.TEXTJOIN(",",TRUE,_xlfn._xlws.FILTER(VRAM_table[Video memory], (VRAM_table[Video memory text]&lt;&gt;"") * ISNUMBER(SEARCH(VRAM_table[Video memory text], B242)), ""))</f>
        <v>8GB</v>
      </c>
    </row>
    <row r="243" spans="1:9" x14ac:dyDescent="0.25">
      <c r="A243" t="s">
        <v>9</v>
      </c>
      <c r="B243" t="s">
        <v>423</v>
      </c>
      <c r="C243">
        <v>3990000</v>
      </c>
      <c r="D243">
        <v>3790000</v>
      </c>
      <c r="E243" t="s">
        <v>424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MSI</v>
      </c>
      <c r="H243" t="s">
        <v>1070</v>
      </c>
      <c r="I243" t="s">
        <v>1124</v>
      </c>
    </row>
    <row r="244" spans="1:9" x14ac:dyDescent="0.25">
      <c r="A244" t="s">
        <v>9</v>
      </c>
      <c r="B244" t="s">
        <v>425</v>
      </c>
      <c r="C244">
        <v>0</v>
      </c>
      <c r="D244">
        <v>12990000</v>
      </c>
      <c r="E244" t="s">
        <v>426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INNO3D</v>
      </c>
      <c r="H244" t="s">
        <v>1076</v>
      </c>
      <c r="I244" t="s">
        <v>1123</v>
      </c>
    </row>
    <row r="245" spans="1:9" x14ac:dyDescent="0.25">
      <c r="A245" t="s">
        <v>9</v>
      </c>
      <c r="B245" t="s">
        <v>427</v>
      </c>
      <c r="C245">
        <v>0</v>
      </c>
      <c r="D245">
        <v>14490000</v>
      </c>
      <c r="E245" t="s">
        <v>428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Gigabyte</v>
      </c>
      <c r="H245" t="s">
        <v>1076</v>
      </c>
      <c r="I245" t="str">
        <f>_xlfn.TEXTJOIN(",",TRUE,_xlfn._xlws.FILTER(VRAM_table[Video memory], (VRAM_table[Video memory text]&lt;&gt;"") * ISNUMBER(SEARCH(VRAM_table[Video memory text], B245)), ""))</f>
        <v>6GB</v>
      </c>
    </row>
    <row r="246" spans="1:9" x14ac:dyDescent="0.25">
      <c r="A246" t="s">
        <v>9</v>
      </c>
      <c r="B246" t="s">
        <v>429</v>
      </c>
      <c r="C246">
        <v>0</v>
      </c>
      <c r="D246">
        <v>5090000</v>
      </c>
      <c r="E246" t="s">
        <v>430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ASUS</v>
      </c>
      <c r="H246" t="s">
        <v>1076</v>
      </c>
      <c r="I246" t="s">
        <v>1123</v>
      </c>
    </row>
    <row r="247" spans="1:9" x14ac:dyDescent="0.25">
      <c r="A247" t="s">
        <v>9</v>
      </c>
      <c r="B247" t="s">
        <v>431</v>
      </c>
      <c r="C247">
        <v>7990000</v>
      </c>
      <c r="D247">
        <v>4390000</v>
      </c>
      <c r="E247" t="s">
        <v>432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ASUS</v>
      </c>
      <c r="H247" t="s">
        <v>1070</v>
      </c>
      <c r="I247" t="s">
        <v>1124</v>
      </c>
    </row>
    <row r="248" spans="1:9" x14ac:dyDescent="0.25">
      <c r="A248" t="s">
        <v>9</v>
      </c>
      <c r="B248" t="s">
        <v>433</v>
      </c>
      <c r="C248">
        <v>0</v>
      </c>
      <c r="D248">
        <v>5690000</v>
      </c>
      <c r="E248" t="s">
        <v>434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ASUS</v>
      </c>
      <c r="H248" t="s">
        <v>1076</v>
      </c>
      <c r="I248" t="s">
        <v>1123</v>
      </c>
    </row>
    <row r="249" spans="1:9" x14ac:dyDescent="0.25">
      <c r="A249" t="s">
        <v>9</v>
      </c>
      <c r="B249" t="s">
        <v>435</v>
      </c>
      <c r="C249">
        <v>18490000</v>
      </c>
      <c r="D249">
        <v>12200000</v>
      </c>
      <c r="E249" t="s">
        <v>436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MSI</v>
      </c>
      <c r="H249" t="s">
        <v>1058</v>
      </c>
      <c r="I249" t="str">
        <f>_xlfn.TEXTJOIN(",",TRUE,_xlfn._xlws.FILTER(VRAM_table[Video memory], (VRAM_table[Video memory text]&lt;&gt;"") * ISNUMBER(SEARCH(VRAM_table[Video memory text], B249)), ""))</f>
        <v>8GB</v>
      </c>
    </row>
    <row r="250" spans="1:9" x14ac:dyDescent="0.25">
      <c r="A250" t="s">
        <v>9</v>
      </c>
      <c r="B250" t="s">
        <v>437</v>
      </c>
      <c r="C250">
        <v>17990000</v>
      </c>
      <c r="D250">
        <v>13790000</v>
      </c>
      <c r="E250" t="s">
        <v>438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MSI</v>
      </c>
      <c r="H250" t="s">
        <v>1058</v>
      </c>
      <c r="I250" t="str">
        <f>_xlfn.TEXTJOIN(",",TRUE,_xlfn._xlws.FILTER(VRAM_table[Video memory], (VRAM_table[Video memory text]&lt;&gt;"") * ISNUMBER(SEARCH(VRAM_table[Video memory text], B250)), ""))</f>
        <v>8GB</v>
      </c>
    </row>
    <row r="251" spans="1:9" x14ac:dyDescent="0.25">
      <c r="A251" t="s">
        <v>9</v>
      </c>
      <c r="B251" t="s">
        <v>439</v>
      </c>
      <c r="C251">
        <v>16990000</v>
      </c>
      <c r="D251">
        <v>13490000</v>
      </c>
      <c r="E251" t="s">
        <v>440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MSI</v>
      </c>
      <c r="H251" t="s">
        <v>1058</v>
      </c>
      <c r="I251" t="str">
        <f>_xlfn.TEXTJOIN(",",TRUE,_xlfn._xlws.FILTER(VRAM_table[Video memory], (VRAM_table[Video memory text]&lt;&gt;"") * ISNUMBER(SEARCH(VRAM_table[Video memory text], B251)), ""))</f>
        <v>8GB</v>
      </c>
    </row>
    <row r="252" spans="1:9" x14ac:dyDescent="0.25">
      <c r="A252" t="s">
        <v>9</v>
      </c>
      <c r="B252" t="s">
        <v>441</v>
      </c>
      <c r="C252">
        <v>0</v>
      </c>
      <c r="D252">
        <v>100000000</v>
      </c>
      <c r="E252" t="s">
        <v>442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MSI</v>
      </c>
      <c r="H252" t="s">
        <v>1057</v>
      </c>
      <c r="I252" t="s">
        <v>1116</v>
      </c>
    </row>
    <row r="253" spans="1:9" x14ac:dyDescent="0.25">
      <c r="A253" t="s">
        <v>9</v>
      </c>
      <c r="B253" t="s">
        <v>443</v>
      </c>
      <c r="C253">
        <v>0</v>
      </c>
      <c r="D253">
        <v>13990000</v>
      </c>
      <c r="E253" t="s">
        <v>444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MSI</v>
      </c>
      <c r="H253" t="s">
        <v>1076</v>
      </c>
      <c r="I253" t="s">
        <v>1123</v>
      </c>
    </row>
    <row r="254" spans="1:9" x14ac:dyDescent="0.25">
      <c r="A254" t="s">
        <v>9</v>
      </c>
      <c r="B254" t="s">
        <v>445</v>
      </c>
      <c r="C254">
        <v>0</v>
      </c>
      <c r="D254">
        <v>14990000</v>
      </c>
      <c r="E254" t="s">
        <v>446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MSI</v>
      </c>
      <c r="H254" t="s">
        <v>1076</v>
      </c>
      <c r="I254" t="s">
        <v>1123</v>
      </c>
    </row>
    <row r="255" spans="1:9" x14ac:dyDescent="0.25">
      <c r="A255" t="s">
        <v>9</v>
      </c>
      <c r="B255" t="s">
        <v>447</v>
      </c>
      <c r="C255">
        <v>17990000</v>
      </c>
      <c r="D255">
        <v>11990000</v>
      </c>
      <c r="E255" t="s">
        <v>448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Gigabyte</v>
      </c>
      <c r="H255" t="s">
        <v>1058</v>
      </c>
      <c r="I255" t="str">
        <f>_xlfn.TEXTJOIN(",",TRUE,_xlfn._xlws.FILTER(VRAM_table[Video memory], (VRAM_table[Video memory text]&lt;&gt;"") * ISNUMBER(SEARCH(VRAM_table[Video memory text], B255)), ""))</f>
        <v>8GB</v>
      </c>
    </row>
    <row r="256" spans="1:9" x14ac:dyDescent="0.25">
      <c r="A256" t="s">
        <v>9</v>
      </c>
      <c r="B256" t="s">
        <v>449</v>
      </c>
      <c r="C256">
        <v>11490000</v>
      </c>
      <c r="D256">
        <v>10690000</v>
      </c>
      <c r="E256" t="s">
        <v>450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Gigabyte</v>
      </c>
      <c r="H256" t="s">
        <v>1058</v>
      </c>
      <c r="I256" t="str">
        <f>_xlfn.TEXTJOIN(",",TRUE,_xlfn._xlws.FILTER(VRAM_table[Video memory], (VRAM_table[Video memory text]&lt;&gt;"") * ISNUMBER(SEARCH(VRAM_table[Video memory text], B256)), ""))</f>
        <v>8GB</v>
      </c>
    </row>
    <row r="257" spans="1:9" x14ac:dyDescent="0.25">
      <c r="A257" t="s">
        <v>9</v>
      </c>
      <c r="B257" t="s">
        <v>451</v>
      </c>
      <c r="C257">
        <v>19990000</v>
      </c>
      <c r="D257">
        <v>15990000</v>
      </c>
      <c r="E257" t="s">
        <v>452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Gigabyte</v>
      </c>
      <c r="H257" t="s">
        <v>1058</v>
      </c>
      <c r="I257" t="str">
        <f>_xlfn.TEXTJOIN(",",TRUE,_xlfn._xlws.FILTER(VRAM_table[Video memory], (VRAM_table[Video memory text]&lt;&gt;"") * ISNUMBER(SEARCH(VRAM_table[Video memory text], B257)), ""))</f>
        <v>8GB</v>
      </c>
    </row>
    <row r="258" spans="1:9" x14ac:dyDescent="0.25">
      <c r="A258" t="s">
        <v>9</v>
      </c>
      <c r="B258" t="s">
        <v>453</v>
      </c>
      <c r="C258">
        <v>18990000</v>
      </c>
      <c r="D258">
        <v>14990000</v>
      </c>
      <c r="E258" t="s">
        <v>454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1058</v>
      </c>
      <c r="I258" t="str">
        <f>_xlfn.TEXTJOIN(",",TRUE,_xlfn._xlws.FILTER(VRAM_table[Video memory], (VRAM_table[Video memory text]&lt;&gt;"") * ISNUMBER(SEARCH(VRAM_table[Video memory text], B258)), ""))</f>
        <v>8GB</v>
      </c>
    </row>
    <row r="259" spans="1:9" x14ac:dyDescent="0.25">
      <c r="A259" t="s">
        <v>9</v>
      </c>
      <c r="B259" t="s">
        <v>455</v>
      </c>
      <c r="C259">
        <v>17990000</v>
      </c>
      <c r="D259">
        <v>12990000</v>
      </c>
      <c r="E259" t="s">
        <v>456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ASUS</v>
      </c>
      <c r="H259" t="s">
        <v>1058</v>
      </c>
      <c r="I259" t="s">
        <v>1036</v>
      </c>
    </row>
    <row r="260" spans="1:9" x14ac:dyDescent="0.25">
      <c r="A260" t="s">
        <v>9</v>
      </c>
      <c r="B260" t="s">
        <v>457</v>
      </c>
      <c r="C260">
        <v>15490000</v>
      </c>
      <c r="D260">
        <v>14990000</v>
      </c>
      <c r="E260" t="s">
        <v>458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ASUS</v>
      </c>
      <c r="H260" t="s">
        <v>1058</v>
      </c>
      <c r="I260" t="s">
        <v>1036</v>
      </c>
    </row>
    <row r="261" spans="1:9" x14ac:dyDescent="0.25">
      <c r="A261" t="s">
        <v>9</v>
      </c>
      <c r="B261" t="s">
        <v>459</v>
      </c>
      <c r="C261">
        <v>0</v>
      </c>
      <c r="D261">
        <v>13990000</v>
      </c>
      <c r="E261" t="s">
        <v>460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ASUS</v>
      </c>
      <c r="H261" t="s">
        <v>1058</v>
      </c>
      <c r="I261" t="s">
        <v>1036</v>
      </c>
    </row>
    <row r="262" spans="1:9" x14ac:dyDescent="0.25">
      <c r="A262" t="s">
        <v>9</v>
      </c>
      <c r="B262" t="s">
        <v>461</v>
      </c>
      <c r="C262">
        <v>0</v>
      </c>
      <c r="D262">
        <v>13690000</v>
      </c>
      <c r="E262" t="s">
        <v>462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1058</v>
      </c>
      <c r="I262" t="s">
        <v>1036</v>
      </c>
    </row>
    <row r="263" spans="1:9" x14ac:dyDescent="0.25">
      <c r="A263" t="s">
        <v>9</v>
      </c>
      <c r="B263" t="s">
        <v>463</v>
      </c>
      <c r="C263">
        <v>15490000</v>
      </c>
      <c r="D263">
        <v>10990000</v>
      </c>
      <c r="E263" t="s">
        <v>464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1058</v>
      </c>
      <c r="I263" t="s">
        <v>1036</v>
      </c>
    </row>
    <row r="264" spans="1:9" x14ac:dyDescent="0.25">
      <c r="A264" t="s">
        <v>9</v>
      </c>
      <c r="B264" t="s">
        <v>465</v>
      </c>
      <c r="C264">
        <v>14990000</v>
      </c>
      <c r="D264">
        <v>12990000</v>
      </c>
      <c r="E264" t="s">
        <v>466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ASUS</v>
      </c>
      <c r="H264" t="s">
        <v>1058</v>
      </c>
      <c r="I264" t="s">
        <v>1036</v>
      </c>
    </row>
    <row r="265" spans="1:9" x14ac:dyDescent="0.25">
      <c r="A265" t="s">
        <v>9</v>
      </c>
      <c r="B265" t="s">
        <v>467</v>
      </c>
      <c r="C265">
        <v>9990000</v>
      </c>
      <c r="D265">
        <v>8090000</v>
      </c>
      <c r="E265" t="s">
        <v>468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Gigabyte</v>
      </c>
      <c r="H265" t="s">
        <v>1057</v>
      </c>
      <c r="I265" t="s">
        <v>1116</v>
      </c>
    </row>
    <row r="266" spans="1:9" x14ac:dyDescent="0.25">
      <c r="A266" t="s">
        <v>9</v>
      </c>
      <c r="B266" t="s">
        <v>469</v>
      </c>
      <c r="C266">
        <v>9990000</v>
      </c>
      <c r="D266">
        <v>6290000</v>
      </c>
      <c r="E266" t="s">
        <v>470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Gigabyte</v>
      </c>
      <c r="H266" t="s">
        <v>1077</v>
      </c>
      <c r="I266" t="str">
        <f>_xlfn.TEXTJOIN(",",TRUE,_xlfn._xlws.FILTER(VRAM_table[Video memory], (VRAM_table[Video memory text]&lt;&gt;"") * ISNUMBER(SEARCH(VRAM_table[Video memory text], B266)), ""))</f>
        <v>6GB</v>
      </c>
    </row>
    <row r="267" spans="1:9" x14ac:dyDescent="0.25">
      <c r="A267" t="s">
        <v>9</v>
      </c>
      <c r="B267" t="s">
        <v>471</v>
      </c>
      <c r="C267">
        <v>0</v>
      </c>
      <c r="D267">
        <v>4490000</v>
      </c>
      <c r="E267" t="s">
        <v>472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ASUS</v>
      </c>
      <c r="H267" t="s">
        <v>1070</v>
      </c>
      <c r="I267" t="s">
        <v>1124</v>
      </c>
    </row>
    <row r="268" spans="1:9" x14ac:dyDescent="0.25">
      <c r="A268" t="s">
        <v>9</v>
      </c>
      <c r="B268" t="s">
        <v>473</v>
      </c>
      <c r="C268">
        <v>10990000</v>
      </c>
      <c r="D268">
        <v>10690000</v>
      </c>
      <c r="E268" t="s">
        <v>474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ASUS</v>
      </c>
      <c r="H268" t="str">
        <f>_xlfn.TEXTJOIN(",",TRUE,_xlfn._xlws.FILTER(Chipset_Table[Chipset], (Chipset_Table[Chipset text]&lt;&gt;"") * ISNUMBER(SEARCH(Chipset_Table[Chipset text], B268)), ""))</f>
        <v>GeForce GTX 1660</v>
      </c>
      <c r="I268" t="s">
        <v>1123</v>
      </c>
    </row>
    <row r="269" spans="1:9" x14ac:dyDescent="0.25">
      <c r="A269" t="s">
        <v>9</v>
      </c>
      <c r="B269" t="s">
        <v>475</v>
      </c>
      <c r="C269">
        <v>0</v>
      </c>
      <c r="D269">
        <v>10690000</v>
      </c>
      <c r="E269" t="s">
        <v>476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ASUS</v>
      </c>
      <c r="H269" t="s">
        <v>1076</v>
      </c>
      <c r="I269" t="s">
        <v>1123</v>
      </c>
    </row>
    <row r="270" spans="1:9" x14ac:dyDescent="0.25">
      <c r="A270" t="s">
        <v>9</v>
      </c>
      <c r="B270" t="s">
        <v>477</v>
      </c>
      <c r="C270">
        <v>6990000</v>
      </c>
      <c r="D270">
        <v>3890000</v>
      </c>
      <c r="E270" t="s">
        <v>478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MSI</v>
      </c>
      <c r="H270" t="s">
        <v>1070</v>
      </c>
      <c r="I270" t="s">
        <v>1124</v>
      </c>
    </row>
    <row r="271" spans="1:9" x14ac:dyDescent="0.25">
      <c r="A271" t="s">
        <v>9</v>
      </c>
      <c r="B271" t="s">
        <v>479</v>
      </c>
      <c r="C271">
        <v>8490000</v>
      </c>
      <c r="D271">
        <v>7690000</v>
      </c>
      <c r="E271" t="s">
        <v>480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MSI</v>
      </c>
      <c r="H271" t="s">
        <v>1070</v>
      </c>
      <c r="I271" t="s">
        <v>1124</v>
      </c>
    </row>
    <row r="272" spans="1:9" x14ac:dyDescent="0.25">
      <c r="A272" t="s">
        <v>9</v>
      </c>
      <c r="B272" t="s">
        <v>481</v>
      </c>
      <c r="C272">
        <v>0</v>
      </c>
      <c r="D272">
        <v>6990000</v>
      </c>
      <c r="E272" t="s">
        <v>482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MSI</v>
      </c>
      <c r="H272" t="s">
        <v>1070</v>
      </c>
      <c r="I272" t="str">
        <f>_xlfn.TEXTJOIN(",",TRUE,_xlfn._xlws.FILTER(VRAM_table[Video memory], (VRAM_table[Video memory text]&lt;&gt;"") * ISNUMBER(SEARCH(VRAM_table[Video memory text], B272)), ""))</f>
        <v>4GB</v>
      </c>
    </row>
    <row r="273" spans="1:9" x14ac:dyDescent="0.25">
      <c r="A273" t="s">
        <v>9</v>
      </c>
      <c r="B273" t="s">
        <v>483</v>
      </c>
      <c r="C273">
        <v>14990000</v>
      </c>
      <c r="D273">
        <v>7890000</v>
      </c>
      <c r="E273" t="s">
        <v>484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Leadtek</v>
      </c>
      <c r="H273" t="str">
        <f>_xlfn.TEXTJOIN(",",TRUE,_xlfn._xlws.FILTER(Chipset_Table[Chipset], (Chipset_Table[Chipset text]&lt;&gt;"") * ISNUMBER(SEARCH(Chipset_Table[Chipset text], B273)), ""))</f>
        <v xml:space="preserve"> GTX 1660 Super</v>
      </c>
      <c r="I273" t="str">
        <f>_xlfn.TEXTJOIN(",",TRUE,_xlfn._xlws.FILTER(VRAM_table[Video memory], (VRAM_table[Video memory text]&lt;&gt;"") * ISNUMBER(SEARCH(VRAM_table[Video memory text], B273)), ""))</f>
        <v>6GB</v>
      </c>
    </row>
    <row r="274" spans="1:9" x14ac:dyDescent="0.25">
      <c r="A274" t="s">
        <v>9</v>
      </c>
      <c r="B274" t="s">
        <v>485</v>
      </c>
      <c r="C274">
        <v>0</v>
      </c>
      <c r="D274">
        <v>7390000</v>
      </c>
      <c r="E274" t="s">
        <v>486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Gigabyte</v>
      </c>
      <c r="H274" t="s">
        <v>1070</v>
      </c>
      <c r="I274" t="str">
        <f>_xlfn.TEXTJOIN(",",TRUE,_xlfn._xlws.FILTER(VRAM_table[Video memory], (VRAM_table[Video memory text]&lt;&gt;"") * ISNUMBER(SEARCH(VRAM_table[Video memory text], B274)), ""))</f>
        <v>4GB</v>
      </c>
    </row>
    <row r="275" spans="1:9" x14ac:dyDescent="0.25">
      <c r="A275" t="s">
        <v>9</v>
      </c>
      <c r="B275" t="s">
        <v>487</v>
      </c>
      <c r="C275">
        <v>0</v>
      </c>
      <c r="D275">
        <v>13290000</v>
      </c>
      <c r="E275" t="s">
        <v>488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Gigabyte</v>
      </c>
      <c r="H275" t="s">
        <v>1076</v>
      </c>
      <c r="I275" t="str">
        <f>_xlfn.TEXTJOIN(",",TRUE,_xlfn._xlws.FILTER(VRAM_table[Video memory], (VRAM_table[Video memory text]&lt;&gt;"") * ISNUMBER(SEARCH(VRAM_table[Video memory text], B275)), ""))</f>
        <v>6GB</v>
      </c>
    </row>
    <row r="276" spans="1:9" x14ac:dyDescent="0.25">
      <c r="A276" t="s">
        <v>9</v>
      </c>
      <c r="B276" t="s">
        <v>489</v>
      </c>
      <c r="C276">
        <v>7490000</v>
      </c>
      <c r="D276">
        <v>6990000</v>
      </c>
      <c r="E276" t="s">
        <v>490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1070</v>
      </c>
      <c r="I276" t="s">
        <v>1124</v>
      </c>
    </row>
    <row r="277" spans="1:9" x14ac:dyDescent="0.25">
      <c r="A277" t="s">
        <v>9</v>
      </c>
      <c r="B277" t="s">
        <v>491</v>
      </c>
      <c r="C277">
        <v>0</v>
      </c>
      <c r="D277">
        <v>13290000</v>
      </c>
      <c r="E277" t="s">
        <v>492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ASUS</v>
      </c>
      <c r="H277" t="s">
        <v>1076</v>
      </c>
      <c r="I277" t="s">
        <v>1123</v>
      </c>
    </row>
    <row r="278" spans="1:9" x14ac:dyDescent="0.25">
      <c r="A278" t="s">
        <v>9</v>
      </c>
      <c r="B278" t="s">
        <v>493</v>
      </c>
      <c r="C278">
        <v>7690000</v>
      </c>
      <c r="D278">
        <v>6990000</v>
      </c>
      <c r="E278" t="s">
        <v>494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ASUS</v>
      </c>
      <c r="H278" t="s">
        <v>1070</v>
      </c>
      <c r="I278" t="s">
        <v>1124</v>
      </c>
    </row>
    <row r="279" spans="1:9" x14ac:dyDescent="0.25">
      <c r="A279" t="s">
        <v>9</v>
      </c>
      <c r="B279" t="s">
        <v>495</v>
      </c>
      <c r="C279">
        <v>0</v>
      </c>
      <c r="D279">
        <v>6990000</v>
      </c>
      <c r="E279" t="s">
        <v>496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">
        <v>1070</v>
      </c>
      <c r="I279" t="s">
        <v>1124</v>
      </c>
    </row>
    <row r="280" spans="1:9" x14ac:dyDescent="0.25">
      <c r="A280" t="s">
        <v>9</v>
      </c>
      <c r="B280" t="s">
        <v>497</v>
      </c>
      <c r="C280">
        <v>9990000</v>
      </c>
      <c r="D280">
        <v>6590000</v>
      </c>
      <c r="E280" t="s">
        <v>498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">
        <v>1077</v>
      </c>
      <c r="I280" t="s">
        <v>1123</v>
      </c>
    </row>
    <row r="281" spans="1:9" x14ac:dyDescent="0.25">
      <c r="A281" t="s">
        <v>9</v>
      </c>
      <c r="B281" t="s">
        <v>499</v>
      </c>
      <c r="C281">
        <v>0</v>
      </c>
      <c r="D281">
        <v>6990000</v>
      </c>
      <c r="E281" t="s">
        <v>500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Leadtek</v>
      </c>
      <c r="H281" t="s">
        <v>1070</v>
      </c>
      <c r="I281" t="str">
        <f>_xlfn.TEXTJOIN(",",TRUE,_xlfn._xlws.FILTER(VRAM_table[Video memory], (VRAM_table[Video memory text]&lt;&gt;"") * ISNUMBER(SEARCH(VRAM_table[Video memory text], B281)), ""))</f>
        <v>4GB</v>
      </c>
    </row>
    <row r="282" spans="1:9" x14ac:dyDescent="0.25">
      <c r="A282" t="s">
        <v>9</v>
      </c>
      <c r="B282" t="s">
        <v>501</v>
      </c>
      <c r="C282">
        <v>7490000</v>
      </c>
      <c r="D282">
        <v>6990000</v>
      </c>
      <c r="E282" t="s">
        <v>502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INNO3D</v>
      </c>
      <c r="H282" t="s">
        <v>1070</v>
      </c>
      <c r="I282" t="str">
        <f>_xlfn.TEXTJOIN(",",TRUE,_xlfn._xlws.FILTER(VRAM_table[Video memory], (VRAM_table[Video memory text]&lt;&gt;"") * ISNUMBER(SEARCH(VRAM_table[Video memory text], B282)), ""))</f>
        <v>4GB</v>
      </c>
    </row>
    <row r="283" spans="1:9" x14ac:dyDescent="0.25">
      <c r="A283" t="s">
        <v>9</v>
      </c>
      <c r="B283" t="s">
        <v>503</v>
      </c>
      <c r="C283">
        <v>15990000</v>
      </c>
      <c r="D283">
        <v>10490000</v>
      </c>
      <c r="E283" t="s">
        <v>504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Gigabyte</v>
      </c>
      <c r="H283" t="s">
        <v>1058</v>
      </c>
      <c r="I283" t="str">
        <f>_xlfn.TEXTJOIN(",",TRUE,_xlfn._xlws.FILTER(VRAM_table[Video memory], (VRAM_table[Video memory text]&lt;&gt;"") * ISNUMBER(SEARCH(VRAM_table[Video memory text], B283)), ""))</f>
        <v>8GB</v>
      </c>
    </row>
    <row r="284" spans="1:9" x14ac:dyDescent="0.25">
      <c r="A284" t="s">
        <v>9</v>
      </c>
      <c r="B284" t="s">
        <v>505</v>
      </c>
      <c r="C284">
        <v>7690000</v>
      </c>
      <c r="D284">
        <v>6990000</v>
      </c>
      <c r="E284" t="s">
        <v>506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">
        <v>1070</v>
      </c>
      <c r="I284" t="str">
        <f>_xlfn.TEXTJOIN(",",TRUE,_xlfn._xlws.FILTER(VRAM_table[Video memory], (VRAM_table[Video memory text]&lt;&gt;"") * ISNUMBER(SEARCH(VRAM_table[Video memory text], B284)), ""))</f>
        <v>4GB</v>
      </c>
    </row>
    <row r="285" spans="1:9" x14ac:dyDescent="0.25">
      <c r="A285" t="s">
        <v>9</v>
      </c>
      <c r="B285" t="s">
        <v>507</v>
      </c>
      <c r="C285">
        <v>46990000</v>
      </c>
      <c r="D285">
        <v>29990000</v>
      </c>
      <c r="E285" t="s">
        <v>508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Gigabyte</v>
      </c>
      <c r="H285" t="str">
        <f>_xlfn.TEXTJOIN(",",TRUE,_xlfn._xlws.FILTER(Chipset_Table[Chipset], (Chipset_Table[Chipset text]&lt;&gt;"") * ISNUMBER(SEARCH(Chipset_Table[Chipset text], B285)), ""))</f>
        <v>GeForce RTX 3080 Ti</v>
      </c>
      <c r="I285" t="s">
        <v>1116</v>
      </c>
    </row>
    <row r="286" spans="1:9" x14ac:dyDescent="0.25">
      <c r="A286" t="s">
        <v>9</v>
      </c>
      <c r="B286" t="s">
        <v>509</v>
      </c>
      <c r="C286">
        <v>14990000</v>
      </c>
      <c r="D286">
        <v>11990000</v>
      </c>
      <c r="E286" t="s">
        <v>510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1058</v>
      </c>
      <c r="I286" t="s">
        <v>1036</v>
      </c>
    </row>
    <row r="287" spans="1:9" x14ac:dyDescent="0.25">
      <c r="A287" t="s">
        <v>9</v>
      </c>
      <c r="B287" t="s">
        <v>511</v>
      </c>
      <c r="C287">
        <v>50990000</v>
      </c>
      <c r="D287">
        <v>30990000</v>
      </c>
      <c r="E287" t="s">
        <v>512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ASUS</v>
      </c>
      <c r="H287" t="str">
        <f>_xlfn.TEXTJOIN(",",TRUE,_xlfn._xlws.FILTER(Chipset_Table[Chipset], (Chipset_Table[Chipset text]&lt;&gt;"") * ISNUMBER(SEARCH(Chipset_Table[Chipset text], B287)), ""))</f>
        <v>GeForce RTX 3080 Ti</v>
      </c>
      <c r="I287" t="s">
        <v>1116</v>
      </c>
    </row>
    <row r="288" spans="1:9" x14ac:dyDescent="0.25">
      <c r="A288" t="s">
        <v>9</v>
      </c>
      <c r="B288" t="s">
        <v>513</v>
      </c>
      <c r="C288">
        <v>34990000</v>
      </c>
      <c r="D288">
        <v>29990000</v>
      </c>
      <c r="E288" t="s">
        <v>514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ASUS</v>
      </c>
      <c r="H288" t="str">
        <f>_xlfn.TEXTJOIN(",",TRUE,_xlfn._xlws.FILTER(Chipset_Table[Chipset], (Chipset_Table[Chipset text]&lt;&gt;"") * ISNUMBER(SEARCH(Chipset_Table[Chipset text], B288)), ""))</f>
        <v>GeForce RTX 3080 Ti</v>
      </c>
      <c r="I288" t="s">
        <v>1116</v>
      </c>
    </row>
    <row r="289" spans="1:9" x14ac:dyDescent="0.25">
      <c r="A289" t="s">
        <v>9</v>
      </c>
      <c r="B289" t="s">
        <v>515</v>
      </c>
      <c r="C289">
        <v>9490000</v>
      </c>
      <c r="D289">
        <v>6290000</v>
      </c>
      <c r="E289" t="s">
        <v>516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ASUS</v>
      </c>
      <c r="H289" t="s">
        <v>1077</v>
      </c>
      <c r="I289" t="s">
        <v>1123</v>
      </c>
    </row>
    <row r="290" spans="1:9" x14ac:dyDescent="0.25">
      <c r="A290" t="s">
        <v>9</v>
      </c>
      <c r="B290" t="s">
        <v>517</v>
      </c>
      <c r="C290">
        <v>13290000</v>
      </c>
      <c r="D290">
        <v>12490000</v>
      </c>
      <c r="E290" t="s">
        <v>518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MSI</v>
      </c>
      <c r="H290" t="str">
        <f>_xlfn.TEXTJOIN(",",TRUE,_xlfn._xlws.FILTER(Chipset_Table[Chipset], (Chipset_Table[Chipset text]&lt;&gt;"") * ISNUMBER(SEARCH(Chipset_Table[Chipset text], B290)), ""))</f>
        <v>GeForce GTX 1660</v>
      </c>
      <c r="I290" t="str">
        <f>_xlfn.TEXTJOIN(",",TRUE,_xlfn._xlws.FILTER(VRAM_table[Video memory], (VRAM_table[Video memory text]&lt;&gt;"") * ISNUMBER(SEARCH(VRAM_table[Video memory text], B290)), ""))</f>
        <v>6GB</v>
      </c>
    </row>
    <row r="291" spans="1:9" x14ac:dyDescent="0.25">
      <c r="A291" t="s">
        <v>9</v>
      </c>
      <c r="B291" t="s">
        <v>519</v>
      </c>
      <c r="C291">
        <v>0</v>
      </c>
      <c r="D291">
        <v>10490000</v>
      </c>
      <c r="E291" t="s">
        <v>520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MSI</v>
      </c>
      <c r="H291" t="str">
        <f>_xlfn.TEXTJOIN(",",TRUE,_xlfn._xlws.FILTER(Chipset_Table[Chipset], (Chipset_Table[Chipset text]&lt;&gt;"") * ISNUMBER(SEARCH(Chipset_Table[Chipset text], B291)), ""))</f>
        <v>RTX 2060</v>
      </c>
      <c r="I291" t="str">
        <f>_xlfn.TEXTJOIN(",",TRUE,_xlfn._xlws.FILTER(VRAM_table[Video memory], (VRAM_table[Video memory text]&lt;&gt;"") * ISNUMBER(SEARCH(VRAM_table[Video memory text], B291)), ""))</f>
        <v>6GB</v>
      </c>
    </row>
    <row r="292" spans="1:9" x14ac:dyDescent="0.25">
      <c r="A292" t="s">
        <v>9</v>
      </c>
      <c r="B292" t="s">
        <v>521</v>
      </c>
      <c r="C292">
        <v>0</v>
      </c>
      <c r="D292">
        <v>14990000</v>
      </c>
      <c r="E292" t="s">
        <v>522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1077</v>
      </c>
      <c r="I292" t="str">
        <f>_xlfn.TEXTJOIN(",",TRUE,_xlfn._xlws.FILTER(VRAM_table[Video memory], (VRAM_table[Video memory text]&lt;&gt;"") * ISNUMBER(SEARCH(VRAM_table[Video memory text], B292)), ""))</f>
        <v>6GB</v>
      </c>
    </row>
    <row r="293" spans="1:9" x14ac:dyDescent="0.25">
      <c r="A293" t="s">
        <v>9</v>
      </c>
      <c r="B293" t="s">
        <v>523</v>
      </c>
      <c r="C293">
        <v>0</v>
      </c>
      <c r="D293">
        <v>8350000</v>
      </c>
      <c r="E293" t="s">
        <v>524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Gigabyte</v>
      </c>
      <c r="H293" t="s">
        <v>1077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25">
      <c r="A294" t="s">
        <v>9</v>
      </c>
      <c r="B294" t="s">
        <v>525</v>
      </c>
      <c r="C294">
        <v>0</v>
      </c>
      <c r="D294">
        <v>10800000</v>
      </c>
      <c r="E294" t="s">
        <v>526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Gigabyte</v>
      </c>
      <c r="H294" t="s">
        <v>1077</v>
      </c>
      <c r="I294" t="str">
        <f>_xlfn.TEXTJOIN(",",TRUE,_xlfn._xlws.FILTER(VRAM_table[Video memory], (VRAM_table[Video memory text]&lt;&gt;"") * ISNUMBER(SEARCH(VRAM_table[Video memory text], B294)), ""))</f>
        <v>6GB</v>
      </c>
    </row>
    <row r="295" spans="1:9" x14ac:dyDescent="0.25">
      <c r="A295" t="s">
        <v>9</v>
      </c>
      <c r="B295" t="s">
        <v>527</v>
      </c>
      <c r="C295">
        <v>0</v>
      </c>
      <c r="D295">
        <v>10990000</v>
      </c>
      <c r="E295" t="s">
        <v>528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tr">
        <f>_xlfn.TEXTJOIN(",",TRUE,_xlfn._xlws.FILTER(Chipset_Table[Chipset], (Chipset_Table[Chipset text]&lt;&gt;"") * ISNUMBER(SEARCH(Chipset_Table[Chipset text], B295)), ""))</f>
        <v>RTX 2060</v>
      </c>
      <c r="I295" t="str">
        <f>_xlfn.TEXTJOIN(",",TRUE,_xlfn._xlws.FILTER(VRAM_table[Video memory], (VRAM_table[Video memory text]&lt;&gt;"") * ISNUMBER(SEARCH(VRAM_table[Video memory text], B295)), ""))</f>
        <v>6GB</v>
      </c>
    </row>
    <row r="296" spans="1:9" x14ac:dyDescent="0.25">
      <c r="A296" t="s">
        <v>9</v>
      </c>
      <c r="B296" t="s">
        <v>529</v>
      </c>
      <c r="C296">
        <v>0</v>
      </c>
      <c r="D296">
        <v>11990000</v>
      </c>
      <c r="E296" t="s">
        <v>530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EVGA</v>
      </c>
      <c r="H296" t="s">
        <v>1077</v>
      </c>
      <c r="I296" t="s">
        <v>1123</v>
      </c>
    </row>
    <row r="297" spans="1:9" x14ac:dyDescent="0.25">
      <c r="A297" t="s">
        <v>9</v>
      </c>
      <c r="B297" t="s">
        <v>531</v>
      </c>
      <c r="C297">
        <v>0</v>
      </c>
      <c r="D297">
        <v>12990000</v>
      </c>
      <c r="E297" t="s">
        <v>532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ASUS</v>
      </c>
      <c r="H297" t="s">
        <v>1077</v>
      </c>
      <c r="I297" t="s">
        <v>1123</v>
      </c>
    </row>
    <row r="298" spans="1:9" x14ac:dyDescent="0.25">
      <c r="A298" t="s">
        <v>9</v>
      </c>
      <c r="B298" t="s">
        <v>533</v>
      </c>
      <c r="C298">
        <v>0</v>
      </c>
      <c r="D298">
        <v>10100000</v>
      </c>
      <c r="E298" t="s">
        <v>534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ASUS</v>
      </c>
      <c r="H298" t="s">
        <v>1077</v>
      </c>
      <c r="I298" t="s">
        <v>1123</v>
      </c>
    </row>
    <row r="299" spans="1:9" x14ac:dyDescent="0.25">
      <c r="A299" t="s">
        <v>9</v>
      </c>
      <c r="B299" t="s">
        <v>535</v>
      </c>
      <c r="C299">
        <v>7690000</v>
      </c>
      <c r="D299">
        <v>5990000</v>
      </c>
      <c r="E299" t="s">
        <v>536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Palit</v>
      </c>
      <c r="H299" t="s">
        <v>1070</v>
      </c>
      <c r="I299" t="s">
        <v>1124</v>
      </c>
    </row>
    <row r="300" spans="1:9" x14ac:dyDescent="0.25">
      <c r="A300" t="s">
        <v>9</v>
      </c>
      <c r="B300" t="s">
        <v>537</v>
      </c>
      <c r="C300">
        <v>16990000</v>
      </c>
      <c r="D300">
        <v>13190000</v>
      </c>
      <c r="E300" t="s">
        <v>538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MSI</v>
      </c>
      <c r="H300" t="s">
        <v>1058</v>
      </c>
      <c r="I300" t="str">
        <f>_xlfn.TEXTJOIN(",",TRUE,_xlfn._xlws.FILTER(VRAM_table[Video memory], (VRAM_table[Video memory text]&lt;&gt;"") * ISNUMBER(SEARCH(VRAM_table[Video memory text], B300)), ""))</f>
        <v>8GB</v>
      </c>
    </row>
    <row r="301" spans="1:9" x14ac:dyDescent="0.25">
      <c r="A301" t="s">
        <v>9</v>
      </c>
      <c r="B301" t="s">
        <v>539</v>
      </c>
      <c r="C301">
        <v>18990000</v>
      </c>
      <c r="D301">
        <v>11990000</v>
      </c>
      <c r="E301" t="s">
        <v>540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MSI</v>
      </c>
      <c r="H301" t="s">
        <v>1058</v>
      </c>
      <c r="I301" t="str">
        <f>_xlfn.TEXTJOIN(",",TRUE,_xlfn._xlws.FILTER(VRAM_table[Video memory], (VRAM_table[Video memory text]&lt;&gt;"") * ISNUMBER(SEARCH(VRAM_table[Video memory text], B301)), ""))</f>
        <v>8GB</v>
      </c>
    </row>
    <row r="302" spans="1:9" x14ac:dyDescent="0.25">
      <c r="A302" t="s">
        <v>9</v>
      </c>
      <c r="B302" t="s">
        <v>541</v>
      </c>
      <c r="C302">
        <v>7490000</v>
      </c>
      <c r="D302">
        <v>4990000</v>
      </c>
      <c r="E302" t="s">
        <v>542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Manli</v>
      </c>
      <c r="H302" t="s">
        <v>1070</v>
      </c>
      <c r="I302" t="s">
        <v>1124</v>
      </c>
    </row>
    <row r="303" spans="1:9" x14ac:dyDescent="0.25">
      <c r="A303" t="s">
        <v>9</v>
      </c>
      <c r="B303" t="s">
        <v>543</v>
      </c>
      <c r="C303">
        <v>6990000</v>
      </c>
      <c r="D303">
        <v>5590000</v>
      </c>
      <c r="E303" t="s">
        <v>544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tr">
        <f>_xlfn.TEXTJOIN(",",TRUE,_xlfn._xlws.FILTER(Chipset_Table[Chipset], (Chipset_Table[Chipset text]&lt;&gt;"") * ISNUMBER(SEARCH(Chipset_Table[Chipset text], B303)), ""))</f>
        <v>RX 6600</v>
      </c>
      <c r="I303" t="str">
        <f>_xlfn.TEXTJOIN(",",TRUE,_xlfn._xlws.FILTER(VRAM_table[Video memory], (VRAM_table[Video memory text]&lt;&gt;"") * ISNUMBER(SEARCH(VRAM_table[Video memory text], B303)), ""))</f>
        <v>8GB</v>
      </c>
    </row>
    <row r="304" spans="1:9" x14ac:dyDescent="0.25">
      <c r="A304" t="s">
        <v>9</v>
      </c>
      <c r="B304" t="s">
        <v>545</v>
      </c>
      <c r="C304">
        <v>0</v>
      </c>
      <c r="D304">
        <v>6690000</v>
      </c>
      <c r="E304" t="s">
        <v>546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1070</v>
      </c>
      <c r="I304" t="str">
        <f>_xlfn.TEXTJOIN(",",TRUE,_xlfn._xlws.FILTER(VRAM_table[Video memory], (VRAM_table[Video memory text]&lt;&gt;"") * ISNUMBER(SEARCH(VRAM_table[Video memory text], B304)), ""))</f>
        <v>4GB</v>
      </c>
    </row>
    <row r="305" spans="1:9" x14ac:dyDescent="0.25">
      <c r="A305" t="s">
        <v>9</v>
      </c>
      <c r="B305" t="s">
        <v>547</v>
      </c>
      <c r="C305">
        <v>7890000</v>
      </c>
      <c r="D305">
        <v>7290000</v>
      </c>
      <c r="E305" t="s">
        <v>548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Gigabyte</v>
      </c>
      <c r="H305" t="s">
        <v>1070</v>
      </c>
      <c r="I305" t="str">
        <f>_xlfn.TEXTJOIN(",",TRUE,_xlfn._xlws.FILTER(VRAM_table[Video memory], (VRAM_table[Video memory text]&lt;&gt;"") * ISNUMBER(SEARCH(VRAM_table[Video memory text], B305)), ""))</f>
        <v>4GB</v>
      </c>
    </row>
    <row r="306" spans="1:9" x14ac:dyDescent="0.25">
      <c r="A306" t="s">
        <v>9</v>
      </c>
      <c r="B306" t="s">
        <v>549</v>
      </c>
      <c r="C306">
        <v>19990000</v>
      </c>
      <c r="D306">
        <v>14490000</v>
      </c>
      <c r="E306" t="s">
        <v>550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Gigabyte</v>
      </c>
      <c r="H306" t="s">
        <v>1058</v>
      </c>
      <c r="I306" t="str">
        <f>_xlfn.TEXTJOIN(",",TRUE,_xlfn._xlws.FILTER(VRAM_table[Video memory], (VRAM_table[Video memory text]&lt;&gt;"") * ISNUMBER(SEARCH(VRAM_table[Video memory text], B306)), ""))</f>
        <v>8GB</v>
      </c>
    </row>
    <row r="307" spans="1:9" x14ac:dyDescent="0.25">
      <c r="A307" t="s">
        <v>9</v>
      </c>
      <c r="B307" t="s">
        <v>551</v>
      </c>
      <c r="C307">
        <v>7490000</v>
      </c>
      <c r="D307">
        <v>6890000</v>
      </c>
      <c r="E307" t="s">
        <v>552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ASUS</v>
      </c>
      <c r="H307" t="s">
        <v>1070</v>
      </c>
      <c r="I307" t="s">
        <v>1124</v>
      </c>
    </row>
    <row r="308" spans="1:9" x14ac:dyDescent="0.25">
      <c r="A308" t="s">
        <v>9</v>
      </c>
      <c r="B308" t="s">
        <v>553</v>
      </c>
      <c r="C308">
        <v>14990000</v>
      </c>
      <c r="D308">
        <v>12990000</v>
      </c>
      <c r="E308" t="s">
        <v>554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ASUS</v>
      </c>
      <c r="H308" t="s">
        <v>1058</v>
      </c>
      <c r="I308" t="s">
        <v>1036</v>
      </c>
    </row>
    <row r="309" spans="1:9" x14ac:dyDescent="0.25">
      <c r="A309" t="s">
        <v>9</v>
      </c>
      <c r="B309" t="s">
        <v>555</v>
      </c>
      <c r="C309">
        <v>14490000</v>
      </c>
      <c r="D309">
        <v>12490000</v>
      </c>
      <c r="E309" t="s">
        <v>556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ASUS</v>
      </c>
      <c r="H309" t="s">
        <v>1058</v>
      </c>
      <c r="I309" t="s">
        <v>1036</v>
      </c>
    </row>
    <row r="310" spans="1:9" x14ac:dyDescent="0.25">
      <c r="A310" t="s">
        <v>9</v>
      </c>
      <c r="B310" t="s">
        <v>557</v>
      </c>
      <c r="C310">
        <v>7490000</v>
      </c>
      <c r="D310">
        <v>6390000</v>
      </c>
      <c r="E310" t="s">
        <v>558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Palit</v>
      </c>
      <c r="H310" t="s">
        <v>1070</v>
      </c>
      <c r="I310" t="str">
        <f>_xlfn.TEXTJOIN(",",TRUE,_xlfn._xlws.FILTER(VRAM_table[Video memory], (VRAM_table[Video memory text]&lt;&gt;"") * ISNUMBER(SEARCH(VRAM_table[Video memory text], B310)), ""))</f>
        <v>4GB</v>
      </c>
    </row>
    <row r="311" spans="1:9" x14ac:dyDescent="0.25">
      <c r="A311" t="s">
        <v>9</v>
      </c>
      <c r="B311" t="s">
        <v>559</v>
      </c>
      <c r="C311">
        <v>7690000</v>
      </c>
      <c r="D311">
        <v>7290000</v>
      </c>
      <c r="E311" t="s">
        <v>560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">
        <v>1070</v>
      </c>
      <c r="I311" t="str">
        <f>_xlfn.TEXTJOIN(",",TRUE,_xlfn._xlws.FILTER(VRAM_table[Video memory], (VRAM_table[Video memory text]&lt;&gt;"") * ISNUMBER(SEARCH(VRAM_table[Video memory text], B311)), ""))</f>
        <v>4GB</v>
      </c>
    </row>
    <row r="312" spans="1:9" x14ac:dyDescent="0.25">
      <c r="A312" t="s">
        <v>9</v>
      </c>
      <c r="B312" t="s">
        <v>561</v>
      </c>
      <c r="C312">
        <v>12990000</v>
      </c>
      <c r="D312">
        <v>9990000</v>
      </c>
      <c r="E312" t="s">
        <v>562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">
        <v>1077</v>
      </c>
      <c r="I312" t="s">
        <v>1116</v>
      </c>
    </row>
    <row r="313" spans="1:9" x14ac:dyDescent="0.25">
      <c r="A313" t="s">
        <v>9</v>
      </c>
      <c r="B313" t="s">
        <v>563</v>
      </c>
      <c r="C313">
        <v>0</v>
      </c>
      <c r="D313">
        <v>16790000</v>
      </c>
      <c r="E313" t="s">
        <v>564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">
        <v>1077</v>
      </c>
      <c r="I313" t="s">
        <v>1116</v>
      </c>
    </row>
    <row r="314" spans="1:9" x14ac:dyDescent="0.25">
      <c r="A314" t="s">
        <v>9</v>
      </c>
      <c r="B314" t="s">
        <v>565</v>
      </c>
      <c r="C314">
        <v>9490000</v>
      </c>
      <c r="D314">
        <v>5990000</v>
      </c>
      <c r="E314" t="s">
        <v>566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ASUS</v>
      </c>
      <c r="H314" t="str">
        <f>_xlfn.TEXTJOIN(",",TRUE,_xlfn._xlws.FILTER(Chipset_Table[Chipset], (Chipset_Table[Chipset text]&lt;&gt;"") * ISNUMBER(SEARCH(Chipset_Table[Chipset text], B314)), ""))</f>
        <v>GeForce GTX 1660</v>
      </c>
      <c r="I314" t="s">
        <v>1123</v>
      </c>
    </row>
    <row r="315" spans="1:9" x14ac:dyDescent="0.25">
      <c r="A315" t="s">
        <v>9</v>
      </c>
      <c r="B315" t="s">
        <v>567</v>
      </c>
      <c r="C315">
        <v>1990000</v>
      </c>
      <c r="D315">
        <v>1550000</v>
      </c>
      <c r="E315" t="s">
        <v>568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ASUS</v>
      </c>
      <c r="H315" t="str">
        <f>_xlfn.TEXTJOIN(",",TRUE,_xlfn._xlws.FILTER(Chipset_Table[Chipset], (Chipset_Table[Chipset text]&lt;&gt;"") * ISNUMBER(SEARCH(Chipset_Table[Chipset text], B315)), ""))</f>
        <v>GeForce GT 730</v>
      </c>
      <c r="I315" t="str">
        <f>_xlfn.TEXTJOIN(",",TRUE,_xlfn._xlws.FILTER(VRAM_table[Video memory], (VRAM_table[Video memory text]&lt;&gt;"") * ISNUMBER(SEARCH(VRAM_table[Video memory text], B315)), ""))</f>
        <v>2GB</v>
      </c>
    </row>
    <row r="316" spans="1:9" x14ac:dyDescent="0.25">
      <c r="A316" t="s">
        <v>9</v>
      </c>
      <c r="B316" t="s">
        <v>569</v>
      </c>
      <c r="C316">
        <v>7490000</v>
      </c>
      <c r="D316">
        <v>6790000</v>
      </c>
      <c r="E316" t="s">
        <v>570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MSI</v>
      </c>
      <c r="H316" t="str">
        <f>_xlfn.TEXTJOIN(",",TRUE,_xlfn._xlws.FILTER(Chipset_Table[Chipset], (Chipset_Table[Chipset text]&lt;&gt;"") * ISNUMBER(SEARCH(Chipset_Table[Chipset text], B316)), ""))</f>
        <v>GTX 1650</v>
      </c>
      <c r="I316" t="s">
        <v>1124</v>
      </c>
    </row>
    <row r="317" spans="1:9" x14ac:dyDescent="0.25">
      <c r="A317" t="s">
        <v>9</v>
      </c>
      <c r="B317" t="s">
        <v>571</v>
      </c>
      <c r="C317">
        <v>5390000</v>
      </c>
      <c r="D317">
        <v>5190000</v>
      </c>
      <c r="E317" t="s">
        <v>572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">
        <v>1076</v>
      </c>
      <c r="I317" t="s">
        <v>1123</v>
      </c>
    </row>
    <row r="318" spans="1:9" x14ac:dyDescent="0.25">
      <c r="A318" t="s">
        <v>9</v>
      </c>
      <c r="B318" t="s">
        <v>573</v>
      </c>
      <c r="C318">
        <v>0</v>
      </c>
      <c r="D318">
        <v>100000000</v>
      </c>
      <c r="E318" t="s">
        <v>574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MSI</v>
      </c>
      <c r="H318" t="s">
        <v>1057</v>
      </c>
      <c r="I318" t="s">
        <v>1116</v>
      </c>
    </row>
    <row r="319" spans="1:9" x14ac:dyDescent="0.25">
      <c r="A319" t="s">
        <v>9</v>
      </c>
      <c r="B319" t="s">
        <v>575</v>
      </c>
      <c r="C319">
        <v>6990000</v>
      </c>
      <c r="D319">
        <v>5990000</v>
      </c>
      <c r="E319" t="s">
        <v>576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Gigabyte</v>
      </c>
      <c r="H319" t="str">
        <f>_xlfn.TEXTJOIN(",",TRUE,_xlfn._xlws.FILTER(Chipset_Table[Chipset], (Chipset_Table[Chipset text]&lt;&gt;"") * ISNUMBER(SEARCH(Chipset_Table[Chipset text], B319)), ""))</f>
        <v>GeForce RTX 3050</v>
      </c>
      <c r="I319" t="str">
        <f>_xlfn.TEXTJOIN(",",TRUE,_xlfn._xlws.FILTER(VRAM_table[Video memory], (VRAM_table[Video memory text]&lt;&gt;"") * ISNUMBER(SEARCH(VRAM_table[Video memory text], B319)), ""))</f>
        <v>8GB</v>
      </c>
    </row>
    <row r="320" spans="1:9" x14ac:dyDescent="0.25">
      <c r="A320" t="s">
        <v>9</v>
      </c>
      <c r="B320" t="s">
        <v>577</v>
      </c>
      <c r="C320">
        <v>6790000</v>
      </c>
      <c r="D320">
        <v>5890000</v>
      </c>
      <c r="E320" t="s">
        <v>578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ASUS</v>
      </c>
      <c r="H320" t="str">
        <f>_xlfn.TEXTJOIN(",",TRUE,_xlfn._xlws.FILTER(Chipset_Table[Chipset], (Chipset_Table[Chipset text]&lt;&gt;"") * ISNUMBER(SEARCH(Chipset_Table[Chipset text], B320)), ""))</f>
        <v>GeForce RTX 3050</v>
      </c>
      <c r="I320" t="s">
        <v>1036</v>
      </c>
    </row>
    <row r="321" spans="1:9" x14ac:dyDescent="0.25">
      <c r="A321" t="s">
        <v>9</v>
      </c>
      <c r="B321" t="s">
        <v>579</v>
      </c>
      <c r="C321">
        <v>16990000</v>
      </c>
      <c r="D321">
        <v>13990000</v>
      </c>
      <c r="E321" t="s">
        <v>580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1077</v>
      </c>
      <c r="I321" t="s">
        <v>1116</v>
      </c>
    </row>
    <row r="322" spans="1:9" x14ac:dyDescent="0.25">
      <c r="A322" t="s">
        <v>9</v>
      </c>
      <c r="B322" t="s">
        <v>581</v>
      </c>
      <c r="C322">
        <v>7990000</v>
      </c>
      <c r="D322">
        <v>4190000</v>
      </c>
      <c r="E322" t="s">
        <v>582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">
        <v>1070</v>
      </c>
      <c r="I322" t="s">
        <v>1124</v>
      </c>
    </row>
    <row r="323" spans="1:9" x14ac:dyDescent="0.25">
      <c r="A323" t="s">
        <v>9</v>
      </c>
      <c r="B323" t="s">
        <v>583</v>
      </c>
      <c r="C323">
        <v>4190000</v>
      </c>
      <c r="D323">
        <v>3890000</v>
      </c>
      <c r="E323" t="s">
        <v>584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Gigabyte</v>
      </c>
      <c r="H323" t="s">
        <v>1070</v>
      </c>
      <c r="I323" t="str">
        <f>_xlfn.TEXTJOIN(",",TRUE,_xlfn._xlws.FILTER(VRAM_table[Video memory], (VRAM_table[Video memory text]&lt;&gt;"") * ISNUMBER(SEARCH(VRAM_table[Video memory text], B323)), ""))</f>
        <v>4GB</v>
      </c>
    </row>
    <row r="324" spans="1:9" x14ac:dyDescent="0.25">
      <c r="A324" t="s">
        <v>9</v>
      </c>
      <c r="B324" t="s">
        <v>585</v>
      </c>
      <c r="C324">
        <v>7990000</v>
      </c>
      <c r="D324">
        <v>7390000</v>
      </c>
      <c r="E324" t="s">
        <v>586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Gigabyte</v>
      </c>
      <c r="H324" t="s">
        <v>1070</v>
      </c>
      <c r="I324" t="str">
        <f>_xlfn.TEXTJOIN(",",TRUE,_xlfn._xlws.FILTER(VRAM_table[Video memory], (VRAM_table[Video memory text]&lt;&gt;"") * ISNUMBER(SEARCH(VRAM_table[Video memory text], B324)), ""))</f>
        <v>4GB</v>
      </c>
    </row>
    <row r="325" spans="1:9" x14ac:dyDescent="0.25">
      <c r="A325" t="s">
        <v>9</v>
      </c>
      <c r="B325" t="s">
        <v>587</v>
      </c>
      <c r="C325">
        <v>5500000</v>
      </c>
      <c r="D325">
        <v>4290000</v>
      </c>
      <c r="E325" t="s">
        <v>588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ASUS</v>
      </c>
      <c r="H325" t="s">
        <v>1070</v>
      </c>
      <c r="I325" t="str">
        <f>_xlfn.TEXTJOIN(",",TRUE,_xlfn._xlws.FILTER(VRAM_table[Video memory], (VRAM_table[Video memory text]&lt;&gt;"") * ISNUMBER(SEARCH(VRAM_table[Video memory text], B325)), ""))</f>
        <v>4GB</v>
      </c>
    </row>
    <row r="326" spans="1:9" x14ac:dyDescent="0.25">
      <c r="A326" t="s">
        <v>9</v>
      </c>
      <c r="B326" t="s">
        <v>589</v>
      </c>
      <c r="C326">
        <v>0</v>
      </c>
      <c r="D326">
        <v>4770000</v>
      </c>
      <c r="E326" t="s">
        <v>590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ASUS</v>
      </c>
      <c r="H326" t="s">
        <v>1070</v>
      </c>
      <c r="I326" t="s">
        <v>1124</v>
      </c>
    </row>
    <row r="327" spans="1:9" x14ac:dyDescent="0.25">
      <c r="A327" t="s">
        <v>9</v>
      </c>
      <c r="B327" t="s">
        <v>591</v>
      </c>
      <c r="C327">
        <v>0</v>
      </c>
      <c r="D327">
        <v>5290000</v>
      </c>
      <c r="E327" t="s">
        <v>592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">
        <v>1070</v>
      </c>
      <c r="I327" t="s">
        <v>1124</v>
      </c>
    </row>
    <row r="328" spans="1:9" x14ac:dyDescent="0.25">
      <c r="A328" t="s">
        <v>9</v>
      </c>
      <c r="B328" t="s">
        <v>593</v>
      </c>
      <c r="C328">
        <v>0</v>
      </c>
      <c r="D328">
        <v>8690000</v>
      </c>
      <c r="E328" t="s">
        <v>594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MSI</v>
      </c>
      <c r="H328" t="s">
        <v>1077</v>
      </c>
      <c r="I328" t="str">
        <f>_xlfn.TEXTJOIN(",",TRUE,_xlfn._xlws.FILTER(VRAM_table[Video memory], (VRAM_table[Video memory text]&lt;&gt;"") * ISNUMBER(SEARCH(VRAM_table[Video memory text], B328)), ""))</f>
        <v>6GB</v>
      </c>
    </row>
    <row r="329" spans="1:9" x14ac:dyDescent="0.25">
      <c r="A329" t="s">
        <v>9</v>
      </c>
      <c r="B329" t="s">
        <v>595</v>
      </c>
      <c r="C329">
        <v>1290000</v>
      </c>
      <c r="D329">
        <v>1190000</v>
      </c>
      <c r="E329" t="s">
        <v>596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Palit</v>
      </c>
      <c r="H329" t="str">
        <f>_xlfn.TEXTJOIN(",",TRUE,_xlfn._xlws.FILTER(Chipset_Table[Chipset], (Chipset_Table[Chipset text]&lt;&gt;"") * ISNUMBER(SEARCH(Chipset_Table[Chipset text], B329)), ""))</f>
        <v>GeForce GT 730</v>
      </c>
      <c r="I329" t="str">
        <f>_xlfn.TEXTJOIN(",",TRUE,_xlfn._xlws.FILTER(VRAM_table[Video memory], (VRAM_table[Video memory text]&lt;&gt;"") * ISNUMBER(SEARCH(VRAM_table[Video memory text], B329)), ""))</f>
        <v>2GB</v>
      </c>
    </row>
    <row r="330" spans="1:9" x14ac:dyDescent="0.25">
      <c r="A330" t="s">
        <v>9</v>
      </c>
      <c r="B330" t="s">
        <v>597</v>
      </c>
      <c r="C330">
        <v>5090000</v>
      </c>
      <c r="D330">
        <v>4790000</v>
      </c>
      <c r="E330" t="s">
        <v>598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">
        <v>1070</v>
      </c>
      <c r="I330" t="s">
        <v>1124</v>
      </c>
    </row>
    <row r="331" spans="1:9" x14ac:dyDescent="0.25">
      <c r="A331" t="s">
        <v>9</v>
      </c>
      <c r="B331" t="s">
        <v>599</v>
      </c>
      <c r="C331">
        <v>7890000</v>
      </c>
      <c r="D331">
        <v>4290000</v>
      </c>
      <c r="E331" t="s">
        <v>600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">
        <v>1070</v>
      </c>
      <c r="I331" t="str">
        <f>_xlfn.TEXTJOIN(",",TRUE,_xlfn._xlws.FILTER(VRAM_table[Video memory], (VRAM_table[Video memory text]&lt;&gt;"") * ISNUMBER(SEARCH(VRAM_table[Video memory text], B331)), ""))</f>
        <v>4GB</v>
      </c>
    </row>
    <row r="332" spans="1:9" x14ac:dyDescent="0.25">
      <c r="A332" t="s">
        <v>9</v>
      </c>
      <c r="B332" t="s">
        <v>601</v>
      </c>
      <c r="C332">
        <v>7490000</v>
      </c>
      <c r="D332">
        <v>4890000</v>
      </c>
      <c r="E332" t="s">
        <v>602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">
        <v>1070</v>
      </c>
      <c r="I332" t="str">
        <f>_xlfn.TEXTJOIN(",",TRUE,_xlfn._xlws.FILTER(VRAM_table[Video memory], (VRAM_table[Video memory text]&lt;&gt;"") * ISNUMBER(SEARCH(VRAM_table[Video memory text], B332)), ""))</f>
        <v>4GB</v>
      </c>
    </row>
    <row r="333" spans="1:9" x14ac:dyDescent="0.25">
      <c r="A333" t="s">
        <v>9</v>
      </c>
      <c r="B333" t="s">
        <v>603</v>
      </c>
      <c r="C333">
        <v>0</v>
      </c>
      <c r="D333">
        <v>7090000</v>
      </c>
      <c r="E333" t="s">
        <v>604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">
        <v>1070</v>
      </c>
      <c r="I333" t="str">
        <f>_xlfn.TEXTJOIN(",",TRUE,_xlfn._xlws.FILTER(VRAM_table[Video memory], (VRAM_table[Video memory text]&lt;&gt;"") * ISNUMBER(SEARCH(VRAM_table[Video memory text], B333)), ""))</f>
        <v>4GB</v>
      </c>
    </row>
    <row r="334" spans="1:9" x14ac:dyDescent="0.25">
      <c r="A334" t="s">
        <v>9</v>
      </c>
      <c r="B334" t="s">
        <v>605</v>
      </c>
      <c r="C334">
        <v>11290000</v>
      </c>
      <c r="D334">
        <v>10890000</v>
      </c>
      <c r="E334" t="s">
        <v>606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ASUS</v>
      </c>
      <c r="H334" t="str">
        <f>_xlfn.TEXTJOIN(",",TRUE,_xlfn._xlws.FILTER(Chipset_Table[Chipset], (Chipset_Table[Chipset text]&lt;&gt;"") * ISNUMBER(SEARCH(Chipset_Table[Chipset text], B334)), ""))</f>
        <v>GeForce GTX 1660</v>
      </c>
      <c r="I334" t="s">
        <v>1123</v>
      </c>
    </row>
    <row r="335" spans="1:9" x14ac:dyDescent="0.25">
      <c r="A335" t="s">
        <v>9</v>
      </c>
      <c r="B335" t="s">
        <v>607</v>
      </c>
      <c r="C335">
        <v>7490000</v>
      </c>
      <c r="D335">
        <v>6690000</v>
      </c>
      <c r="E335" t="s">
        <v>608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">
        <v>1070</v>
      </c>
      <c r="I335" t="s">
        <v>1124</v>
      </c>
    </row>
    <row r="336" spans="1:9" x14ac:dyDescent="0.25">
      <c r="A336" t="s">
        <v>9</v>
      </c>
      <c r="B336" t="s">
        <v>609</v>
      </c>
      <c r="C336">
        <v>4190000</v>
      </c>
      <c r="D336">
        <v>3890000</v>
      </c>
      <c r="E336" t="s">
        <v>610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">
        <v>1070</v>
      </c>
      <c r="I336" t="s">
        <v>1124</v>
      </c>
    </row>
    <row r="337" spans="1:9" x14ac:dyDescent="0.25">
      <c r="A337" t="s">
        <v>9</v>
      </c>
      <c r="B337" t="s">
        <v>611</v>
      </c>
      <c r="C337">
        <v>0</v>
      </c>
      <c r="D337">
        <v>13990000</v>
      </c>
      <c r="E337" t="s">
        <v>612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MSI</v>
      </c>
      <c r="H337" t="s">
        <v>1077</v>
      </c>
      <c r="I337" t="str">
        <f>_xlfn.TEXTJOIN(",",TRUE,_xlfn._xlws.FILTER(VRAM_table[Video memory], (VRAM_table[Video memory text]&lt;&gt;"") * ISNUMBER(SEARCH(VRAM_table[Video memory text], B337)), ""))</f>
        <v>6GB</v>
      </c>
    </row>
    <row r="338" spans="1:9" x14ac:dyDescent="0.25">
      <c r="A338" t="s">
        <v>9</v>
      </c>
      <c r="B338" t="s">
        <v>613</v>
      </c>
      <c r="C338">
        <v>0</v>
      </c>
      <c r="D338">
        <v>10990000</v>
      </c>
      <c r="E338" t="s">
        <v>614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Gigabyte</v>
      </c>
      <c r="H338" t="s">
        <v>1077</v>
      </c>
      <c r="I338" t="str">
        <f>_xlfn.TEXTJOIN(",",TRUE,_xlfn._xlws.FILTER(VRAM_table[Video memory], (VRAM_table[Video memory text]&lt;&gt;"") * ISNUMBER(SEARCH(VRAM_table[Video memory text], B338)), ""))</f>
        <v>6GB</v>
      </c>
    </row>
    <row r="339" spans="1:9" x14ac:dyDescent="0.25">
      <c r="A339" t="s">
        <v>9</v>
      </c>
      <c r="B339" t="s">
        <v>615</v>
      </c>
      <c r="C339">
        <v>7990000</v>
      </c>
      <c r="D339">
        <v>5190000</v>
      </c>
      <c r="E339" t="s">
        <v>616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Gigabyte</v>
      </c>
      <c r="H339" t="s">
        <v>1076</v>
      </c>
      <c r="I339" t="str">
        <f>_xlfn.TEXTJOIN(",",TRUE,_xlfn._xlws.FILTER(VRAM_table[Video memory], (VRAM_table[Video memory text]&lt;&gt;"") * ISNUMBER(SEARCH(VRAM_table[Video memory text], B339)), ""))</f>
        <v>6GB</v>
      </c>
    </row>
    <row r="340" spans="1:9" x14ac:dyDescent="0.25">
      <c r="A340" t="s">
        <v>9</v>
      </c>
      <c r="B340" t="s">
        <v>617</v>
      </c>
      <c r="C340">
        <v>4290000</v>
      </c>
      <c r="D340">
        <v>3990000</v>
      </c>
      <c r="E340" t="s">
        <v>618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">
        <v>1070</v>
      </c>
      <c r="I340" t="s">
        <v>1124</v>
      </c>
    </row>
    <row r="341" spans="1:9" x14ac:dyDescent="0.25">
      <c r="A341" t="s">
        <v>9</v>
      </c>
      <c r="B341" t="s">
        <v>619</v>
      </c>
      <c r="C341">
        <v>59990000</v>
      </c>
      <c r="D341">
        <v>55990000</v>
      </c>
      <c r="E341" t="s">
        <v>620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MSI</v>
      </c>
      <c r="H341" t="str">
        <f>_xlfn.TEXTJOIN(",",TRUE,_xlfn._xlws.FILTER(Chipset_Table[Chipset], (Chipset_Table[Chipset text]&lt;&gt;"") * ISNUMBER(SEARCH(Chipset_Table[Chipset text], B341)), ""))</f>
        <v>GeForce RTX 4090</v>
      </c>
      <c r="I341" t="s">
        <v>1127</v>
      </c>
    </row>
    <row r="342" spans="1:9" x14ac:dyDescent="0.25">
      <c r="A342" t="s">
        <v>9</v>
      </c>
      <c r="B342" t="s">
        <v>621</v>
      </c>
      <c r="C342">
        <v>0</v>
      </c>
      <c r="D342">
        <v>56990000</v>
      </c>
      <c r="E342" t="s">
        <v>622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MSI</v>
      </c>
      <c r="H342" t="str">
        <f>_xlfn.TEXTJOIN(",",TRUE,_xlfn._xlws.FILTER(Chipset_Table[Chipset], (Chipset_Table[Chipset text]&lt;&gt;"") * ISNUMBER(SEARCH(Chipset_Table[Chipset text], B342)), ""))</f>
        <v>GeForce RTX 4090</v>
      </c>
      <c r="I342" t="s">
        <v>1127</v>
      </c>
    </row>
    <row r="343" spans="1:9" x14ac:dyDescent="0.25">
      <c r="A343" t="s">
        <v>9</v>
      </c>
      <c r="B343" t="s">
        <v>623</v>
      </c>
      <c r="C343">
        <v>0</v>
      </c>
      <c r="D343">
        <v>55990000</v>
      </c>
      <c r="E343" t="s">
        <v>624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4090</v>
      </c>
      <c r="I343" t="s">
        <v>1127</v>
      </c>
    </row>
    <row r="344" spans="1:9" x14ac:dyDescent="0.25">
      <c r="A344" t="s">
        <v>9</v>
      </c>
      <c r="B344" t="s">
        <v>625</v>
      </c>
      <c r="C344">
        <v>0</v>
      </c>
      <c r="D344">
        <v>54990000</v>
      </c>
      <c r="E344" t="s">
        <v>626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4090</v>
      </c>
      <c r="I344" t="s">
        <v>1127</v>
      </c>
    </row>
    <row r="345" spans="1:9" x14ac:dyDescent="0.25">
      <c r="A345" t="s">
        <v>9</v>
      </c>
      <c r="B345" t="s">
        <v>627</v>
      </c>
      <c r="C345">
        <v>0</v>
      </c>
      <c r="D345">
        <v>53990000</v>
      </c>
      <c r="E345" t="s">
        <v>628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4090</v>
      </c>
      <c r="I345" t="s">
        <v>1127</v>
      </c>
    </row>
    <row r="346" spans="1:9" x14ac:dyDescent="0.25">
      <c r="A346" t="s">
        <v>9</v>
      </c>
      <c r="B346" t="s">
        <v>629</v>
      </c>
      <c r="C346">
        <v>0</v>
      </c>
      <c r="D346">
        <v>54990000</v>
      </c>
      <c r="E346" t="s">
        <v>630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MSI</v>
      </c>
      <c r="H346" t="str">
        <f>_xlfn.TEXTJOIN(",",TRUE,_xlfn._xlws.FILTER(Chipset_Table[Chipset], (Chipset_Table[Chipset text]&lt;&gt;"") * ISNUMBER(SEARCH(Chipset_Table[Chipset text], B346)), ""))</f>
        <v>GeForce RTX 4090</v>
      </c>
      <c r="I346" t="s">
        <v>1127</v>
      </c>
    </row>
    <row r="347" spans="1:9" x14ac:dyDescent="0.25">
      <c r="A347" t="s">
        <v>9</v>
      </c>
      <c r="B347" t="s">
        <v>631</v>
      </c>
      <c r="C347">
        <v>0</v>
      </c>
      <c r="D347">
        <v>47990000</v>
      </c>
      <c r="E347" t="s">
        <v>632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4090</v>
      </c>
      <c r="I347" t="s">
        <v>1127</v>
      </c>
    </row>
    <row r="348" spans="1:9" x14ac:dyDescent="0.25">
      <c r="A348" t="s">
        <v>9</v>
      </c>
      <c r="B348" t="s">
        <v>633</v>
      </c>
      <c r="C348">
        <v>0</v>
      </c>
      <c r="D348">
        <v>60990000</v>
      </c>
      <c r="E348" t="s">
        <v>634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4090</v>
      </c>
      <c r="I348" t="s">
        <v>1127</v>
      </c>
    </row>
    <row r="349" spans="1:9" x14ac:dyDescent="0.25">
      <c r="A349" t="s">
        <v>9</v>
      </c>
      <c r="B349" t="s">
        <v>635</v>
      </c>
      <c r="C349">
        <v>0</v>
      </c>
      <c r="D349">
        <v>56990000</v>
      </c>
      <c r="E349" t="s">
        <v>636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4090</v>
      </c>
      <c r="I349" t="s">
        <v>1127</v>
      </c>
    </row>
    <row r="350" spans="1:9" x14ac:dyDescent="0.25">
      <c r="A350" t="s">
        <v>9</v>
      </c>
      <c r="B350" t="s">
        <v>637</v>
      </c>
      <c r="C350">
        <v>69900000</v>
      </c>
      <c r="D350">
        <v>62990000</v>
      </c>
      <c r="E350" t="s">
        <v>638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4090</v>
      </c>
      <c r="I350" t="s">
        <v>1127</v>
      </c>
    </row>
    <row r="351" spans="1:9" x14ac:dyDescent="0.25">
      <c r="A351" t="s">
        <v>9</v>
      </c>
      <c r="B351" t="s">
        <v>639</v>
      </c>
      <c r="C351">
        <v>65990000</v>
      </c>
      <c r="D351">
        <v>62990000</v>
      </c>
      <c r="E351" t="s">
        <v>640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4090</v>
      </c>
      <c r="I351" t="s">
        <v>1127</v>
      </c>
    </row>
    <row r="352" spans="1:9" x14ac:dyDescent="0.25">
      <c r="A352" t="s">
        <v>9</v>
      </c>
      <c r="B352" t="s">
        <v>641</v>
      </c>
      <c r="C352">
        <v>65990000</v>
      </c>
      <c r="D352">
        <v>58490000</v>
      </c>
      <c r="E352" t="s">
        <v>642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4090</v>
      </c>
      <c r="I352" t="s">
        <v>1127</v>
      </c>
    </row>
    <row r="353" spans="1:9" x14ac:dyDescent="0.25">
      <c r="A353" t="s">
        <v>9</v>
      </c>
      <c r="B353" t="s">
        <v>643</v>
      </c>
      <c r="C353">
        <v>0</v>
      </c>
      <c r="D353">
        <v>66990000</v>
      </c>
      <c r="E353" t="s">
        <v>644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ASUS</v>
      </c>
      <c r="H353" t="str">
        <f>_xlfn.TEXTJOIN(",",TRUE,_xlfn._xlws.FILTER(Chipset_Table[Chipset], (Chipset_Table[Chipset text]&lt;&gt;"") * ISNUMBER(SEARCH(Chipset_Table[Chipset text], B353)), ""))</f>
        <v>GeForce RTX 4090</v>
      </c>
      <c r="I353" t="s">
        <v>1127</v>
      </c>
    </row>
    <row r="354" spans="1:9" x14ac:dyDescent="0.25">
      <c r="A354" t="s">
        <v>9</v>
      </c>
      <c r="B354" t="s">
        <v>645</v>
      </c>
      <c r="C354">
        <v>65990000</v>
      </c>
      <c r="D354">
        <v>62990000</v>
      </c>
      <c r="E354" t="s">
        <v>646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ASUS</v>
      </c>
      <c r="H354" t="str">
        <f>_xlfn.TEXTJOIN(",",TRUE,_xlfn._xlws.FILTER(Chipset_Table[Chipset], (Chipset_Table[Chipset text]&lt;&gt;"") * ISNUMBER(SEARCH(Chipset_Table[Chipset text], B354)), ""))</f>
        <v>GeForce RTX 4090</v>
      </c>
      <c r="I354" t="s">
        <v>1127</v>
      </c>
    </row>
    <row r="355" spans="1:9" x14ac:dyDescent="0.25">
      <c r="A355" t="s">
        <v>9</v>
      </c>
      <c r="B355" t="s">
        <v>647</v>
      </c>
      <c r="C355">
        <v>0</v>
      </c>
      <c r="D355">
        <v>8790000</v>
      </c>
      <c r="E355" t="s">
        <v>648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Gigabyte</v>
      </c>
      <c r="H355" t="s">
        <v>1070</v>
      </c>
      <c r="I355" t="s">
        <v>1124</v>
      </c>
    </row>
    <row r="356" spans="1:9" x14ac:dyDescent="0.25">
      <c r="A356" t="s">
        <v>9</v>
      </c>
      <c r="B356" t="s">
        <v>649</v>
      </c>
      <c r="C356">
        <v>8990000</v>
      </c>
      <c r="D356">
        <v>8790000</v>
      </c>
      <c r="E356" t="s">
        <v>650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ASUS</v>
      </c>
      <c r="H356" t="s">
        <v>1070</v>
      </c>
      <c r="I356" t="s">
        <v>1124</v>
      </c>
    </row>
    <row r="357" spans="1:9" x14ac:dyDescent="0.25">
      <c r="A357" t="s">
        <v>9</v>
      </c>
      <c r="B357" t="s">
        <v>651</v>
      </c>
      <c r="C357">
        <v>44990000</v>
      </c>
      <c r="D357">
        <v>36990000</v>
      </c>
      <c r="E357" t="s">
        <v>652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4080</v>
      </c>
      <c r="I357" t="s">
        <v>1114</v>
      </c>
    </row>
    <row r="358" spans="1:9" x14ac:dyDescent="0.25">
      <c r="A358" t="s">
        <v>9</v>
      </c>
      <c r="B358" t="s">
        <v>653</v>
      </c>
      <c r="C358">
        <v>0</v>
      </c>
      <c r="D358">
        <v>35990000</v>
      </c>
      <c r="E358" t="s">
        <v>654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4080</v>
      </c>
      <c r="I358" t="s">
        <v>1114</v>
      </c>
    </row>
    <row r="359" spans="1:9" x14ac:dyDescent="0.25">
      <c r="A359" t="s">
        <v>9</v>
      </c>
      <c r="B359" t="s">
        <v>655</v>
      </c>
      <c r="C359">
        <v>48990000</v>
      </c>
      <c r="D359">
        <v>39990000</v>
      </c>
      <c r="E359" t="s">
        <v>656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MSI</v>
      </c>
      <c r="H359" t="str">
        <f>_xlfn.TEXTJOIN(",",TRUE,_xlfn._xlws.FILTER(Chipset_Table[Chipset], (Chipset_Table[Chipset text]&lt;&gt;"") * ISNUMBER(SEARCH(Chipset_Table[Chipset text], B359)), ""))</f>
        <v>GeForce RTX 4080</v>
      </c>
      <c r="I359" t="s">
        <v>1114</v>
      </c>
    </row>
    <row r="360" spans="1:9" x14ac:dyDescent="0.25">
      <c r="A360" t="s">
        <v>9</v>
      </c>
      <c r="B360" t="s">
        <v>657</v>
      </c>
      <c r="C360">
        <v>0</v>
      </c>
      <c r="D360">
        <v>39490000</v>
      </c>
      <c r="E360" t="s">
        <v>658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MSI</v>
      </c>
      <c r="H360" t="str">
        <f>_xlfn.TEXTJOIN(",",TRUE,_xlfn._xlws.FILTER(Chipset_Table[Chipset], (Chipset_Table[Chipset text]&lt;&gt;"") * ISNUMBER(SEARCH(Chipset_Table[Chipset text], B360)), ""))</f>
        <v>GeForce RTX 4080</v>
      </c>
      <c r="I360" t="s">
        <v>1114</v>
      </c>
    </row>
    <row r="361" spans="1:9" x14ac:dyDescent="0.25">
      <c r="A361" t="s">
        <v>9</v>
      </c>
      <c r="B361" t="s">
        <v>659</v>
      </c>
      <c r="C361">
        <v>46990000</v>
      </c>
      <c r="D361">
        <v>37990000</v>
      </c>
      <c r="E361" t="s">
        <v>660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MSI</v>
      </c>
      <c r="H361" t="str">
        <f>_xlfn.TEXTJOIN(",",TRUE,_xlfn._xlws.FILTER(Chipset_Table[Chipset], (Chipset_Table[Chipset text]&lt;&gt;"") * ISNUMBER(SEARCH(Chipset_Table[Chipset text], B361)), ""))</f>
        <v>GeForce RTX 4080</v>
      </c>
      <c r="I361" t="s">
        <v>1114</v>
      </c>
    </row>
    <row r="362" spans="1:9" x14ac:dyDescent="0.25">
      <c r="A362" t="s">
        <v>9</v>
      </c>
      <c r="B362" t="s">
        <v>661</v>
      </c>
      <c r="C362">
        <v>0</v>
      </c>
      <c r="D362">
        <v>36990000</v>
      </c>
      <c r="E362" t="s">
        <v>662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MSI</v>
      </c>
      <c r="H362" t="str">
        <f>_xlfn.TEXTJOIN(",",TRUE,_xlfn._xlws.FILTER(Chipset_Table[Chipset], (Chipset_Table[Chipset text]&lt;&gt;"") * ISNUMBER(SEARCH(Chipset_Table[Chipset text], B362)), ""))</f>
        <v>GeForce RTX 4080</v>
      </c>
      <c r="I362" t="s">
        <v>1114</v>
      </c>
    </row>
    <row r="363" spans="1:9" x14ac:dyDescent="0.25">
      <c r="A363" t="s">
        <v>9</v>
      </c>
      <c r="B363" t="s">
        <v>663</v>
      </c>
      <c r="C363">
        <v>48490000</v>
      </c>
      <c r="D363">
        <v>37490000</v>
      </c>
      <c r="E363" t="s">
        <v>664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4080</v>
      </c>
      <c r="I363" t="s">
        <v>1114</v>
      </c>
    </row>
    <row r="364" spans="1:9" x14ac:dyDescent="0.25">
      <c r="A364" t="s">
        <v>9</v>
      </c>
      <c r="B364" t="s">
        <v>665</v>
      </c>
      <c r="C364">
        <v>45990000</v>
      </c>
      <c r="D364">
        <v>35490000</v>
      </c>
      <c r="E364" t="s">
        <v>666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4080</v>
      </c>
      <c r="I364" t="s">
        <v>1114</v>
      </c>
    </row>
    <row r="365" spans="1:9" x14ac:dyDescent="0.25">
      <c r="A365" t="s">
        <v>9</v>
      </c>
      <c r="B365" t="s">
        <v>667</v>
      </c>
      <c r="C365">
        <v>46990000</v>
      </c>
      <c r="D365">
        <v>35990000</v>
      </c>
      <c r="E365" t="s">
        <v>668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Gigabyte</v>
      </c>
      <c r="H365" t="str">
        <f>_xlfn.TEXTJOIN(",",TRUE,_xlfn._xlws.FILTER(Chipset_Table[Chipset], (Chipset_Table[Chipset text]&lt;&gt;"") * ISNUMBER(SEARCH(Chipset_Table[Chipset text], B365)), ""))</f>
        <v>GeForce RTX 4080</v>
      </c>
      <c r="I365" t="s">
        <v>1114</v>
      </c>
    </row>
    <row r="366" spans="1:9" x14ac:dyDescent="0.25">
      <c r="A366" t="s">
        <v>9</v>
      </c>
      <c r="B366" t="s">
        <v>669</v>
      </c>
      <c r="C366">
        <v>48990000</v>
      </c>
      <c r="D366">
        <v>37990000</v>
      </c>
      <c r="E366" t="s">
        <v>670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Gigabyte</v>
      </c>
      <c r="H366" t="str">
        <f>_xlfn.TEXTJOIN(",",TRUE,_xlfn._xlws.FILTER(Chipset_Table[Chipset], (Chipset_Table[Chipset text]&lt;&gt;"") * ISNUMBER(SEARCH(Chipset_Table[Chipset text], B366)), ""))</f>
        <v>GeForce RTX 4080</v>
      </c>
      <c r="I366" t="s">
        <v>1114</v>
      </c>
    </row>
    <row r="367" spans="1:9" x14ac:dyDescent="0.25">
      <c r="A367" t="s">
        <v>9</v>
      </c>
      <c r="B367" t="s">
        <v>671</v>
      </c>
      <c r="C367">
        <v>0</v>
      </c>
      <c r="D367">
        <v>40490000</v>
      </c>
      <c r="E367" t="s">
        <v>672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Gigabyte</v>
      </c>
      <c r="H367" t="str">
        <f>_xlfn.TEXTJOIN(",",TRUE,_xlfn._xlws.FILTER(Chipset_Table[Chipset], (Chipset_Table[Chipset text]&lt;&gt;"") * ISNUMBER(SEARCH(Chipset_Table[Chipset text], B367)), ""))</f>
        <v>GeForce RTX 4080</v>
      </c>
      <c r="I367" t="s">
        <v>1114</v>
      </c>
    </row>
    <row r="368" spans="1:9" x14ac:dyDescent="0.25">
      <c r="A368" t="s">
        <v>9</v>
      </c>
      <c r="B368" t="s">
        <v>673</v>
      </c>
      <c r="C368">
        <v>0</v>
      </c>
      <c r="D368">
        <v>42990000</v>
      </c>
      <c r="E368" t="s">
        <v>674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Gigabyte</v>
      </c>
      <c r="H368" t="str">
        <f>_xlfn.TEXTJOIN(",",TRUE,_xlfn._xlws.FILTER(Chipset_Table[Chipset], (Chipset_Table[Chipset text]&lt;&gt;"") * ISNUMBER(SEARCH(Chipset_Table[Chipset text], B368)), ""))</f>
        <v>GeForce RTX 4080</v>
      </c>
      <c r="I368" t="s">
        <v>1114</v>
      </c>
    </row>
    <row r="369" spans="1:9" x14ac:dyDescent="0.25">
      <c r="A369" t="s">
        <v>9</v>
      </c>
      <c r="B369" t="s">
        <v>675</v>
      </c>
      <c r="C369">
        <v>49990000</v>
      </c>
      <c r="D369">
        <v>39990000</v>
      </c>
      <c r="E369" t="s">
        <v>676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Gigabyte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1114</v>
      </c>
    </row>
    <row r="370" spans="1:9" x14ac:dyDescent="0.25">
      <c r="A370" t="s">
        <v>9</v>
      </c>
      <c r="B370" t="s">
        <v>677</v>
      </c>
      <c r="C370">
        <v>47200000</v>
      </c>
      <c r="D370">
        <v>38490000</v>
      </c>
      <c r="E370" t="s">
        <v>678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1114</v>
      </c>
    </row>
    <row r="371" spans="1:9" x14ac:dyDescent="0.25">
      <c r="A371" t="s">
        <v>9</v>
      </c>
      <c r="B371" t="s">
        <v>679</v>
      </c>
      <c r="C371">
        <v>46000000</v>
      </c>
      <c r="D371">
        <v>37990000</v>
      </c>
      <c r="E371" t="s">
        <v>680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4080</v>
      </c>
      <c r="I371" t="s">
        <v>1114</v>
      </c>
    </row>
    <row r="372" spans="1:9" x14ac:dyDescent="0.25">
      <c r="A372" t="s">
        <v>9</v>
      </c>
      <c r="B372" t="s">
        <v>681</v>
      </c>
      <c r="C372">
        <v>29990000</v>
      </c>
      <c r="D372">
        <v>26990000</v>
      </c>
      <c r="E372" t="s">
        <v>682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1116</v>
      </c>
    </row>
    <row r="373" spans="1:9" x14ac:dyDescent="0.25">
      <c r="A373" t="s">
        <v>9</v>
      </c>
      <c r="B373" t="s">
        <v>683</v>
      </c>
      <c r="C373">
        <v>24990000</v>
      </c>
      <c r="D373">
        <v>24390000</v>
      </c>
      <c r="E373" t="s">
        <v>684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1116</v>
      </c>
    </row>
    <row r="374" spans="1:9" x14ac:dyDescent="0.25">
      <c r="A374" t="s">
        <v>9</v>
      </c>
      <c r="B374" t="s">
        <v>685</v>
      </c>
      <c r="C374">
        <v>69990000</v>
      </c>
      <c r="D374">
        <v>64990000</v>
      </c>
      <c r="E374" t="s">
        <v>686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4090</v>
      </c>
      <c r="I374" t="s">
        <v>1127</v>
      </c>
    </row>
    <row r="375" spans="1:9" x14ac:dyDescent="0.25">
      <c r="A375" t="s">
        <v>9</v>
      </c>
      <c r="B375" t="s">
        <v>687</v>
      </c>
      <c r="C375">
        <v>45990000</v>
      </c>
      <c r="D375">
        <v>42990000</v>
      </c>
      <c r="E375" t="s">
        <v>688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4080</v>
      </c>
      <c r="I375" t="s">
        <v>1114</v>
      </c>
    </row>
    <row r="376" spans="1:9" x14ac:dyDescent="0.25">
      <c r="A376" t="s">
        <v>9</v>
      </c>
      <c r="B376" t="s">
        <v>689</v>
      </c>
      <c r="C376">
        <v>0</v>
      </c>
      <c r="D376">
        <v>40990000</v>
      </c>
      <c r="E376" t="s">
        <v>690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4080</v>
      </c>
      <c r="I376" t="s">
        <v>1114</v>
      </c>
    </row>
    <row r="377" spans="1:9" x14ac:dyDescent="0.25">
      <c r="A377" t="s">
        <v>9</v>
      </c>
      <c r="B377" t="s">
        <v>691</v>
      </c>
      <c r="C377">
        <v>49500000</v>
      </c>
      <c r="D377">
        <v>40490000</v>
      </c>
      <c r="E377" t="s">
        <v>692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ASUS</v>
      </c>
      <c r="H377" t="str">
        <f>_xlfn.TEXTJOIN(",",TRUE,_xlfn._xlws.FILTER(Chipset_Table[Chipset], (Chipset_Table[Chipset text]&lt;&gt;"") * ISNUMBER(SEARCH(Chipset_Table[Chipset text], B377)), ""))</f>
        <v>GeForce RTX 4080</v>
      </c>
      <c r="I377" t="s">
        <v>1114</v>
      </c>
    </row>
    <row r="378" spans="1:9" x14ac:dyDescent="0.25">
      <c r="A378" t="s">
        <v>9</v>
      </c>
      <c r="B378" t="s">
        <v>693</v>
      </c>
      <c r="C378">
        <v>28490000</v>
      </c>
      <c r="D378">
        <v>27490000</v>
      </c>
      <c r="E378" t="s">
        <v>694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MSI</v>
      </c>
      <c r="H378" t="str">
        <f>_xlfn.TEXTJOIN(",",TRUE,_xlfn._xlws.FILTER(Chipset_Table[Chipset], (Chipset_Table[Chipset text]&lt;&gt;"") * ISNUMBER(SEARCH(Chipset_Table[Chipset text], B378)), ""))</f>
        <v>GeForce RTX 4070</v>
      </c>
      <c r="I378" t="s">
        <v>1116</v>
      </c>
    </row>
    <row r="379" spans="1:9" x14ac:dyDescent="0.25">
      <c r="A379" t="s">
        <v>9</v>
      </c>
      <c r="B379" t="s">
        <v>695</v>
      </c>
      <c r="C379">
        <v>29990000</v>
      </c>
      <c r="D379">
        <v>27790000</v>
      </c>
      <c r="E379" t="s">
        <v>696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MSI</v>
      </c>
      <c r="H379" t="str">
        <f>_xlfn.TEXTJOIN(",",TRUE,_xlfn._xlws.FILTER(Chipset_Table[Chipset], (Chipset_Table[Chipset text]&lt;&gt;"") * ISNUMBER(SEARCH(Chipset_Table[Chipset text], B379)), ""))</f>
        <v>GeForce RTX 4070</v>
      </c>
      <c r="I379" t="s">
        <v>1116</v>
      </c>
    </row>
    <row r="380" spans="1:9" x14ac:dyDescent="0.25">
      <c r="A380" t="s">
        <v>9</v>
      </c>
      <c r="B380" t="s">
        <v>697</v>
      </c>
      <c r="C380">
        <v>25990000</v>
      </c>
      <c r="D380">
        <v>24990000</v>
      </c>
      <c r="E380" t="s">
        <v>698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MSI</v>
      </c>
      <c r="H380" t="str">
        <f>_xlfn.TEXTJOIN(",",TRUE,_xlfn._xlws.FILTER(Chipset_Table[Chipset], (Chipset_Table[Chipset text]&lt;&gt;"") * ISNUMBER(SEARCH(Chipset_Table[Chipset text], B380)), ""))</f>
        <v>GeForce RTX 4070</v>
      </c>
      <c r="I380" t="s">
        <v>1116</v>
      </c>
    </row>
    <row r="381" spans="1:9" x14ac:dyDescent="0.25">
      <c r="A381" t="s">
        <v>9</v>
      </c>
      <c r="B381" t="s">
        <v>699</v>
      </c>
      <c r="C381">
        <v>29990000</v>
      </c>
      <c r="D381">
        <v>27990000</v>
      </c>
      <c r="E381" t="s">
        <v>700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Gigabyte</v>
      </c>
      <c r="H381" t="str">
        <f>_xlfn.TEXTJOIN(",",TRUE,_xlfn._xlws.FILTER(Chipset_Table[Chipset], (Chipset_Table[Chipset text]&lt;&gt;"") * ISNUMBER(SEARCH(Chipset_Table[Chipset text], B381)), ""))</f>
        <v>GeForce RTX 4070</v>
      </c>
      <c r="I381" t="s">
        <v>1116</v>
      </c>
    </row>
    <row r="382" spans="1:9" x14ac:dyDescent="0.25">
      <c r="A382" t="s">
        <v>9</v>
      </c>
      <c r="B382" t="s">
        <v>701</v>
      </c>
      <c r="C382">
        <v>27990000</v>
      </c>
      <c r="D382">
        <v>25990000</v>
      </c>
      <c r="E382" t="s">
        <v>702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Gigabyte</v>
      </c>
      <c r="H382" t="str">
        <f>_xlfn.TEXTJOIN(",",TRUE,_xlfn._xlws.FILTER(Chipset_Table[Chipset], (Chipset_Table[Chipset text]&lt;&gt;"") * ISNUMBER(SEARCH(Chipset_Table[Chipset text], B382)), ""))</f>
        <v>GeForce RTX 4070</v>
      </c>
      <c r="I382" t="s">
        <v>1116</v>
      </c>
    </row>
    <row r="383" spans="1:9" x14ac:dyDescent="0.25">
      <c r="A383" t="s">
        <v>9</v>
      </c>
      <c r="B383" t="s">
        <v>703</v>
      </c>
      <c r="C383">
        <v>30990000</v>
      </c>
      <c r="D383">
        <v>27990000</v>
      </c>
      <c r="E383" t="s">
        <v>704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GeForce RTX 4070</v>
      </c>
      <c r="I383" t="s">
        <v>1116</v>
      </c>
    </row>
    <row r="384" spans="1:9" x14ac:dyDescent="0.25">
      <c r="A384" t="s">
        <v>9</v>
      </c>
      <c r="B384" t="s">
        <v>705</v>
      </c>
      <c r="C384">
        <v>30990000</v>
      </c>
      <c r="D384">
        <v>29490000</v>
      </c>
      <c r="E384" t="s">
        <v>706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4070</v>
      </c>
      <c r="I384" t="s">
        <v>1116</v>
      </c>
    </row>
    <row r="385" spans="1:9" x14ac:dyDescent="0.25">
      <c r="A385" t="s">
        <v>9</v>
      </c>
      <c r="B385" t="s">
        <v>707</v>
      </c>
      <c r="C385">
        <v>29290000</v>
      </c>
      <c r="D385">
        <v>28990000</v>
      </c>
      <c r="E385" t="s">
        <v>708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Gigabyte</v>
      </c>
      <c r="H385" t="str">
        <f>_xlfn.TEXTJOIN(",",TRUE,_xlfn._xlws.FILTER(Chipset_Table[Chipset], (Chipset_Table[Chipset text]&lt;&gt;"") * ISNUMBER(SEARCH(Chipset_Table[Chipset text], B385)), ""))</f>
        <v>GeForce RTX 4070</v>
      </c>
      <c r="I385" t="s">
        <v>1116</v>
      </c>
    </row>
    <row r="386" spans="1:9" x14ac:dyDescent="0.25">
      <c r="A386" t="s">
        <v>9</v>
      </c>
      <c r="B386" t="s">
        <v>709</v>
      </c>
      <c r="C386">
        <v>30490000</v>
      </c>
      <c r="D386">
        <v>29990000</v>
      </c>
      <c r="E386" t="s">
        <v>710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4070</v>
      </c>
      <c r="I386" t="s">
        <v>1116</v>
      </c>
    </row>
    <row r="387" spans="1:9" x14ac:dyDescent="0.25">
      <c r="A387" t="s">
        <v>9</v>
      </c>
      <c r="B387" t="s">
        <v>711</v>
      </c>
      <c r="C387">
        <v>29990000</v>
      </c>
      <c r="D387">
        <v>26790000</v>
      </c>
      <c r="E387" t="s">
        <v>712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GeForce RTX 4070</v>
      </c>
      <c r="I387" t="s">
        <v>1116</v>
      </c>
    </row>
    <row r="388" spans="1:9" x14ac:dyDescent="0.25">
      <c r="A388" t="s">
        <v>9</v>
      </c>
      <c r="B388" t="s">
        <v>713</v>
      </c>
      <c r="C388">
        <v>0</v>
      </c>
      <c r="D388">
        <v>17490000</v>
      </c>
      <c r="E388" t="s">
        <v>714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MSI</v>
      </c>
      <c r="H388" t="str">
        <f>_xlfn.TEXTJOIN(",",TRUE,_xlfn._xlws.FILTER(Chipset_Table[Chipset], (Chipset_Table[Chipset text]&lt;&gt;"") * ISNUMBER(SEARCH(Chipset_Table[Chipset text], B388)), ""))</f>
        <v>GeForce RTX 4070</v>
      </c>
      <c r="I388" t="s">
        <v>1116</v>
      </c>
    </row>
    <row r="389" spans="1:9" x14ac:dyDescent="0.25">
      <c r="A389" t="s">
        <v>9</v>
      </c>
      <c r="B389" t="s">
        <v>715</v>
      </c>
      <c r="C389">
        <v>0</v>
      </c>
      <c r="D389">
        <v>16990000</v>
      </c>
      <c r="E389" t="s">
        <v>716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MSI</v>
      </c>
      <c r="H389" t="str">
        <f>_xlfn.TEXTJOIN(",",TRUE,_xlfn._xlws.FILTER(Chipset_Table[Chipset], (Chipset_Table[Chipset text]&lt;&gt;"") * ISNUMBER(SEARCH(Chipset_Table[Chipset text], B389)), ""))</f>
        <v>GeForce RTX 4070</v>
      </c>
      <c r="I389" t="s">
        <v>1116</v>
      </c>
    </row>
    <row r="390" spans="1:9" x14ac:dyDescent="0.25">
      <c r="A390" t="s">
        <v>9</v>
      </c>
      <c r="B390" t="s">
        <v>717</v>
      </c>
      <c r="C390">
        <v>0</v>
      </c>
      <c r="D390">
        <v>16790000</v>
      </c>
      <c r="E390" t="s">
        <v>718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MSI</v>
      </c>
      <c r="H390" t="str">
        <f>_xlfn.TEXTJOIN(",",TRUE,_xlfn._xlws.FILTER(Chipset_Table[Chipset], (Chipset_Table[Chipset text]&lt;&gt;"") * ISNUMBER(SEARCH(Chipset_Table[Chipset text], B390)), ""))</f>
        <v>GeForce RTX 4070</v>
      </c>
      <c r="I390" t="s">
        <v>1116</v>
      </c>
    </row>
    <row r="391" spans="1:9" x14ac:dyDescent="0.25">
      <c r="A391" t="s">
        <v>9</v>
      </c>
      <c r="B391" t="s">
        <v>719</v>
      </c>
      <c r="C391">
        <v>27990000</v>
      </c>
      <c r="D391">
        <v>26990000</v>
      </c>
      <c r="E391" t="s">
        <v>720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MSI</v>
      </c>
      <c r="H391" t="str">
        <f>_xlfn.TEXTJOIN(",",TRUE,_xlfn._xlws.FILTER(Chipset_Table[Chipset], (Chipset_Table[Chipset text]&lt;&gt;"") * ISNUMBER(SEARCH(Chipset_Table[Chipset text], B391)), ""))</f>
        <v>GeForce RTX 4070</v>
      </c>
      <c r="I391" t="s">
        <v>1116</v>
      </c>
    </row>
    <row r="392" spans="1:9" x14ac:dyDescent="0.25">
      <c r="A392" t="s">
        <v>9</v>
      </c>
      <c r="B392" t="s">
        <v>721</v>
      </c>
      <c r="C392">
        <v>19490000</v>
      </c>
      <c r="D392">
        <v>18990000</v>
      </c>
      <c r="E392" t="s">
        <v>722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4070</v>
      </c>
      <c r="I392" t="s">
        <v>1116</v>
      </c>
    </row>
    <row r="393" spans="1:9" x14ac:dyDescent="0.25">
      <c r="A393" t="s">
        <v>9</v>
      </c>
      <c r="B393" t="s">
        <v>723</v>
      </c>
      <c r="C393">
        <v>13990000</v>
      </c>
      <c r="D393">
        <v>13490000</v>
      </c>
      <c r="E393" t="s">
        <v>724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MSI</v>
      </c>
      <c r="H393" t="str">
        <f>_xlfn.TEXTJOIN(",",TRUE,_xlfn._xlws.FILTER(Chipset_Table[Chipset], (Chipset_Table[Chipset text]&lt;&gt;"") * ISNUMBER(SEARCH(Chipset_Table[Chipset text], B393)), ""))</f>
        <v>GeForce RTX 4060</v>
      </c>
      <c r="I393" t="str">
        <f>_xlfn.TEXTJOIN(",",TRUE,_xlfn._xlws.FILTER(VRAM_table[Video memory], (VRAM_table[Video memory text]&lt;&gt;"") * ISNUMBER(SEARCH(VRAM_table[Video memory text], B393)), ""))</f>
        <v>8GB</v>
      </c>
    </row>
    <row r="394" spans="1:9" x14ac:dyDescent="0.25">
      <c r="A394" t="s">
        <v>9</v>
      </c>
      <c r="B394" t="s">
        <v>725</v>
      </c>
      <c r="C394">
        <v>17990000</v>
      </c>
      <c r="D394">
        <v>17490000</v>
      </c>
      <c r="E394" t="s">
        <v>726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Gigabyte</v>
      </c>
      <c r="H394" t="str">
        <f>_xlfn.TEXTJOIN(",",TRUE,_xlfn._xlws.FILTER(Chipset_Table[Chipset], (Chipset_Table[Chipset text]&lt;&gt;"") * ISNUMBER(SEARCH(Chipset_Table[Chipset text], B394)), ""))</f>
        <v>GeForce RTX 4070</v>
      </c>
      <c r="I394" t="s">
        <v>1116</v>
      </c>
    </row>
    <row r="395" spans="1:9" x14ac:dyDescent="0.25">
      <c r="A395" t="s">
        <v>9</v>
      </c>
      <c r="B395" t="s">
        <v>727</v>
      </c>
      <c r="C395">
        <v>19990000</v>
      </c>
      <c r="D395">
        <v>18990000</v>
      </c>
      <c r="E395" t="s">
        <v>728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Gigabyte</v>
      </c>
      <c r="H395" t="str">
        <f>_xlfn.TEXTJOIN(",",TRUE,_xlfn._xlws.FILTER(Chipset_Table[Chipset], (Chipset_Table[Chipset text]&lt;&gt;"") * ISNUMBER(SEARCH(Chipset_Table[Chipset text], B395)), ""))</f>
        <v>GeForce RTX 4070</v>
      </c>
      <c r="I395" t="s">
        <v>1116</v>
      </c>
    </row>
    <row r="396" spans="1:9" x14ac:dyDescent="0.25">
      <c r="A396" t="s">
        <v>9</v>
      </c>
      <c r="B396" t="s">
        <v>729</v>
      </c>
      <c r="C396">
        <v>17990000</v>
      </c>
      <c r="D396">
        <v>17690000</v>
      </c>
      <c r="E396" t="s">
        <v>730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Gigabyte</v>
      </c>
      <c r="H396" t="str">
        <f>_xlfn.TEXTJOIN(",",TRUE,_xlfn._xlws.FILTER(Chipset_Table[Chipset], (Chipset_Table[Chipset text]&lt;&gt;"") * ISNUMBER(SEARCH(Chipset_Table[Chipset text], B396)), ""))</f>
        <v>GeForce RTX 4070</v>
      </c>
      <c r="I396" t="s">
        <v>1116</v>
      </c>
    </row>
    <row r="397" spans="1:9" x14ac:dyDescent="0.25">
      <c r="A397" t="s">
        <v>9</v>
      </c>
      <c r="B397" t="s">
        <v>731</v>
      </c>
      <c r="C397">
        <v>19990000</v>
      </c>
      <c r="D397">
        <v>19290000</v>
      </c>
      <c r="E397" t="s">
        <v>732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Gigabyte</v>
      </c>
      <c r="H397" t="str">
        <f>_xlfn.TEXTJOIN(",",TRUE,_xlfn._xlws.FILTER(Chipset_Table[Chipset], (Chipset_Table[Chipset text]&lt;&gt;"") * ISNUMBER(SEARCH(Chipset_Table[Chipset text], B397)), ""))</f>
        <v>GeForce RTX 4070</v>
      </c>
      <c r="I397" t="s">
        <v>1116</v>
      </c>
    </row>
    <row r="398" spans="1:9" x14ac:dyDescent="0.25">
      <c r="A398" t="s">
        <v>9</v>
      </c>
      <c r="B398" t="s">
        <v>733</v>
      </c>
      <c r="C398">
        <v>13990000</v>
      </c>
      <c r="D398">
        <v>13490000</v>
      </c>
      <c r="E398" t="s">
        <v>734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GeForce RTX 4060</v>
      </c>
      <c r="I398" t="str">
        <f>_xlfn.TEXTJOIN(",",TRUE,_xlfn._xlws.FILTER(VRAM_table[Video memory], (VRAM_table[Video memory text]&lt;&gt;"") * ISNUMBER(SEARCH(VRAM_table[Video memory text], B398)), ""))</f>
        <v>8GB</v>
      </c>
    </row>
    <row r="399" spans="1:9" x14ac:dyDescent="0.25">
      <c r="A399" t="s">
        <v>9</v>
      </c>
      <c r="B399" t="s">
        <v>735</v>
      </c>
      <c r="C399">
        <v>20990000</v>
      </c>
      <c r="D399">
        <v>20490000</v>
      </c>
      <c r="E399" t="s">
        <v>736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Gigabyte</v>
      </c>
      <c r="H399" t="str">
        <f>_xlfn.TEXTJOIN(",",TRUE,_xlfn._xlws.FILTER(Chipset_Table[Chipset], (Chipset_Table[Chipset text]&lt;&gt;"") * ISNUMBER(SEARCH(Chipset_Table[Chipset text], B399)), ""))</f>
        <v>GeForce RTX 4070</v>
      </c>
      <c r="I399" t="s">
        <v>1116</v>
      </c>
    </row>
    <row r="400" spans="1:9" x14ac:dyDescent="0.25">
      <c r="A400" t="s">
        <v>9</v>
      </c>
      <c r="B400" t="s">
        <v>737</v>
      </c>
      <c r="C400">
        <v>20490000</v>
      </c>
      <c r="D400">
        <v>19990000</v>
      </c>
      <c r="E400" t="s">
        <v>738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ASUS</v>
      </c>
      <c r="H400" t="str">
        <f>_xlfn.TEXTJOIN(",",TRUE,_xlfn._xlws.FILTER(Chipset_Table[Chipset], (Chipset_Table[Chipset text]&lt;&gt;"") * ISNUMBER(SEARCH(Chipset_Table[Chipset text], B400)), ""))</f>
        <v>GeForce RTX 4070</v>
      </c>
      <c r="I400" t="s">
        <v>1116</v>
      </c>
    </row>
    <row r="401" spans="1:9" x14ac:dyDescent="0.25">
      <c r="A401" t="s">
        <v>9</v>
      </c>
      <c r="B401" t="s">
        <v>739</v>
      </c>
      <c r="C401">
        <v>0</v>
      </c>
      <c r="D401">
        <v>19490000</v>
      </c>
      <c r="E401" t="s">
        <v>740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ASUS</v>
      </c>
      <c r="H401" t="str">
        <f>_xlfn.TEXTJOIN(",",TRUE,_xlfn._xlws.FILTER(Chipset_Table[Chipset], (Chipset_Table[Chipset text]&lt;&gt;"") * ISNUMBER(SEARCH(Chipset_Table[Chipset text], B401)), ""))</f>
        <v>GeForce RTX 4070</v>
      </c>
      <c r="I401" t="s">
        <v>1116</v>
      </c>
    </row>
    <row r="402" spans="1:9" x14ac:dyDescent="0.25">
      <c r="A402" t="s">
        <v>9</v>
      </c>
      <c r="B402" t="s">
        <v>741</v>
      </c>
      <c r="C402">
        <v>0</v>
      </c>
      <c r="D402">
        <v>21990000</v>
      </c>
      <c r="E402" t="s">
        <v>742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ASUS</v>
      </c>
      <c r="H402" t="str">
        <f>_xlfn.TEXTJOIN(",",TRUE,_xlfn._xlws.FILTER(Chipset_Table[Chipset], (Chipset_Table[Chipset text]&lt;&gt;"") * ISNUMBER(SEARCH(Chipset_Table[Chipset text], B402)), ""))</f>
        <v>GeForce RTX 4070</v>
      </c>
      <c r="I402" t="s">
        <v>1116</v>
      </c>
    </row>
    <row r="403" spans="1:9" x14ac:dyDescent="0.25">
      <c r="A403" t="s">
        <v>9</v>
      </c>
      <c r="B403" t="s">
        <v>743</v>
      </c>
      <c r="C403">
        <v>0</v>
      </c>
      <c r="D403">
        <v>21490000</v>
      </c>
      <c r="E403" t="s">
        <v>744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ASUS</v>
      </c>
      <c r="H403" t="str">
        <f>_xlfn.TEXTJOIN(",",TRUE,_xlfn._xlws.FILTER(Chipset_Table[Chipset], (Chipset_Table[Chipset text]&lt;&gt;"") * ISNUMBER(SEARCH(Chipset_Table[Chipset text], B403)), ""))</f>
        <v>GeForce RTX 4070</v>
      </c>
      <c r="I403" t="s">
        <v>1116</v>
      </c>
    </row>
    <row r="404" spans="1:9" x14ac:dyDescent="0.25">
      <c r="A404" t="s">
        <v>9</v>
      </c>
      <c r="B404" t="s">
        <v>745</v>
      </c>
      <c r="C404">
        <v>0</v>
      </c>
      <c r="D404">
        <v>35990000</v>
      </c>
      <c r="E404" t="s">
        <v>746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ASUS</v>
      </c>
      <c r="H404" t="str">
        <f>_xlfn.TEXTJOIN(",",TRUE,_xlfn._xlws.FILTER(Chipset_Table[Chipset], (Chipset_Table[Chipset text]&lt;&gt;"") * ISNUMBER(SEARCH(Chipset_Table[Chipset text], B404)), ""))</f>
        <v>GeForce RTX 4080</v>
      </c>
      <c r="I404" t="s">
        <v>1114</v>
      </c>
    </row>
    <row r="405" spans="1:9" x14ac:dyDescent="0.25">
      <c r="A405" t="s">
        <v>9</v>
      </c>
      <c r="B405" t="s">
        <v>747</v>
      </c>
      <c r="C405">
        <v>0</v>
      </c>
      <c r="D405">
        <v>35490000</v>
      </c>
      <c r="E405" t="s">
        <v>748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ASUS</v>
      </c>
      <c r="H405" t="str">
        <f>_xlfn.TEXTJOIN(",",TRUE,_xlfn._xlws.FILTER(Chipset_Table[Chipset], (Chipset_Table[Chipset text]&lt;&gt;"") * ISNUMBER(SEARCH(Chipset_Table[Chipset text], B405)), ""))</f>
        <v>GeForce RTX 4080</v>
      </c>
      <c r="I405" t="s">
        <v>1114</v>
      </c>
    </row>
    <row r="406" spans="1:9" x14ac:dyDescent="0.25">
      <c r="A406" t="s">
        <v>9</v>
      </c>
      <c r="B406" t="s">
        <v>749</v>
      </c>
      <c r="C406">
        <v>0</v>
      </c>
      <c r="D406">
        <v>23990000</v>
      </c>
      <c r="E406" t="s">
        <v>750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ASUS</v>
      </c>
      <c r="H406" t="str">
        <f>_xlfn.TEXTJOIN(",",TRUE,_xlfn._xlws.FILTER(Chipset_Table[Chipset], (Chipset_Table[Chipset text]&lt;&gt;"") * ISNUMBER(SEARCH(Chipset_Table[Chipset text], B406)), ""))</f>
        <v>GeForce RTX 4070</v>
      </c>
      <c r="I406" t="s">
        <v>1116</v>
      </c>
    </row>
    <row r="407" spans="1:9" x14ac:dyDescent="0.25">
      <c r="A407" t="s">
        <v>9</v>
      </c>
      <c r="B407" t="s">
        <v>751</v>
      </c>
      <c r="C407">
        <v>0</v>
      </c>
      <c r="D407">
        <v>23490000</v>
      </c>
      <c r="E407" t="s">
        <v>752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ASUS</v>
      </c>
      <c r="H407" t="str">
        <f>_xlfn.TEXTJOIN(",",TRUE,_xlfn._xlws.FILTER(Chipset_Table[Chipset], (Chipset_Table[Chipset text]&lt;&gt;"") * ISNUMBER(SEARCH(Chipset_Table[Chipset text], B407)), ""))</f>
        <v>GeForce RTX 4070</v>
      </c>
      <c r="I407" t="s">
        <v>1116</v>
      </c>
    </row>
    <row r="408" spans="1:9" x14ac:dyDescent="0.25">
      <c r="A408" t="s">
        <v>9</v>
      </c>
      <c r="B408" t="s">
        <v>753</v>
      </c>
      <c r="C408">
        <v>0</v>
      </c>
      <c r="D408">
        <v>17690000</v>
      </c>
      <c r="E408" t="s">
        <v>754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ASUS</v>
      </c>
      <c r="H408" t="str">
        <f>_xlfn.TEXTJOIN(",",TRUE,_xlfn._xlws.FILTER(Chipset_Table[Chipset], (Chipset_Table[Chipset text]&lt;&gt;"") * ISNUMBER(SEARCH(Chipset_Table[Chipset text], B408)), ""))</f>
        <v>GeForce RTX 4070</v>
      </c>
      <c r="I408" t="s">
        <v>1116</v>
      </c>
    </row>
    <row r="409" spans="1:9" x14ac:dyDescent="0.25">
      <c r="A409" t="s">
        <v>9</v>
      </c>
      <c r="B409" t="s">
        <v>755</v>
      </c>
      <c r="C409">
        <v>0</v>
      </c>
      <c r="D409">
        <v>17490000</v>
      </c>
      <c r="E409" t="s">
        <v>756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ASUS</v>
      </c>
      <c r="H409" t="str">
        <f>_xlfn.TEXTJOIN(",",TRUE,_xlfn._xlws.FILTER(Chipset_Table[Chipset], (Chipset_Table[Chipset text]&lt;&gt;"") * ISNUMBER(SEARCH(Chipset_Table[Chipset text], B409)), ""))</f>
        <v>GeForce RTX 4070</v>
      </c>
      <c r="I409" t="s">
        <v>1116</v>
      </c>
    </row>
    <row r="410" spans="1:9" x14ac:dyDescent="0.25">
      <c r="A410" t="s">
        <v>9</v>
      </c>
      <c r="B410" t="s">
        <v>757</v>
      </c>
      <c r="C410">
        <v>18990000</v>
      </c>
      <c r="D410">
        <v>17290000</v>
      </c>
      <c r="E410" t="s">
        <v>758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tr">
        <f>_xlfn.TEXTJOIN(",",TRUE,_xlfn._xlws.FILTER(Chipset_Table[Chipset], (Chipset_Table[Chipset text]&lt;&gt;"") * ISNUMBER(SEARCH(Chipset_Table[Chipset text], B410)), ""))</f>
        <v>GeForce RTX 4070</v>
      </c>
      <c r="I410" t="s">
        <v>1116</v>
      </c>
    </row>
    <row r="411" spans="1:9" x14ac:dyDescent="0.25">
      <c r="A411" t="s">
        <v>9</v>
      </c>
      <c r="B411" t="s">
        <v>759</v>
      </c>
      <c r="C411">
        <v>0</v>
      </c>
      <c r="D411">
        <v>16990000</v>
      </c>
      <c r="E411" t="s">
        <v>760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ASUS</v>
      </c>
      <c r="H411" t="str">
        <f>_xlfn.TEXTJOIN(",",TRUE,_xlfn._xlws.FILTER(Chipset_Table[Chipset], (Chipset_Table[Chipset text]&lt;&gt;"") * ISNUMBER(SEARCH(Chipset_Table[Chipset text], B411)), ""))</f>
        <v>GeForce RTX 4070</v>
      </c>
      <c r="I411" t="s">
        <v>1116</v>
      </c>
    </row>
    <row r="412" spans="1:9" x14ac:dyDescent="0.25">
      <c r="A412" t="s">
        <v>761</v>
      </c>
      <c r="B412" t="s">
        <v>762</v>
      </c>
      <c r="C412">
        <v>5290000</v>
      </c>
      <c r="D412">
        <v>5290000</v>
      </c>
      <c r="E412" t="s">
        <v>763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INNO3D</v>
      </c>
      <c r="H412" t="str">
        <f>_xlfn.TEXTJOIN(",",TRUE,_xlfn._xlws.FILTER(Chipset_Table[Chipset], (Chipset_Table[Chipset text]&lt;&gt;"") * ISNUMBER(SEARCH(Chipset_Table[Chipset text], B412)), ""))</f>
        <v>GeForce RTX 3050</v>
      </c>
      <c r="I412" t="s">
        <v>1123</v>
      </c>
    </row>
    <row r="413" spans="1:9" x14ac:dyDescent="0.25">
      <c r="A413" t="s">
        <v>761</v>
      </c>
      <c r="B413" t="s">
        <v>764</v>
      </c>
      <c r="C413">
        <v>5590000</v>
      </c>
      <c r="D413">
        <v>5590000</v>
      </c>
      <c r="E413" t="s">
        <v>765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Colorful</v>
      </c>
      <c r="H413" t="str">
        <f>_xlfn.TEXTJOIN(",",TRUE,_xlfn._xlws.FILTER(Chipset_Table[Chipset], (Chipset_Table[Chipset text]&lt;&gt;"") * ISNUMBER(SEARCH(Chipset_Table[Chipset text], B413)), ""))</f>
        <v>GeForce RTX 3050</v>
      </c>
      <c r="I413" t="s">
        <v>1123</v>
      </c>
    </row>
    <row r="414" spans="1:9" x14ac:dyDescent="0.25">
      <c r="A414" t="s">
        <v>761</v>
      </c>
      <c r="B414" t="s">
        <v>766</v>
      </c>
      <c r="C414">
        <v>6490000</v>
      </c>
      <c r="D414">
        <v>6490000</v>
      </c>
      <c r="E414" t="s">
        <v>767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GeForce RTX 3050</v>
      </c>
      <c r="I414" t="s">
        <v>1036</v>
      </c>
    </row>
    <row r="415" spans="1:9" x14ac:dyDescent="0.25">
      <c r="A415" t="s">
        <v>761</v>
      </c>
      <c r="B415" t="s">
        <v>768</v>
      </c>
      <c r="C415">
        <v>1750000</v>
      </c>
      <c r="D415">
        <v>1750000</v>
      </c>
      <c r="E415" t="s">
        <v>769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ASUS</v>
      </c>
      <c r="H415" t="str">
        <f>_xlfn.TEXTJOIN(",",TRUE,_xlfn._xlws.FILTER(Chipset_Table[Chipset], (Chipset_Table[Chipset text]&lt;&gt;"") * ISNUMBER(SEARCH(Chipset_Table[Chipset text], B415)), ""))</f>
        <v>GeForce GT 730</v>
      </c>
      <c r="I415" t="str">
        <f>_xlfn.TEXTJOIN(",",TRUE,_xlfn._xlws.FILTER(VRAM_table[Video memory], (VRAM_table[Video memory text]&lt;&gt;"") * ISNUMBER(SEARCH(VRAM_table[Video memory text], B415)), ""))</f>
        <v>2GB</v>
      </c>
    </row>
    <row r="416" spans="1:9" x14ac:dyDescent="0.25">
      <c r="A416" t="s">
        <v>761</v>
      </c>
      <c r="B416" t="s">
        <v>770</v>
      </c>
      <c r="C416">
        <v>5590000</v>
      </c>
      <c r="D416">
        <v>5590000</v>
      </c>
      <c r="E416" t="s">
        <v>771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ASUS</v>
      </c>
      <c r="H416" t="str">
        <f>_xlfn.TEXTJOIN(",",TRUE,_xlfn._xlws.FILTER(Chipset_Table[Chipset], (Chipset_Table[Chipset text]&lt;&gt;"") * ISNUMBER(SEARCH(Chipset_Table[Chipset text], B416)), ""))</f>
        <v>GeForce RTX 3050</v>
      </c>
      <c r="I416" t="s">
        <v>1123</v>
      </c>
    </row>
    <row r="417" spans="1:9" x14ac:dyDescent="0.25">
      <c r="A417" t="s">
        <v>761</v>
      </c>
      <c r="B417" t="s">
        <v>772</v>
      </c>
      <c r="C417">
        <v>2190000</v>
      </c>
      <c r="D417">
        <v>2190000</v>
      </c>
      <c r="E417" t="s">
        <v>773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INNO3D</v>
      </c>
      <c r="H417" t="s">
        <v>1085</v>
      </c>
      <c r="I417" t="str">
        <f>_xlfn.TEXTJOIN(",",TRUE,_xlfn._xlws.FILTER(VRAM_table[Video memory], (VRAM_table[Video memory text]&lt;&gt;"") * ISNUMBER(SEARCH(VRAM_table[Video memory text], B417)), ""))</f>
        <v>2GB</v>
      </c>
    </row>
    <row r="418" spans="1:9" x14ac:dyDescent="0.25">
      <c r="A418" t="s">
        <v>761</v>
      </c>
      <c r="B418" t="s">
        <v>774</v>
      </c>
      <c r="C418">
        <v>8490000</v>
      </c>
      <c r="D418">
        <v>8490000</v>
      </c>
      <c r="E418" t="s">
        <v>775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RTX 3060</v>
      </c>
      <c r="I418" t="s">
        <v>1036</v>
      </c>
    </row>
    <row r="419" spans="1:9" x14ac:dyDescent="0.25">
      <c r="A419" t="s">
        <v>761</v>
      </c>
      <c r="B419" t="s">
        <v>776</v>
      </c>
      <c r="C419">
        <v>5590000</v>
      </c>
      <c r="D419">
        <v>5590000</v>
      </c>
      <c r="E419" t="s">
        <v>777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Gigabyte</v>
      </c>
      <c r="H419" t="str">
        <f>_xlfn.TEXTJOIN(",",TRUE,_xlfn._xlws.FILTER(Chipset_Table[Chipset], (Chipset_Table[Chipset text]&lt;&gt;"") * ISNUMBER(SEARCH(Chipset_Table[Chipset text], B419)), ""))</f>
        <v>GeForce RTX 3050</v>
      </c>
      <c r="I419" t="s">
        <v>1123</v>
      </c>
    </row>
    <row r="420" spans="1:9" x14ac:dyDescent="0.25">
      <c r="A420" t="s">
        <v>761</v>
      </c>
      <c r="B420" t="s">
        <v>778</v>
      </c>
      <c r="C420">
        <v>9590000</v>
      </c>
      <c r="D420">
        <v>9590000</v>
      </c>
      <c r="E420" t="s">
        <v>779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MSI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1036</v>
      </c>
    </row>
    <row r="421" spans="1:9" x14ac:dyDescent="0.25">
      <c r="A421" t="s">
        <v>761</v>
      </c>
      <c r="B421" t="s">
        <v>780</v>
      </c>
      <c r="C421">
        <v>9990000</v>
      </c>
      <c r="D421">
        <v>9990000</v>
      </c>
      <c r="E421" t="s">
        <v>781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ASUS</v>
      </c>
      <c r="H421" t="str">
        <f>_xlfn.TEXTJOIN(",",TRUE,_xlfn._xlws.FILTER(Chipset_Table[Chipset], (Chipset_Table[Chipset text]&lt;&gt;"") * ISNUMBER(SEARCH(Chipset_Table[Chipset text], B421)), ""))</f>
        <v>GeForce RTX 5060</v>
      </c>
      <c r="I421" t="s">
        <v>1036</v>
      </c>
    </row>
    <row r="422" spans="1:9" x14ac:dyDescent="0.25">
      <c r="A422" t="s">
        <v>761</v>
      </c>
      <c r="B422" t="s">
        <v>782</v>
      </c>
      <c r="C422">
        <v>7190000</v>
      </c>
      <c r="D422">
        <v>7190000</v>
      </c>
      <c r="E422" t="s">
        <v>783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ASUS</v>
      </c>
      <c r="H422" t="str">
        <f>_xlfn.TEXTJOIN(",",TRUE,_xlfn._xlws.FILTER(Chipset_Table[Chipset], (Chipset_Table[Chipset text]&lt;&gt;"") * ISNUMBER(SEARCH(Chipset_Table[Chipset text], B422)), ""))</f>
        <v>RX 7600</v>
      </c>
      <c r="I422" t="s">
        <v>1036</v>
      </c>
    </row>
    <row r="423" spans="1:9" x14ac:dyDescent="0.25">
      <c r="A423" t="s">
        <v>761</v>
      </c>
      <c r="B423" t="s">
        <v>784</v>
      </c>
      <c r="C423">
        <v>6490000</v>
      </c>
      <c r="D423">
        <v>6490000</v>
      </c>
      <c r="E423" t="s">
        <v>785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ASUS</v>
      </c>
      <c r="H423" t="str">
        <f>_xlfn.TEXTJOIN(",",TRUE,_xlfn._xlws.FILTER(Chipset_Table[Chipset], (Chipset_Table[Chipset text]&lt;&gt;"") * ISNUMBER(SEARCH(Chipset_Table[Chipset text], B423)), ""))</f>
        <v>GeForce RTX 3050</v>
      </c>
      <c r="I423" t="s">
        <v>1036</v>
      </c>
    </row>
    <row r="424" spans="1:9" x14ac:dyDescent="0.25">
      <c r="A424" t="s">
        <v>761</v>
      </c>
      <c r="B424" t="s">
        <v>786</v>
      </c>
      <c r="C424">
        <v>5490000</v>
      </c>
      <c r="D424">
        <v>5490000</v>
      </c>
      <c r="E424" t="s">
        <v>787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ZOTAC</v>
      </c>
      <c r="H424" t="str">
        <f>_xlfn.TEXTJOIN(",",TRUE,_xlfn._xlws.FILTER(Chipset_Table[Chipset], (Chipset_Table[Chipset text]&lt;&gt;"") * ISNUMBER(SEARCH(Chipset_Table[Chipset text], B424)), ""))</f>
        <v>GeForce RTX 3050</v>
      </c>
      <c r="I424" t="s">
        <v>1123</v>
      </c>
    </row>
    <row r="425" spans="1:9" x14ac:dyDescent="0.25">
      <c r="A425" t="s">
        <v>761</v>
      </c>
      <c r="B425" t="s">
        <v>788</v>
      </c>
      <c r="C425">
        <v>11390000</v>
      </c>
      <c r="D425">
        <v>11390000</v>
      </c>
      <c r="E425" t="s">
        <v>789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ASUS</v>
      </c>
      <c r="H425" t="s">
        <v>1062</v>
      </c>
      <c r="I425" t="s">
        <v>1036</v>
      </c>
    </row>
    <row r="426" spans="1:9" x14ac:dyDescent="0.25">
      <c r="A426" t="s">
        <v>761</v>
      </c>
      <c r="B426" t="s">
        <v>790</v>
      </c>
      <c r="C426">
        <v>2490000</v>
      </c>
      <c r="D426">
        <v>2490000</v>
      </c>
      <c r="E426" t="s">
        <v>791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ASUS</v>
      </c>
      <c r="H426" t="str">
        <f>_xlfn.TEXTJOIN(",",TRUE,_xlfn._xlws.FILTER(Chipset_Table[Chipset], (Chipset_Table[Chipset text]&lt;&gt;"") * ISNUMBER(SEARCH(Chipset_Table[Chipset text], B426)), ""))</f>
        <v>GT 1030</v>
      </c>
      <c r="I426" t="str">
        <f>_xlfn.TEXTJOIN(",",TRUE,_xlfn._xlws.FILTER(VRAM_table[Video memory], (VRAM_table[Video memory text]&lt;&gt;"") * ISNUMBER(SEARCH(VRAM_table[Video memory text], B426)), ""))</f>
        <v>2GB</v>
      </c>
    </row>
    <row r="427" spans="1:9" x14ac:dyDescent="0.25">
      <c r="A427" t="s">
        <v>761</v>
      </c>
      <c r="B427" t="s">
        <v>792</v>
      </c>
      <c r="C427">
        <v>10790000</v>
      </c>
      <c r="D427">
        <v>10790000</v>
      </c>
      <c r="E427" t="s">
        <v>793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MSI</v>
      </c>
      <c r="H427" t="str">
        <f>_xlfn.TEXTJOIN(",",TRUE,_xlfn._xlws.FILTER(Chipset_Table[Chipset], (Chipset_Table[Chipset text]&lt;&gt;"") * ISNUMBER(SEARCH(Chipset_Table[Chipset text], B427)), ""))</f>
        <v>GeForce RTX 5060</v>
      </c>
      <c r="I427" t="s">
        <v>1036</v>
      </c>
    </row>
    <row r="428" spans="1:9" x14ac:dyDescent="0.25">
      <c r="A428" t="s">
        <v>761</v>
      </c>
      <c r="B428" t="s">
        <v>794</v>
      </c>
      <c r="C428">
        <v>18990000</v>
      </c>
      <c r="D428">
        <v>18990000</v>
      </c>
      <c r="E428" t="s">
        <v>795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Colorful</v>
      </c>
      <c r="H428" t="s">
        <v>1055</v>
      </c>
      <c r="I428" t="s">
        <v>1116</v>
      </c>
    </row>
    <row r="429" spans="1:9" x14ac:dyDescent="0.25">
      <c r="A429" t="s">
        <v>761</v>
      </c>
      <c r="B429" t="s">
        <v>796</v>
      </c>
      <c r="C429">
        <v>9290000</v>
      </c>
      <c r="D429">
        <v>9290000</v>
      </c>
      <c r="E429" t="s">
        <v>797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Palit</v>
      </c>
      <c r="H429" t="str">
        <f>_xlfn.TEXTJOIN(",",TRUE,_xlfn._xlws.FILTER(Chipset_Table[Chipset], (Chipset_Table[Chipset text]&lt;&gt;"") * ISNUMBER(SEARCH(Chipset_Table[Chipset text], B429)), ""))</f>
        <v>GeForce RTX 5060</v>
      </c>
      <c r="I429" t="s">
        <v>1036</v>
      </c>
    </row>
    <row r="430" spans="1:9" x14ac:dyDescent="0.25">
      <c r="A430" t="s">
        <v>761</v>
      </c>
      <c r="B430" t="s">
        <v>798</v>
      </c>
      <c r="C430">
        <v>5690000</v>
      </c>
      <c r="D430">
        <v>5690000</v>
      </c>
      <c r="E430" t="s">
        <v>799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RTX 3050</v>
      </c>
      <c r="I430" t="s">
        <v>1123</v>
      </c>
    </row>
    <row r="431" spans="1:9" x14ac:dyDescent="0.25">
      <c r="A431" t="s">
        <v>761</v>
      </c>
      <c r="B431" t="s">
        <v>800</v>
      </c>
      <c r="C431">
        <v>12790000</v>
      </c>
      <c r="D431">
        <v>12790000</v>
      </c>
      <c r="E431" t="s">
        <v>801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ASRock</v>
      </c>
      <c r="H431" t="str">
        <f>_xlfn.TEXTJOIN(",",TRUE,_xlfn._xlws.FILTER(Chipset_Table[Chipset], (Chipset_Table[Chipset text]&lt;&gt;"") * ISNUMBER(SEARCH(Chipset_Table[Chipset text], B431)), ""))</f>
        <v>RX 9060 XT</v>
      </c>
      <c r="I431" t="s">
        <v>1114</v>
      </c>
    </row>
    <row r="432" spans="1:9" x14ac:dyDescent="0.25">
      <c r="A432" t="s">
        <v>761</v>
      </c>
      <c r="B432" t="s">
        <v>802</v>
      </c>
      <c r="C432">
        <v>8690000</v>
      </c>
      <c r="D432">
        <v>8690000</v>
      </c>
      <c r="E432" t="s">
        <v>803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ASUS</v>
      </c>
      <c r="H432" t="str">
        <f>_xlfn.TEXTJOIN(",",TRUE,_xlfn._xlws.FILTER(Chipset_Table[Chipset], (Chipset_Table[Chipset text]&lt;&gt;"") * ISNUMBER(SEARCH(Chipset_Table[Chipset text], B432)), ""))</f>
        <v>RTX 5050</v>
      </c>
      <c r="I432" t="s">
        <v>1036</v>
      </c>
    </row>
    <row r="433" spans="1:9" x14ac:dyDescent="0.25">
      <c r="A433" t="s">
        <v>761</v>
      </c>
      <c r="B433" t="s">
        <v>804</v>
      </c>
      <c r="C433">
        <v>7290000</v>
      </c>
      <c r="D433">
        <v>7290000</v>
      </c>
      <c r="E433" t="s">
        <v>805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Gigabyte</v>
      </c>
      <c r="H433" t="str">
        <f>_xlfn.TEXTJOIN(",",TRUE,_xlfn._xlws.FILTER(Chipset_Table[Chipset], (Chipset_Table[Chipset text]&lt;&gt;"") * ISNUMBER(SEARCH(Chipset_Table[Chipset text], B433)), ""))</f>
        <v>RX 7600</v>
      </c>
      <c r="I433" t="s">
        <v>1036</v>
      </c>
    </row>
    <row r="434" spans="1:9" x14ac:dyDescent="0.25">
      <c r="A434" t="s">
        <v>761</v>
      </c>
      <c r="B434" t="s">
        <v>806</v>
      </c>
      <c r="C434">
        <v>2190000</v>
      </c>
      <c r="D434">
        <v>2190000</v>
      </c>
      <c r="E434" s="1" t="s">
        <v>807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ARK</v>
      </c>
      <c r="H434" t="str">
        <f>_xlfn.TEXTJOIN(",",TRUE,_xlfn._xlws.FILTER(Chipset_Table[Chipset], (Chipset_Table[Chipset text]&lt;&gt;"") * ISNUMBER(SEARCH(Chipset_Table[Chipset text], B434)), ""))</f>
        <v>RX 550</v>
      </c>
      <c r="I434" t="s">
        <v>1124</v>
      </c>
    </row>
    <row r="435" spans="1:9" x14ac:dyDescent="0.25">
      <c r="A435" t="s">
        <v>761</v>
      </c>
      <c r="B435" t="s">
        <v>808</v>
      </c>
      <c r="C435">
        <v>10890000</v>
      </c>
      <c r="D435">
        <v>10890000</v>
      </c>
      <c r="E435" t="s">
        <v>809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Colorful</v>
      </c>
      <c r="H435" t="str">
        <f>_xlfn.TEXTJOIN(",",TRUE,_xlfn._xlws.FILTER(Chipset_Table[Chipset], (Chipset_Table[Chipset text]&lt;&gt;"") * ISNUMBER(SEARCH(Chipset_Table[Chipset text], B435)), ""))</f>
        <v>GeForce RTX 5060</v>
      </c>
      <c r="I435" t="s">
        <v>1036</v>
      </c>
    </row>
    <row r="436" spans="1:9" x14ac:dyDescent="0.25">
      <c r="A436" t="s">
        <v>761</v>
      </c>
      <c r="B436" t="s">
        <v>810</v>
      </c>
      <c r="C436">
        <v>4190000</v>
      </c>
      <c r="D436">
        <v>4190000</v>
      </c>
      <c r="E436" t="s">
        <v>811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Unika</v>
      </c>
      <c r="H436" t="s">
        <v>1070</v>
      </c>
      <c r="I436" t="s">
        <v>1124</v>
      </c>
    </row>
    <row r="437" spans="1:9" x14ac:dyDescent="0.25">
      <c r="A437" t="s">
        <v>761</v>
      </c>
      <c r="B437" t="s">
        <v>812</v>
      </c>
      <c r="C437">
        <v>7590000</v>
      </c>
      <c r="D437">
        <v>7590000</v>
      </c>
      <c r="E437" t="s">
        <v>813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ZOTAC</v>
      </c>
      <c r="H437" t="s">
        <v>1061</v>
      </c>
      <c r="I437" t="s">
        <v>1036</v>
      </c>
    </row>
    <row r="438" spans="1:9" x14ac:dyDescent="0.25">
      <c r="A438" t="s">
        <v>761</v>
      </c>
      <c r="B438" t="s">
        <v>814</v>
      </c>
      <c r="C438">
        <v>1990000</v>
      </c>
      <c r="D438">
        <v>1990000</v>
      </c>
      <c r="E438" t="s">
        <v>815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Unika</v>
      </c>
      <c r="H438" t="s">
        <v>1085</v>
      </c>
      <c r="I438" t="s">
        <v>1124</v>
      </c>
    </row>
    <row r="439" spans="1:9" x14ac:dyDescent="0.25">
      <c r="A439" t="s">
        <v>761</v>
      </c>
      <c r="B439" t="s">
        <v>816</v>
      </c>
      <c r="C439">
        <v>18990000</v>
      </c>
      <c r="D439">
        <v>18990000</v>
      </c>
      <c r="E439" t="s">
        <v>817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Gigabyte</v>
      </c>
      <c r="H439" t="str">
        <f>_xlfn.TEXTJOIN(",",TRUE,_xlfn._xlws.FILTER(Chipset_Table[Chipset], (Chipset_Table[Chipset text]&lt;&gt;"") * ISNUMBER(SEARCH(Chipset_Table[Chipset text], B439)), ""))</f>
        <v>RTX 5070</v>
      </c>
      <c r="I439" t="s">
        <v>1116</v>
      </c>
    </row>
    <row r="440" spans="1:9" x14ac:dyDescent="0.25">
      <c r="A440" t="s">
        <v>761</v>
      </c>
      <c r="B440" t="s">
        <v>818</v>
      </c>
      <c r="C440">
        <v>5150000</v>
      </c>
      <c r="D440">
        <v>5150000</v>
      </c>
      <c r="E440" t="s">
        <v>819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Unika</v>
      </c>
      <c r="H440" t="s">
        <v>1077</v>
      </c>
      <c r="I440" t="s">
        <v>1123</v>
      </c>
    </row>
    <row r="441" spans="1:9" x14ac:dyDescent="0.25">
      <c r="A441" t="s">
        <v>761</v>
      </c>
      <c r="B441" t="s">
        <v>820</v>
      </c>
      <c r="C441">
        <v>27290000</v>
      </c>
      <c r="D441">
        <v>27290000</v>
      </c>
      <c r="E441" t="s">
        <v>821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Colorful</v>
      </c>
      <c r="H441" t="s">
        <v>1056</v>
      </c>
      <c r="I441" t="s">
        <v>1114</v>
      </c>
    </row>
    <row r="442" spans="1:9" x14ac:dyDescent="0.25">
      <c r="A442" t="s">
        <v>761</v>
      </c>
      <c r="B442" t="s">
        <v>822</v>
      </c>
      <c r="C442">
        <v>16290000</v>
      </c>
      <c r="D442">
        <v>16290000</v>
      </c>
      <c r="E442" t="s">
        <v>823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ZOTAC</v>
      </c>
      <c r="H442" t="s">
        <v>1062</v>
      </c>
      <c r="I442" t="s">
        <v>1114</v>
      </c>
    </row>
    <row r="443" spans="1:9" x14ac:dyDescent="0.25">
      <c r="A443" t="s">
        <v>761</v>
      </c>
      <c r="B443" t="s">
        <v>824</v>
      </c>
      <c r="C443">
        <v>5690000</v>
      </c>
      <c r="D443">
        <v>5690000</v>
      </c>
      <c r="E443" t="s">
        <v>825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MSI</v>
      </c>
      <c r="H443" t="str">
        <f>_xlfn.TEXTJOIN(",",TRUE,_xlfn._xlws.FILTER(Chipset_Table[Chipset], (Chipset_Table[Chipset text]&lt;&gt;"") * ISNUMBER(SEARCH(Chipset_Table[Chipset text], B443)), ""))</f>
        <v>GeForce RTX 3050</v>
      </c>
      <c r="I443" t="s">
        <v>1123</v>
      </c>
    </row>
    <row r="444" spans="1:9" x14ac:dyDescent="0.25">
      <c r="A444" t="s">
        <v>761</v>
      </c>
      <c r="B444" t="s">
        <v>826</v>
      </c>
      <c r="C444">
        <v>9490000</v>
      </c>
      <c r="D444">
        <v>9490000</v>
      </c>
      <c r="E444" t="s">
        <v>827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Gigabyte</v>
      </c>
      <c r="H444" t="str">
        <f>_xlfn.TEXTJOIN(",",TRUE,_xlfn._xlws.FILTER(Chipset_Table[Chipset], (Chipset_Table[Chipset text]&lt;&gt;"") * ISNUMBER(SEARCH(Chipset_Table[Chipset text], B444)), ""))</f>
        <v>GeForce RTX 5060</v>
      </c>
      <c r="I444" t="s">
        <v>1036</v>
      </c>
    </row>
    <row r="445" spans="1:9" x14ac:dyDescent="0.25">
      <c r="A445" t="s">
        <v>761</v>
      </c>
      <c r="B445" t="s">
        <v>828</v>
      </c>
      <c r="C445">
        <v>17490000</v>
      </c>
      <c r="D445">
        <v>17490000</v>
      </c>
      <c r="E445" t="s">
        <v>829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ASUS</v>
      </c>
      <c r="H445" t="s">
        <v>1062</v>
      </c>
      <c r="I445" t="s">
        <v>1114</v>
      </c>
    </row>
    <row r="446" spans="1:9" x14ac:dyDescent="0.25">
      <c r="A446" t="s">
        <v>761</v>
      </c>
      <c r="B446" t="s">
        <v>830</v>
      </c>
      <c r="C446">
        <v>9590000</v>
      </c>
      <c r="D446">
        <v>9590000</v>
      </c>
      <c r="E446" t="s">
        <v>831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Colorful</v>
      </c>
      <c r="H446" t="str">
        <f>_xlfn.TEXTJOIN(",",TRUE,_xlfn._xlws.FILTER(Chipset_Table[Chipset], (Chipset_Table[Chipset text]&lt;&gt;"") * ISNUMBER(SEARCH(Chipset_Table[Chipset text], B446)), ""))</f>
        <v>GeForce RTX 5060</v>
      </c>
      <c r="I446" t="s">
        <v>1036</v>
      </c>
    </row>
    <row r="447" spans="1:9" x14ac:dyDescent="0.25">
      <c r="A447" t="s">
        <v>761</v>
      </c>
      <c r="B447" t="s">
        <v>832</v>
      </c>
      <c r="C447">
        <v>2350000</v>
      </c>
      <c r="D447">
        <v>2350000</v>
      </c>
      <c r="E447" t="s">
        <v>833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T-WOLF</v>
      </c>
      <c r="H447" t="str">
        <f>_xlfn.TEXTJOIN(",",TRUE,_xlfn._xlws.FILTER(Chipset_Table[Chipset], (Chipset_Table[Chipset text]&lt;&gt;"") * ISNUMBER(SEARCH(Chipset_Table[Chipset text], B447)), ""))</f>
        <v>RX 560</v>
      </c>
      <c r="I447" t="s">
        <v>1124</v>
      </c>
    </row>
    <row r="448" spans="1:9" x14ac:dyDescent="0.25">
      <c r="A448" t="s">
        <v>761</v>
      </c>
      <c r="B448" t="s">
        <v>834</v>
      </c>
      <c r="C448">
        <v>11290000</v>
      </c>
      <c r="D448">
        <v>11290000</v>
      </c>
      <c r="E448" t="s">
        <v>835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MSI</v>
      </c>
      <c r="H448" t="s">
        <v>1062</v>
      </c>
      <c r="I448" t="s">
        <v>1036</v>
      </c>
    </row>
    <row r="449" spans="1:9" x14ac:dyDescent="0.25">
      <c r="A449" t="s">
        <v>761</v>
      </c>
      <c r="B449" t="s">
        <v>836</v>
      </c>
      <c r="C449">
        <v>12990000</v>
      </c>
      <c r="D449">
        <v>12990000</v>
      </c>
      <c r="E449" t="s">
        <v>837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Gigabyte</v>
      </c>
      <c r="H449" t="str">
        <f>_xlfn.TEXTJOIN(",",TRUE,_xlfn._xlws.FILTER(Chipset_Table[Chipset], (Chipset_Table[Chipset text]&lt;&gt;"") * ISNUMBER(SEARCH(Chipset_Table[Chipset text], B449)), ""))</f>
        <v>RX 9060 XT</v>
      </c>
      <c r="I449" t="s">
        <v>1114</v>
      </c>
    </row>
    <row r="450" spans="1:9" x14ac:dyDescent="0.25">
      <c r="A450" t="s">
        <v>761</v>
      </c>
      <c r="B450" t="s">
        <v>838</v>
      </c>
      <c r="C450">
        <v>6790000</v>
      </c>
      <c r="D450">
        <v>6790000</v>
      </c>
      <c r="E450" t="s">
        <v>839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Unika</v>
      </c>
      <c r="H450" t="str">
        <f>_xlfn.TEXTJOIN(",",TRUE,_xlfn._xlws.FILTER(Chipset_Table[Chipset], (Chipset_Table[Chipset text]&lt;&gt;"") * ISNUMBER(SEARCH(Chipset_Table[Chipset text], B450)), ""))</f>
        <v>RX 7600</v>
      </c>
      <c r="I450" t="s">
        <v>1036</v>
      </c>
    </row>
    <row r="451" spans="1:9" x14ac:dyDescent="0.25">
      <c r="A451" t="s">
        <v>761</v>
      </c>
      <c r="B451" t="s">
        <v>840</v>
      </c>
      <c r="C451">
        <v>11290000</v>
      </c>
      <c r="D451">
        <v>11290000</v>
      </c>
      <c r="E451" t="s">
        <v>841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Palit</v>
      </c>
      <c r="H451" t="s">
        <v>1062</v>
      </c>
      <c r="I451" t="s">
        <v>1036</v>
      </c>
    </row>
    <row r="452" spans="1:9" x14ac:dyDescent="0.25">
      <c r="A452" t="s">
        <v>761</v>
      </c>
      <c r="B452" t="s">
        <v>842</v>
      </c>
      <c r="C452">
        <v>13290000</v>
      </c>
      <c r="D452">
        <v>13290000</v>
      </c>
      <c r="E452" t="s">
        <v>843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ASUS</v>
      </c>
      <c r="H452" t="str">
        <f>_xlfn.TEXTJOIN(",",TRUE,_xlfn._xlws.FILTER(Chipset_Table[Chipset], (Chipset_Table[Chipset text]&lt;&gt;"") * ISNUMBER(SEARCH(Chipset_Table[Chipset text], B452)), ""))</f>
        <v>RX 9060XT</v>
      </c>
      <c r="I452" t="s">
        <v>1114</v>
      </c>
    </row>
    <row r="453" spans="1:9" x14ac:dyDescent="0.25">
      <c r="A453" t="s">
        <v>761</v>
      </c>
      <c r="B453" t="s">
        <v>844</v>
      </c>
      <c r="C453">
        <v>9990000</v>
      </c>
      <c r="D453">
        <v>9990000</v>
      </c>
      <c r="E453" t="s">
        <v>845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Gigabyte</v>
      </c>
      <c r="H453" t="str">
        <f>_xlfn.TEXTJOIN(",",TRUE,_xlfn._xlws.FILTER(Chipset_Table[Chipset], (Chipset_Table[Chipset text]&lt;&gt;"") * ISNUMBER(SEARCH(Chipset_Table[Chipset text], B453)), ""))</f>
        <v>RX 9060 XT</v>
      </c>
      <c r="I453" t="s">
        <v>1036</v>
      </c>
    </row>
    <row r="454" spans="1:9" x14ac:dyDescent="0.25">
      <c r="A454" t="s">
        <v>761</v>
      </c>
      <c r="B454" t="s">
        <v>846</v>
      </c>
      <c r="C454">
        <v>27190000</v>
      </c>
      <c r="D454">
        <v>27190000</v>
      </c>
      <c r="E454" t="s">
        <v>847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Palit</v>
      </c>
      <c r="H454" t="s">
        <v>1056</v>
      </c>
      <c r="I454" t="s">
        <v>1114</v>
      </c>
    </row>
    <row r="455" spans="1:9" x14ac:dyDescent="0.25">
      <c r="A455" t="s">
        <v>761</v>
      </c>
      <c r="B455" t="s">
        <v>848</v>
      </c>
      <c r="C455">
        <v>9690000</v>
      </c>
      <c r="D455">
        <v>9690000</v>
      </c>
      <c r="E455" t="s">
        <v>849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Gigabyte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1036</v>
      </c>
    </row>
    <row r="456" spans="1:9" x14ac:dyDescent="0.25">
      <c r="A456" t="s">
        <v>761</v>
      </c>
      <c r="B456" t="s">
        <v>850</v>
      </c>
      <c r="C456">
        <v>19290000</v>
      </c>
      <c r="D456">
        <v>19290000</v>
      </c>
      <c r="E456" t="s">
        <v>851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Palit</v>
      </c>
      <c r="H456" t="s">
        <v>1055</v>
      </c>
      <c r="I456" t="s">
        <v>1116</v>
      </c>
    </row>
    <row r="457" spans="1:9" x14ac:dyDescent="0.25">
      <c r="A457" t="s">
        <v>761</v>
      </c>
      <c r="B457" t="s">
        <v>852</v>
      </c>
      <c r="C457">
        <v>7590000</v>
      </c>
      <c r="D457">
        <v>7590000</v>
      </c>
      <c r="E457" t="s">
        <v>853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MSI</v>
      </c>
      <c r="H457" t="str">
        <f>_xlfn.TEXTJOIN(",",TRUE,_xlfn._xlws.FILTER(Chipset_Table[Chipset], (Chipset_Table[Chipset text]&lt;&gt;"") * ISNUMBER(SEARCH(Chipset_Table[Chipset text], B457)), ""))</f>
        <v>GeForce RTX 3050</v>
      </c>
      <c r="I457" t="s">
        <v>1036</v>
      </c>
    </row>
    <row r="458" spans="1:9" x14ac:dyDescent="0.25">
      <c r="A458" t="s">
        <v>761</v>
      </c>
      <c r="B458" t="s">
        <v>854</v>
      </c>
      <c r="C458">
        <v>20490000</v>
      </c>
      <c r="D458">
        <v>20490000</v>
      </c>
      <c r="E458" t="s">
        <v>855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ASRock</v>
      </c>
      <c r="H458" t="str">
        <f>_xlfn.TEXTJOIN(",",TRUE,_xlfn._xlws.FILTER(Chipset_Table[Chipset], (Chipset_Table[Chipset text]&lt;&gt;"") * ISNUMBER(SEARCH(Chipset_Table[Chipset text], B458)), ""))</f>
        <v>RX 9070</v>
      </c>
      <c r="I458" t="s">
        <v>1114</v>
      </c>
    </row>
    <row r="459" spans="1:9" x14ac:dyDescent="0.25">
      <c r="A459" t="s">
        <v>761</v>
      </c>
      <c r="B459" t="s">
        <v>856</v>
      </c>
      <c r="C459">
        <v>19190000</v>
      </c>
      <c r="D459">
        <v>19190000</v>
      </c>
      <c r="E459" t="s">
        <v>857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Palit</v>
      </c>
      <c r="H459" t="s">
        <v>1055</v>
      </c>
      <c r="I459" t="s">
        <v>1116</v>
      </c>
    </row>
    <row r="460" spans="1:9" x14ac:dyDescent="0.25">
      <c r="A460" t="s">
        <v>761</v>
      </c>
      <c r="B460" t="s">
        <v>858</v>
      </c>
      <c r="C460">
        <v>8890000</v>
      </c>
      <c r="D460">
        <v>8890000</v>
      </c>
      <c r="E460" t="s">
        <v>859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MSI</v>
      </c>
      <c r="H460" t="s">
        <v>1061</v>
      </c>
      <c r="I460" t="s">
        <v>1036</v>
      </c>
    </row>
    <row r="461" spans="1:9" x14ac:dyDescent="0.25">
      <c r="A461" t="s">
        <v>761</v>
      </c>
      <c r="B461" t="s">
        <v>860</v>
      </c>
      <c r="C461">
        <v>32690000</v>
      </c>
      <c r="D461">
        <v>32690000</v>
      </c>
      <c r="E461" t="s">
        <v>861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ZOTAC</v>
      </c>
      <c r="H461" t="s">
        <v>1063</v>
      </c>
      <c r="I461" t="s">
        <v>1114</v>
      </c>
    </row>
    <row r="462" spans="1:9" x14ac:dyDescent="0.25">
      <c r="A462" t="s">
        <v>761</v>
      </c>
      <c r="B462" t="s">
        <v>862</v>
      </c>
      <c r="C462">
        <v>19890000</v>
      </c>
      <c r="D462">
        <v>19890000</v>
      </c>
      <c r="E462" t="s">
        <v>863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Gigabyte</v>
      </c>
      <c r="H462" t="str">
        <f>_xlfn.TEXTJOIN(",",TRUE,_xlfn._xlws.FILTER(Chipset_Table[Chipset], (Chipset_Table[Chipset text]&lt;&gt;"") * ISNUMBER(SEARCH(Chipset_Table[Chipset text], B462)), ""))</f>
        <v>RTX 5070</v>
      </c>
      <c r="I462" t="s">
        <v>1116</v>
      </c>
    </row>
    <row r="463" spans="1:9" x14ac:dyDescent="0.25">
      <c r="A463" t="s">
        <v>761</v>
      </c>
      <c r="B463" t="s">
        <v>864</v>
      </c>
      <c r="C463">
        <v>3390000</v>
      </c>
      <c r="D463">
        <v>3390000</v>
      </c>
      <c r="E463" t="s">
        <v>865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T-WOLF</v>
      </c>
      <c r="H463" t="str">
        <f>_xlfn.TEXTJOIN(",",TRUE,_xlfn._xlws.FILTER(Chipset_Table[Chipset], (Chipset_Table[Chipset text]&lt;&gt;"") * ISNUMBER(SEARCH(Chipset_Table[Chipset text], B463)), ""))</f>
        <v>RX 580</v>
      </c>
      <c r="I463" t="s">
        <v>1036</v>
      </c>
    </row>
    <row r="464" spans="1:9" x14ac:dyDescent="0.25">
      <c r="A464" t="s">
        <v>761</v>
      </c>
      <c r="B464" t="s">
        <v>866</v>
      </c>
      <c r="C464">
        <v>2950000</v>
      </c>
      <c r="D464">
        <v>2950000</v>
      </c>
      <c r="E464" t="s">
        <v>867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ARK</v>
      </c>
      <c r="H464" t="str">
        <f>_xlfn.TEXTJOIN(",",TRUE,_xlfn._xlws.FILTER(Chipset_Table[Chipset], (Chipset_Table[Chipset text]&lt;&gt;"") * ISNUMBER(SEARCH(Chipset_Table[Chipset text], B464)), ""))</f>
        <v>RX 550</v>
      </c>
      <c r="I464" t="s">
        <v>1036</v>
      </c>
    </row>
    <row r="465" spans="1:9" x14ac:dyDescent="0.25">
      <c r="A465" t="s">
        <v>761</v>
      </c>
      <c r="B465" t="s">
        <v>868</v>
      </c>
      <c r="C465">
        <v>1090000</v>
      </c>
      <c r="D465">
        <v>1090000</v>
      </c>
      <c r="E465" t="s">
        <v>869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tr">
        <f>_xlfn.TEXTJOIN(",",TRUE,_xlfn._xlws.FILTER(Chipset_Table[Chipset], (Chipset_Table[Chipset text]&lt;&gt;"") * ISNUMBER(SEARCH(Chipset_Table[Chipset text], B465)), ""))</f>
        <v>GeForce GT 710</v>
      </c>
      <c r="I465" t="str">
        <f>_xlfn.TEXTJOIN(",",TRUE,_xlfn._xlws.FILTER(VRAM_table[Video memory], (VRAM_table[Video memory text]&lt;&gt;"") * ISNUMBER(SEARCH(VRAM_table[Video memory text], B465)), ""))</f>
        <v>2GB</v>
      </c>
    </row>
    <row r="466" spans="1:9" x14ac:dyDescent="0.25">
      <c r="A466" t="s">
        <v>761</v>
      </c>
      <c r="B466" t="s">
        <v>870</v>
      </c>
      <c r="C466">
        <v>11990000</v>
      </c>
      <c r="D466">
        <v>11990000</v>
      </c>
      <c r="E466" t="s">
        <v>871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MSI</v>
      </c>
      <c r="H466" t="str">
        <f>_xlfn.TEXTJOIN(",",TRUE,_xlfn._xlws.FILTER(Chipset_Table[Chipset], (Chipset_Table[Chipset text]&lt;&gt;"") * ISNUMBER(SEARCH(Chipset_Table[Chipset text], B466)), ""))</f>
        <v>RTX 5060 Ti</v>
      </c>
      <c r="I466" t="s">
        <v>1036</v>
      </c>
    </row>
    <row r="467" spans="1:9" x14ac:dyDescent="0.25">
      <c r="A467" t="s">
        <v>761</v>
      </c>
      <c r="B467" t="s">
        <v>872</v>
      </c>
      <c r="C467">
        <v>4790000</v>
      </c>
      <c r="D467">
        <v>4790000</v>
      </c>
      <c r="E467" t="s">
        <v>873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ARK</v>
      </c>
      <c r="H467" t="str">
        <f>_xlfn.TEXTJOIN(",",TRUE,_xlfn._xlws.FILTER(Chipset_Table[Chipset], (Chipset_Table[Chipset text]&lt;&gt;"") * ISNUMBER(SEARCH(Chipset_Table[Chipset text], B467)), ""))</f>
        <v xml:space="preserve"> GTX 1660 Super</v>
      </c>
      <c r="I467" t="s">
        <v>1123</v>
      </c>
    </row>
    <row r="468" spans="1:9" x14ac:dyDescent="0.25">
      <c r="A468" t="s">
        <v>761</v>
      </c>
      <c r="B468" t="s">
        <v>874</v>
      </c>
      <c r="C468">
        <v>16390000</v>
      </c>
      <c r="D468">
        <v>16390000</v>
      </c>
      <c r="E468" t="s">
        <v>875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INNO3D</v>
      </c>
      <c r="H468" t="s">
        <v>1062</v>
      </c>
      <c r="I468" t="s">
        <v>1114</v>
      </c>
    </row>
    <row r="469" spans="1:9" x14ac:dyDescent="0.25">
      <c r="A469" t="s">
        <v>761</v>
      </c>
      <c r="B469" t="s">
        <v>876</v>
      </c>
      <c r="C469">
        <v>31990000</v>
      </c>
      <c r="D469">
        <v>31990000</v>
      </c>
      <c r="E469" t="s">
        <v>877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ZOTAC</v>
      </c>
      <c r="H469" t="s">
        <v>1063</v>
      </c>
      <c r="I469" t="s">
        <v>1114</v>
      </c>
    </row>
    <row r="470" spans="1:9" x14ac:dyDescent="0.25">
      <c r="A470" t="s">
        <v>761</v>
      </c>
      <c r="B470" t="s">
        <v>878</v>
      </c>
      <c r="C470">
        <v>13790000</v>
      </c>
      <c r="D470">
        <v>13790000</v>
      </c>
      <c r="E470" t="s">
        <v>879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9060 XT</v>
      </c>
      <c r="I470" t="s">
        <v>1114</v>
      </c>
    </row>
    <row r="471" spans="1:9" x14ac:dyDescent="0.25">
      <c r="A471" t="s">
        <v>761</v>
      </c>
      <c r="B471" t="s">
        <v>880</v>
      </c>
      <c r="C471">
        <v>18490000</v>
      </c>
      <c r="D471">
        <v>18490000</v>
      </c>
      <c r="E471" t="s">
        <v>881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ASUS</v>
      </c>
      <c r="H471" t="s">
        <v>1055</v>
      </c>
      <c r="I471" t="s">
        <v>1116</v>
      </c>
    </row>
    <row r="472" spans="1:9" x14ac:dyDescent="0.25">
      <c r="A472" t="s">
        <v>761</v>
      </c>
      <c r="B472" t="s">
        <v>882</v>
      </c>
      <c r="C472">
        <v>16390000</v>
      </c>
      <c r="D472">
        <v>16390000</v>
      </c>
      <c r="E472" t="s">
        <v>883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Colorful</v>
      </c>
      <c r="H472" t="s">
        <v>1062</v>
      </c>
      <c r="I472" t="s">
        <v>1114</v>
      </c>
    </row>
    <row r="473" spans="1:9" x14ac:dyDescent="0.25">
      <c r="A473" t="s">
        <v>761</v>
      </c>
      <c r="B473" t="s">
        <v>884</v>
      </c>
      <c r="C473">
        <v>10890000</v>
      </c>
      <c r="D473">
        <v>10890000</v>
      </c>
      <c r="E473" t="s">
        <v>885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MSI</v>
      </c>
      <c r="H473" t="str">
        <f>_xlfn.TEXTJOIN(",",TRUE,_xlfn._xlws.FILTER(Chipset_Table[Chipset], (Chipset_Table[Chipset text]&lt;&gt;"") * ISNUMBER(SEARCH(Chipset_Table[Chipset text], B473)), ""))</f>
        <v>GeForce RTX 5060</v>
      </c>
      <c r="I473" t="s">
        <v>1036</v>
      </c>
    </row>
    <row r="474" spans="1:9" x14ac:dyDescent="0.25">
      <c r="A474" t="s">
        <v>761</v>
      </c>
      <c r="B474" t="s">
        <v>886</v>
      </c>
      <c r="C474">
        <v>13690000</v>
      </c>
      <c r="D474">
        <v>13690000</v>
      </c>
      <c r="E474" t="s">
        <v>887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Leadtek</v>
      </c>
      <c r="H474" t="str">
        <f>_xlfn.TEXTJOIN(",",TRUE,_xlfn._xlws.FILTER(Chipset_Table[Chipset], (Chipset_Table[Chipset text]&lt;&gt;"") * ISNUMBER(SEARCH(Chipset_Table[Chipset text], B474)), ""))</f>
        <v>RTX A1000</v>
      </c>
      <c r="I474" t="s">
        <v>1036</v>
      </c>
    </row>
    <row r="475" spans="1:9" x14ac:dyDescent="0.25">
      <c r="A475" t="s">
        <v>761</v>
      </c>
      <c r="B475" t="s">
        <v>888</v>
      </c>
      <c r="C475">
        <v>38500000</v>
      </c>
      <c r="D475">
        <v>38500000</v>
      </c>
      <c r="E475" t="s">
        <v>889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Gigabyte</v>
      </c>
      <c r="H475" t="s">
        <v>1063</v>
      </c>
      <c r="I475" t="s">
        <v>1114</v>
      </c>
    </row>
    <row r="476" spans="1:9" x14ac:dyDescent="0.25">
      <c r="A476" t="s">
        <v>761</v>
      </c>
      <c r="B476" t="s">
        <v>890</v>
      </c>
      <c r="C476">
        <v>6190000</v>
      </c>
      <c r="D476">
        <v>6190000</v>
      </c>
      <c r="E476" t="s">
        <v>891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T-WOLF</v>
      </c>
      <c r="H476" t="s">
        <v>1077</v>
      </c>
      <c r="I476" t="s">
        <v>1036</v>
      </c>
    </row>
    <row r="477" spans="1:9" x14ac:dyDescent="0.25">
      <c r="A477" t="s">
        <v>761</v>
      </c>
      <c r="B477" t="s">
        <v>892</v>
      </c>
      <c r="C477">
        <v>17790000</v>
      </c>
      <c r="D477">
        <v>17790000</v>
      </c>
      <c r="E477" t="s">
        <v>893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Colorful</v>
      </c>
      <c r="H477" t="s">
        <v>1062</v>
      </c>
      <c r="I477" t="s">
        <v>1114</v>
      </c>
    </row>
    <row r="478" spans="1:9" x14ac:dyDescent="0.25">
      <c r="A478" t="s">
        <v>761</v>
      </c>
      <c r="B478" t="s">
        <v>894</v>
      </c>
      <c r="C478">
        <v>10990000</v>
      </c>
      <c r="D478">
        <v>10990000</v>
      </c>
      <c r="E478" t="s">
        <v>895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Gigabyte</v>
      </c>
      <c r="H478" t="s">
        <v>1062</v>
      </c>
      <c r="I478" t="s">
        <v>1036</v>
      </c>
    </row>
    <row r="479" spans="1:9" x14ac:dyDescent="0.25">
      <c r="A479" t="s">
        <v>761</v>
      </c>
      <c r="B479" t="s">
        <v>896</v>
      </c>
      <c r="C479">
        <v>12790000</v>
      </c>
      <c r="D479">
        <v>12790000</v>
      </c>
      <c r="E479" t="s">
        <v>897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MSI</v>
      </c>
      <c r="H479" t="s">
        <v>1062</v>
      </c>
      <c r="I479" t="s">
        <v>1036</v>
      </c>
    </row>
    <row r="480" spans="1:9" x14ac:dyDescent="0.25">
      <c r="A480" t="s">
        <v>761</v>
      </c>
      <c r="B480" t="s">
        <v>898</v>
      </c>
      <c r="C480">
        <v>37290000</v>
      </c>
      <c r="D480">
        <v>37290000</v>
      </c>
      <c r="E480" t="s">
        <v>899</v>
      </c>
      <c r="F480" t="s">
        <v>12</v>
      </c>
      <c r="G480" t="str">
        <f>_xlfn.TEXTJOIN(",",TRUE,_xlfn._xlws.FILTER(GPU_brand[GPU brand], (GPU_brand[GPU brand text]&lt;&gt;"") * ISNUMBER(SEARCH(GPU_brand[GPU brand text], B480)), ""))</f>
        <v>INNO3D</v>
      </c>
      <c r="H480" t="str">
        <f>_xlfn.TEXTJOIN(",",TRUE,_xlfn._xlws.FILTER(Chipset_Table[Chipset], (Chipset_Table[Chipset text]&lt;&gt;"") * ISNUMBER(SEARCH(Chipset_Table[Chipset text], B480)), ""))</f>
        <v>RTX 5080</v>
      </c>
      <c r="I480" t="str">
        <f>_xlfn.TEXTJOIN(",",TRUE,_xlfn._xlws.FILTER(VRAM_table[Video memory], (VRAM_table[Video memory text]&lt;&gt;"") * ISNUMBER(SEARCH(VRAM_table[Video memory text], B480)), ""))</f>
        <v>16GB</v>
      </c>
    </row>
    <row r="481" spans="1:9" x14ac:dyDescent="0.25">
      <c r="A481" t="s">
        <v>761</v>
      </c>
      <c r="B481" t="s">
        <v>900</v>
      </c>
      <c r="C481">
        <v>21990000</v>
      </c>
      <c r="D481">
        <v>21990000</v>
      </c>
      <c r="E481" t="s">
        <v>901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ASUS</v>
      </c>
      <c r="H481" t="str">
        <f>_xlfn.TEXTJOIN(",",TRUE,_xlfn._xlws.FILTER(Chipset_Table[Chipset], (Chipset_Table[Chipset text]&lt;&gt;"") * ISNUMBER(SEARCH(Chipset_Table[Chipset text], B481)), ""))</f>
        <v>RX 6900 XT</v>
      </c>
      <c r="I481" t="s">
        <v>1114</v>
      </c>
    </row>
    <row r="482" spans="1:9" x14ac:dyDescent="0.25">
      <c r="A482" t="s">
        <v>761</v>
      </c>
      <c r="B482" t="s">
        <v>902</v>
      </c>
      <c r="C482">
        <v>27900000</v>
      </c>
      <c r="D482">
        <v>27900000</v>
      </c>
      <c r="E482" t="s">
        <v>903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Sapphire</v>
      </c>
      <c r="H482" t="str">
        <f>_xlfn.TEXTJOIN(",",TRUE,_xlfn._xlws.FILTER(Chipset_Table[Chipset], (Chipset_Table[Chipset text]&lt;&gt;"") * ISNUMBER(SEARCH(Chipset_Table[Chipset text], B482)), ""))</f>
        <v>RX 7900XTX</v>
      </c>
      <c r="I482" t="s">
        <v>1127</v>
      </c>
    </row>
    <row r="483" spans="1:9" x14ac:dyDescent="0.25">
      <c r="A483" t="s">
        <v>761</v>
      </c>
      <c r="B483" t="s">
        <v>904</v>
      </c>
      <c r="C483">
        <v>21990000</v>
      </c>
      <c r="D483">
        <v>21990000</v>
      </c>
      <c r="E483" t="s">
        <v>905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ASUS</v>
      </c>
      <c r="H483" t="str">
        <f>_xlfn.TEXTJOIN(",",TRUE,_xlfn._xlws.FILTER(Chipset_Table[Chipset], (Chipset_Table[Chipset text]&lt;&gt;"") * ISNUMBER(SEARCH(Chipset_Table[Chipset text], B483)), ""))</f>
        <v>RX 9070</v>
      </c>
      <c r="I483" t="s">
        <v>1114</v>
      </c>
    </row>
    <row r="484" spans="1:9" x14ac:dyDescent="0.25">
      <c r="A484" t="s">
        <v>761</v>
      </c>
      <c r="B484" t="s">
        <v>906</v>
      </c>
      <c r="C484">
        <v>20990000</v>
      </c>
      <c r="D484">
        <v>20990000</v>
      </c>
      <c r="E484" t="s">
        <v>907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Colorful</v>
      </c>
      <c r="H484" t="s">
        <v>1055</v>
      </c>
      <c r="I484" t="s">
        <v>1116</v>
      </c>
    </row>
    <row r="485" spans="1:9" x14ac:dyDescent="0.25">
      <c r="A485" t="s">
        <v>761</v>
      </c>
      <c r="B485" t="s">
        <v>908</v>
      </c>
      <c r="C485">
        <v>29590000</v>
      </c>
      <c r="D485">
        <v>29590000</v>
      </c>
      <c r="E485" t="s">
        <v>909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Gigabyte</v>
      </c>
      <c r="H485" t="s">
        <v>1056</v>
      </c>
      <c r="I485" t="s">
        <v>1114</v>
      </c>
    </row>
    <row r="486" spans="1:9" x14ac:dyDescent="0.25">
      <c r="A486" t="s">
        <v>761</v>
      </c>
      <c r="B486" t="s">
        <v>910</v>
      </c>
      <c r="C486">
        <v>16590000</v>
      </c>
      <c r="D486">
        <v>16590000</v>
      </c>
      <c r="E486" t="s">
        <v>911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Colorful</v>
      </c>
      <c r="H486" t="s">
        <v>1062</v>
      </c>
      <c r="I486" t="s">
        <v>1114</v>
      </c>
    </row>
    <row r="487" spans="1:9" x14ac:dyDescent="0.25">
      <c r="A487" t="s">
        <v>761</v>
      </c>
      <c r="B487" t="s">
        <v>912</v>
      </c>
      <c r="C487">
        <v>24390000</v>
      </c>
      <c r="D487">
        <v>24390000</v>
      </c>
      <c r="E487" t="s">
        <v>913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Gigabyte</v>
      </c>
      <c r="H487" t="s">
        <v>1055</v>
      </c>
      <c r="I487" t="s">
        <v>1116</v>
      </c>
    </row>
    <row r="488" spans="1:9" x14ac:dyDescent="0.25">
      <c r="A488" t="s">
        <v>761</v>
      </c>
      <c r="B488" t="s">
        <v>914</v>
      </c>
      <c r="C488">
        <v>12100000</v>
      </c>
      <c r="D488">
        <v>12100000</v>
      </c>
      <c r="E488" t="s">
        <v>915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INNO3D</v>
      </c>
      <c r="H488" t="s">
        <v>1062</v>
      </c>
      <c r="I488" t="s">
        <v>1036</v>
      </c>
    </row>
    <row r="489" spans="1:9" x14ac:dyDescent="0.25">
      <c r="A489" t="s">
        <v>761</v>
      </c>
      <c r="B489" t="s">
        <v>916</v>
      </c>
      <c r="C489">
        <v>13990000</v>
      </c>
      <c r="D489">
        <v>13990000</v>
      </c>
      <c r="E489" t="s">
        <v>917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Colorful</v>
      </c>
      <c r="H489" t="s">
        <v>1062</v>
      </c>
      <c r="I489" t="s">
        <v>1036</v>
      </c>
    </row>
    <row r="490" spans="1:9" x14ac:dyDescent="0.25">
      <c r="A490" t="s">
        <v>761</v>
      </c>
      <c r="B490" t="s">
        <v>918</v>
      </c>
      <c r="C490">
        <v>11390000</v>
      </c>
      <c r="D490">
        <v>11390000</v>
      </c>
      <c r="E490" t="s">
        <v>919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Colorful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">
        <v>1036</v>
      </c>
    </row>
    <row r="491" spans="1:9" x14ac:dyDescent="0.25">
      <c r="A491" t="s">
        <v>761</v>
      </c>
      <c r="B491" t="s">
        <v>920</v>
      </c>
      <c r="C491">
        <v>2990000</v>
      </c>
      <c r="D491">
        <v>2990000</v>
      </c>
      <c r="E491" t="s">
        <v>921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T-WOLF</v>
      </c>
      <c r="H491" t="str">
        <f>_xlfn.TEXTJOIN(",",TRUE,_xlfn._xlws.FILTER(Chipset_Table[Chipset], (Chipset_Table[Chipset text]&lt;&gt;"") * ISNUMBER(SEARCH(Chipset_Table[Chipset text], B491)), ""))</f>
        <v>GeForce GTX 1060</v>
      </c>
      <c r="I491" t="str">
        <f>_xlfn.TEXTJOIN(",",TRUE,_xlfn._xlws.FILTER(VRAM_table[Video memory], (VRAM_table[Video memory text]&lt;&gt;"") * ISNUMBER(SEARCH(VRAM_table[Video memory text], B491)), ""))</f>
        <v>3GB</v>
      </c>
    </row>
    <row r="492" spans="1:9" x14ac:dyDescent="0.25">
      <c r="A492" t="s">
        <v>761</v>
      </c>
      <c r="B492" t="s">
        <v>922</v>
      </c>
      <c r="C492">
        <v>9190000</v>
      </c>
      <c r="D492">
        <v>9190000</v>
      </c>
      <c r="E492" t="s">
        <v>923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ZOTAC</v>
      </c>
      <c r="H492" t="str">
        <f>_xlfn.TEXTJOIN(",",TRUE,_xlfn._xlws.FILTER(Chipset_Table[Chipset], (Chipset_Table[Chipset text]&lt;&gt;"") * ISNUMBER(SEARCH(Chipset_Table[Chipset text], B492)), ""))</f>
        <v>GeForce RTX 5060</v>
      </c>
      <c r="I492" t="s">
        <v>1036</v>
      </c>
    </row>
    <row r="493" spans="1:9" x14ac:dyDescent="0.25">
      <c r="A493" t="s">
        <v>761</v>
      </c>
      <c r="B493" t="s">
        <v>920</v>
      </c>
      <c r="C493">
        <v>2990000</v>
      </c>
      <c r="D493">
        <v>2990000</v>
      </c>
      <c r="E493" t="s">
        <v>921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T-WOLF</v>
      </c>
      <c r="H493" t="str">
        <f>_xlfn.TEXTJOIN(",",TRUE,_xlfn._xlws.FILTER(Chipset_Table[Chipset], (Chipset_Table[Chipset text]&lt;&gt;"") * ISNUMBER(SEARCH(Chipset_Table[Chipset text], B493)), ""))</f>
        <v>GeForce GTX 1060</v>
      </c>
      <c r="I493" t="str">
        <f>_xlfn.TEXTJOIN(",",TRUE,_xlfn._xlws.FILTER(VRAM_table[Video memory], (VRAM_table[Video memory text]&lt;&gt;"") * ISNUMBER(SEARCH(VRAM_table[Video memory text], B493)), ""))</f>
        <v>3GB</v>
      </c>
    </row>
    <row r="494" spans="1:9" x14ac:dyDescent="0.25">
      <c r="A494" t="s">
        <v>761</v>
      </c>
      <c r="B494" t="s">
        <v>924</v>
      </c>
      <c r="C494">
        <v>9990000</v>
      </c>
      <c r="D494">
        <v>9990000</v>
      </c>
      <c r="E494" t="s">
        <v>925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MSI</v>
      </c>
      <c r="H494" t="str">
        <f>_xlfn.TEXTJOIN(",",TRUE,_xlfn._xlws.FILTER(Chipset_Table[Chipset], (Chipset_Table[Chipset text]&lt;&gt;"") * ISNUMBER(SEARCH(Chipset_Table[Chipset text], B494)), ""))</f>
        <v>GeForce RTX 5060</v>
      </c>
      <c r="I494" t="s">
        <v>1036</v>
      </c>
    </row>
    <row r="495" spans="1:9" x14ac:dyDescent="0.25">
      <c r="A495" t="s">
        <v>761</v>
      </c>
      <c r="B495" t="s">
        <v>926</v>
      </c>
      <c r="C495">
        <v>17990000</v>
      </c>
      <c r="D495">
        <v>17990000</v>
      </c>
      <c r="E495" t="s">
        <v>927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Gigabyte</v>
      </c>
      <c r="H495" t="s">
        <v>1062</v>
      </c>
      <c r="I495" t="s">
        <v>1114</v>
      </c>
    </row>
    <row r="496" spans="1:9" x14ac:dyDescent="0.25">
      <c r="A496" t="s">
        <v>761</v>
      </c>
      <c r="B496" t="s">
        <v>928</v>
      </c>
      <c r="C496">
        <v>41990000</v>
      </c>
      <c r="D496">
        <v>41990000</v>
      </c>
      <c r="E496" t="s">
        <v>929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Leadtek</v>
      </c>
      <c r="H496" t="str">
        <f>_xlfn.TEXTJOIN(",",TRUE,_xlfn._xlws.FILTER(Chipset_Table[Chipset], (Chipset_Table[Chipset text]&lt;&gt;"") * ISNUMBER(SEARCH(Chipset_Table[Chipset text], B496)), ""))</f>
        <v>RTX 4000</v>
      </c>
      <c r="I496" t="str">
        <f>_xlfn.TEXTJOIN(",",TRUE,_xlfn._xlws.FILTER(VRAM_table[Video memory], (VRAM_table[Video memory text]&lt;&gt;"") * ISNUMBER(SEARCH(VRAM_table[Video memory text], B496)), ""))</f>
        <v>20GB</v>
      </c>
    </row>
    <row r="497" spans="1:9" x14ac:dyDescent="0.25">
      <c r="A497" t="s">
        <v>761</v>
      </c>
      <c r="B497" t="s">
        <v>930</v>
      </c>
      <c r="C497">
        <v>14990000</v>
      </c>
      <c r="D497">
        <v>14990000</v>
      </c>
      <c r="E497" t="s">
        <v>931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Sapphire</v>
      </c>
      <c r="H497" t="str">
        <f>_xlfn.TEXTJOIN(",",TRUE,_xlfn._xlws.FILTER(Chipset_Table[Chipset], (Chipset_Table[Chipset text]&lt;&gt;"") * ISNUMBER(SEARCH(Chipset_Table[Chipset text], B497)), ""))</f>
        <v>RX 9060 XT</v>
      </c>
      <c r="I497" t="s">
        <v>1114</v>
      </c>
    </row>
    <row r="498" spans="1:9" x14ac:dyDescent="0.25">
      <c r="A498" t="s">
        <v>761</v>
      </c>
      <c r="B498" t="s">
        <v>932</v>
      </c>
      <c r="C498">
        <v>19890000</v>
      </c>
      <c r="D498">
        <v>19890000</v>
      </c>
      <c r="E498" t="s">
        <v>933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ASUS</v>
      </c>
      <c r="H498" t="str">
        <f>_xlfn.TEXTJOIN(",",TRUE,_xlfn._xlws.FILTER(Chipset_Table[Chipset], (Chipset_Table[Chipset text]&lt;&gt;"") * ISNUMBER(SEARCH(Chipset_Table[Chipset text], B498)), ""))</f>
        <v>RX 9070</v>
      </c>
      <c r="I498" t="s">
        <v>1114</v>
      </c>
    </row>
    <row r="499" spans="1:9" x14ac:dyDescent="0.25">
      <c r="A499" t="s">
        <v>761</v>
      </c>
      <c r="B499" t="s">
        <v>934</v>
      </c>
      <c r="C499">
        <v>22290000</v>
      </c>
      <c r="D499">
        <v>22290000</v>
      </c>
      <c r="E499" t="s">
        <v>935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ZOTAC</v>
      </c>
      <c r="H499" t="s">
        <v>1055</v>
      </c>
      <c r="I499" t="s">
        <v>1116</v>
      </c>
    </row>
    <row r="500" spans="1:9" x14ac:dyDescent="0.25">
      <c r="A500" t="s">
        <v>761</v>
      </c>
      <c r="B500" t="s">
        <v>936</v>
      </c>
      <c r="C500">
        <v>33890000</v>
      </c>
      <c r="D500">
        <v>33890000</v>
      </c>
      <c r="E500" t="s">
        <v>937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INNO3D</v>
      </c>
      <c r="H500" t="s">
        <v>1063</v>
      </c>
      <c r="I500" t="s">
        <v>1114</v>
      </c>
    </row>
    <row r="501" spans="1:9" x14ac:dyDescent="0.25">
      <c r="A501" t="s">
        <v>761</v>
      </c>
      <c r="B501" t="s">
        <v>938</v>
      </c>
      <c r="C501">
        <v>44990000</v>
      </c>
      <c r="D501">
        <v>44990000</v>
      </c>
      <c r="E501" t="s">
        <v>939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ASUS</v>
      </c>
      <c r="H501" t="s">
        <v>1063</v>
      </c>
      <c r="I501" t="s">
        <v>1114</v>
      </c>
    </row>
    <row r="502" spans="1:9" x14ac:dyDescent="0.25">
      <c r="A502" t="s">
        <v>761</v>
      </c>
      <c r="B502" t="s">
        <v>940</v>
      </c>
      <c r="C502">
        <v>32990000</v>
      </c>
      <c r="D502">
        <v>32990000</v>
      </c>
      <c r="E502" t="s">
        <v>941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ASUS</v>
      </c>
      <c r="H502" t="s">
        <v>1056</v>
      </c>
      <c r="I502" t="s">
        <v>1114</v>
      </c>
    </row>
    <row r="503" spans="1:9" x14ac:dyDescent="0.25">
      <c r="A503" t="s">
        <v>761</v>
      </c>
      <c r="B503" t="s">
        <v>942</v>
      </c>
      <c r="C503">
        <v>7490000</v>
      </c>
      <c r="D503">
        <v>7490000</v>
      </c>
      <c r="E503" t="s">
        <v>943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Sapphire</v>
      </c>
      <c r="H503" t="str">
        <f>_xlfn.TEXTJOIN(",",TRUE,_xlfn._xlws.FILTER(Chipset_Table[Chipset], (Chipset_Table[Chipset text]&lt;&gt;"") * ISNUMBER(SEARCH(Chipset_Table[Chipset text], B503)), ""))</f>
        <v>RX 7600</v>
      </c>
      <c r="I503" t="s">
        <v>1036</v>
      </c>
    </row>
    <row r="504" spans="1:9" x14ac:dyDescent="0.25">
      <c r="A504" t="s">
        <v>761</v>
      </c>
      <c r="B504" t="s">
        <v>944</v>
      </c>
      <c r="C504">
        <v>2390000</v>
      </c>
      <c r="D504">
        <v>2390000</v>
      </c>
      <c r="E504" t="s">
        <v>945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1124</v>
      </c>
    </row>
    <row r="505" spans="1:9" x14ac:dyDescent="0.25">
      <c r="A505" t="s">
        <v>761</v>
      </c>
      <c r="B505" t="s">
        <v>946</v>
      </c>
      <c r="C505">
        <v>11490000</v>
      </c>
      <c r="D505">
        <v>11490000</v>
      </c>
      <c r="E505" t="s">
        <v>947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MSI</v>
      </c>
      <c r="H505" t="str">
        <f>_xlfn.TEXTJOIN(",",TRUE,_xlfn._xlws.FILTER(Chipset_Table[Chipset], (Chipset_Table[Chipset text]&lt;&gt;"") * ISNUMBER(SEARCH(Chipset_Table[Chipset text], B505)), ""))</f>
        <v>GeForce RTX 5060</v>
      </c>
      <c r="I505" t="s">
        <v>1036</v>
      </c>
    </row>
    <row r="506" spans="1:9" x14ac:dyDescent="0.25">
      <c r="A506" t="s">
        <v>761</v>
      </c>
      <c r="B506" t="s">
        <v>948</v>
      </c>
      <c r="C506">
        <v>20990000</v>
      </c>
      <c r="D506">
        <v>20990000</v>
      </c>
      <c r="E506" t="s">
        <v>949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tr">
        <f>_xlfn.TEXTJOIN(",",TRUE,_xlfn._xlws.FILTER(Chipset_Table[Chipset], (Chipset_Table[Chipset text]&lt;&gt;"") * ISNUMBER(SEARCH(Chipset_Table[Chipset text], B506)), ""))</f>
        <v>RX 6900 XT</v>
      </c>
      <c r="I506" t="s">
        <v>1114</v>
      </c>
    </row>
    <row r="507" spans="1:9" x14ac:dyDescent="0.25">
      <c r="A507" t="s">
        <v>761</v>
      </c>
      <c r="B507" t="s">
        <v>950</v>
      </c>
      <c r="C507">
        <v>37890000</v>
      </c>
      <c r="D507">
        <v>37890000</v>
      </c>
      <c r="E507" t="s">
        <v>951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MSI</v>
      </c>
      <c r="H507" t="str">
        <f>_xlfn.TEXTJOIN(",",TRUE,_xlfn._xlws.FILTER(Chipset_Table[Chipset], (Chipset_Table[Chipset text]&lt;&gt;"") * ISNUMBER(SEARCH(Chipset_Table[Chipset text], B507)), ""))</f>
        <v>RTX 5080</v>
      </c>
      <c r="I507" t="s">
        <v>1114</v>
      </c>
    </row>
    <row r="508" spans="1:9" x14ac:dyDescent="0.25">
      <c r="A508" t="s">
        <v>761</v>
      </c>
      <c r="B508" t="s">
        <v>952</v>
      </c>
      <c r="C508">
        <v>13690000</v>
      </c>
      <c r="D508">
        <v>13690000</v>
      </c>
      <c r="E508" t="s">
        <v>953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ASRock</v>
      </c>
      <c r="H508" t="str">
        <f>_xlfn.TEXTJOIN(",",TRUE,_xlfn._xlws.FILTER(Chipset_Table[Chipset], (Chipset_Table[Chipset text]&lt;&gt;"") * ISNUMBER(SEARCH(Chipset_Table[Chipset text], B508)), ""))</f>
        <v>RX 9060 XT</v>
      </c>
      <c r="I508" t="s">
        <v>1114</v>
      </c>
    </row>
    <row r="509" spans="1:9" x14ac:dyDescent="0.25">
      <c r="A509" t="s">
        <v>761</v>
      </c>
      <c r="B509" t="s">
        <v>954</v>
      </c>
      <c r="C509">
        <v>18190000</v>
      </c>
      <c r="D509">
        <v>18190000</v>
      </c>
      <c r="E509" t="s">
        <v>955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INNO3D</v>
      </c>
      <c r="H509" t="s">
        <v>1055</v>
      </c>
      <c r="I509" t="s">
        <v>1116</v>
      </c>
    </row>
    <row r="510" spans="1:9" x14ac:dyDescent="0.25">
      <c r="A510" t="s">
        <v>761</v>
      </c>
      <c r="B510" t="s">
        <v>956</v>
      </c>
      <c r="C510">
        <v>35400000</v>
      </c>
      <c r="D510">
        <v>35400000</v>
      </c>
      <c r="E510" t="s">
        <v>957</v>
      </c>
      <c r="F510" t="s">
        <v>12</v>
      </c>
      <c r="G510" t="str">
        <f>_xlfn.TEXTJOIN(",",TRUE,_xlfn._xlws.FILTER(GPU_brand[GPU brand], (GPU_brand[GPU brand text]&lt;&gt;"") * ISNUMBER(SEARCH(GPU_brand[GPU brand text], B510)), ""))</f>
        <v>PNY</v>
      </c>
      <c r="H510" t="s">
        <v>1063</v>
      </c>
      <c r="I510" t="s">
        <v>1114</v>
      </c>
    </row>
    <row r="511" spans="1:9" x14ac:dyDescent="0.25">
      <c r="A511" t="s">
        <v>761</v>
      </c>
      <c r="B511" t="s">
        <v>958</v>
      </c>
      <c r="C511">
        <v>47990000</v>
      </c>
      <c r="D511">
        <v>47990000</v>
      </c>
      <c r="E511" t="s">
        <v>959</v>
      </c>
      <c r="F511" t="s">
        <v>12</v>
      </c>
      <c r="G511" t="str">
        <f>_xlfn.TEXTJOIN(",",TRUE,_xlfn._xlws.FILTER(GPU_brand[GPU brand], (GPU_brand[GPU brand text]&lt;&gt;"") * ISNUMBER(SEARCH(GPU_brand[GPU brand text], B511)), ""))</f>
        <v>ASUS</v>
      </c>
      <c r="H511" t="s">
        <v>1063</v>
      </c>
      <c r="I511" t="s">
        <v>1114</v>
      </c>
    </row>
    <row r="512" spans="1:9" x14ac:dyDescent="0.25">
      <c r="A512" t="s">
        <v>761</v>
      </c>
      <c r="B512" t="s">
        <v>960</v>
      </c>
      <c r="C512">
        <v>9590000</v>
      </c>
      <c r="D512">
        <v>9590000</v>
      </c>
      <c r="E512" t="s">
        <v>961</v>
      </c>
      <c r="F512" t="s">
        <v>12</v>
      </c>
      <c r="G512" t="str">
        <f>_xlfn.TEXTJOIN(",",TRUE,_xlfn._xlws.FILTER(GPU_brand[GPU brand], (GPU_brand[GPU brand text]&lt;&gt;"") * ISNUMBER(SEARCH(GPU_brand[GPU brand text], B512)), ""))</f>
        <v>INNO3D</v>
      </c>
      <c r="H512" t="str">
        <f>_xlfn.TEXTJOIN(",",TRUE,_xlfn._xlws.FILTER(Chipset_Table[Chipset], (Chipset_Table[Chipset text]&lt;&gt;"") * ISNUMBER(SEARCH(Chipset_Table[Chipset text], B512)), ""))</f>
        <v>GeForce RTX 5060</v>
      </c>
      <c r="I512" t="s">
        <v>1036</v>
      </c>
    </row>
    <row r="513" spans="1:9" x14ac:dyDescent="0.25">
      <c r="A513" t="s">
        <v>761</v>
      </c>
      <c r="B513" t="s">
        <v>962</v>
      </c>
      <c r="C513">
        <v>17590000</v>
      </c>
      <c r="D513">
        <v>17590000</v>
      </c>
      <c r="E513" t="s">
        <v>963</v>
      </c>
      <c r="F513" t="s">
        <v>12</v>
      </c>
      <c r="G513" t="str">
        <f>_xlfn.TEXTJOIN(",",TRUE,_xlfn._xlws.FILTER(GPU_brand[GPU brand], (GPU_brand[GPU brand text]&lt;&gt;"") * ISNUMBER(SEARCH(GPU_brand[GPU brand text], B513)), ""))</f>
        <v>ASUS</v>
      </c>
      <c r="H513" t="s">
        <v>1062</v>
      </c>
      <c r="I513" t="s">
        <v>1114</v>
      </c>
    </row>
    <row r="514" spans="1:9" x14ac:dyDescent="0.25">
      <c r="A514" t="s">
        <v>761</v>
      </c>
      <c r="B514" t="s">
        <v>964</v>
      </c>
      <c r="C514">
        <v>17790000</v>
      </c>
      <c r="D514">
        <v>17790000</v>
      </c>
      <c r="E514" t="s">
        <v>965</v>
      </c>
      <c r="F514" t="s">
        <v>12</v>
      </c>
      <c r="G514" t="str">
        <f>_xlfn.TEXTJOIN(",",TRUE,_xlfn._xlws.FILTER(GPU_brand[GPU brand], (GPU_brand[GPU brand text]&lt;&gt;"") * ISNUMBER(SEARCH(GPU_brand[GPU brand text], B514)), ""))</f>
        <v>PNY</v>
      </c>
      <c r="H514" t="s">
        <v>1062</v>
      </c>
      <c r="I514" t="str">
        <f>_xlfn.TEXTJOIN(",",TRUE,_xlfn._xlws.FILTER(VRAM_table[Video memory], (VRAM_table[Video memory text]&lt;&gt;"") * ISNUMBER(SEARCH(VRAM_table[Video memory text], B514)), ""))</f>
        <v>16GB</v>
      </c>
    </row>
    <row r="515" spans="1:9" x14ac:dyDescent="0.25">
      <c r="A515" t="s">
        <v>761</v>
      </c>
      <c r="B515" t="s">
        <v>966</v>
      </c>
      <c r="C515">
        <v>13490000</v>
      </c>
      <c r="D515">
        <v>13490000</v>
      </c>
      <c r="E515" t="s">
        <v>967</v>
      </c>
      <c r="F515" t="s">
        <v>12</v>
      </c>
      <c r="G515" t="str">
        <f>_xlfn.TEXTJOIN(",",TRUE,_xlfn._xlws.FILTER(GPU_brand[GPU brand], (GPU_brand[GPU brand text]&lt;&gt;"") * ISNUMBER(SEARCH(GPU_brand[GPU brand text], B515)), ""))</f>
        <v>Colorful</v>
      </c>
      <c r="H515" t="s">
        <v>1062</v>
      </c>
      <c r="I515" t="s">
        <v>1036</v>
      </c>
    </row>
    <row r="516" spans="1:9" x14ac:dyDescent="0.25">
      <c r="A516" t="s">
        <v>761</v>
      </c>
      <c r="B516" t="s">
        <v>968</v>
      </c>
      <c r="C516">
        <v>8890000</v>
      </c>
      <c r="D516">
        <v>8890000</v>
      </c>
      <c r="E516" t="s">
        <v>969</v>
      </c>
      <c r="F516" t="s">
        <v>12</v>
      </c>
      <c r="G516" t="s">
        <v>1054</v>
      </c>
      <c r="H516" t="str">
        <f>_xlfn.TEXTJOIN(",",TRUE,_xlfn._xlws.FILTER(Chipset_Table[Chipset], (Chipset_Table[Chipset text]&lt;&gt;"") * ISNUMBER(SEARCH(Chipset_Table[Chipset text], B516)), ""))</f>
        <v>NVIDIA T1000</v>
      </c>
      <c r="I516" t="s">
        <v>1124</v>
      </c>
    </row>
    <row r="517" spans="1:9" x14ac:dyDescent="0.25">
      <c r="A517" t="s">
        <v>761</v>
      </c>
      <c r="B517" t="s">
        <v>970</v>
      </c>
      <c r="C517">
        <v>38290000</v>
      </c>
      <c r="D517">
        <v>38290000</v>
      </c>
      <c r="E517" t="s">
        <v>971</v>
      </c>
      <c r="F517" t="s">
        <v>12</v>
      </c>
      <c r="G517" t="str">
        <f>_xlfn.TEXTJOIN(",",TRUE,_xlfn._xlws.FILTER(GPU_brand[GPU brand], (GPU_brand[GPU brand text]&lt;&gt;"") * ISNUMBER(SEARCH(GPU_brand[GPU brand text], B517)), ""))</f>
        <v>MSI</v>
      </c>
      <c r="H517" t="str">
        <f>_xlfn.TEXTJOIN(",",TRUE,_xlfn._xlws.FILTER(Chipset_Table[Chipset], (Chipset_Table[Chipset text]&lt;&gt;"") * ISNUMBER(SEARCH(Chipset_Table[Chipset text], B517)), ""))</f>
        <v>RTX 5080</v>
      </c>
      <c r="I517" t="s">
        <v>1114</v>
      </c>
    </row>
    <row r="518" spans="1:9" x14ac:dyDescent="0.25">
      <c r="A518" t="s">
        <v>761</v>
      </c>
      <c r="B518" t="s">
        <v>972</v>
      </c>
      <c r="C518">
        <v>21990000</v>
      </c>
      <c r="D518">
        <v>21990000</v>
      </c>
      <c r="E518" t="s">
        <v>973</v>
      </c>
      <c r="F518" t="s">
        <v>12</v>
      </c>
      <c r="G518" t="str">
        <f>_xlfn.TEXTJOIN(",",TRUE,_xlfn._xlws.FILTER(GPU_brand[GPU brand], (GPU_brand[GPU brand text]&lt;&gt;"") * ISNUMBER(SEARCH(GPU_brand[GPU brand text], B518)), ""))</f>
        <v>ASRock</v>
      </c>
      <c r="H518" t="str">
        <f>_xlfn.TEXTJOIN(",",TRUE,_xlfn._xlws.FILTER(Chipset_Table[Chipset], (Chipset_Table[Chipset text]&lt;&gt;"") * ISNUMBER(SEARCH(Chipset_Table[Chipset text], B518)), ""))</f>
        <v>RX 9070</v>
      </c>
      <c r="I518" t="s">
        <v>1114</v>
      </c>
    </row>
    <row r="519" spans="1:9" x14ac:dyDescent="0.25">
      <c r="A519" t="s">
        <v>761</v>
      </c>
      <c r="B519" t="s">
        <v>974</v>
      </c>
      <c r="C519">
        <v>5590000</v>
      </c>
      <c r="D519">
        <v>5590000</v>
      </c>
      <c r="E519" t="s">
        <v>975</v>
      </c>
      <c r="F519" t="s">
        <v>12</v>
      </c>
      <c r="G519" t="str">
        <f>_xlfn.TEXTJOIN(",",TRUE,_xlfn._xlws.FILTER(GPU_brand[GPU brand], (GPU_brand[GPU brand text]&lt;&gt;"") * ISNUMBER(SEARCH(GPU_brand[GPU brand text], B519)), ""))</f>
        <v>Leadtek</v>
      </c>
      <c r="H519" t="str">
        <f>_xlfn.TEXTJOIN(",",TRUE,_xlfn._xlws.FILTER(Chipset_Table[Chipset], (Chipset_Table[Chipset text]&lt;&gt;"") * ISNUMBER(SEARCH(Chipset_Table[Chipset text], B519)), ""))</f>
        <v>RTX A400</v>
      </c>
      <c r="I519" t="s">
        <v>1124</v>
      </c>
    </row>
    <row r="520" spans="1:9" x14ac:dyDescent="0.25">
      <c r="A520" t="s">
        <v>761</v>
      </c>
      <c r="B520" t="s">
        <v>976</v>
      </c>
      <c r="C520">
        <v>21590000</v>
      </c>
      <c r="D520">
        <v>21590000</v>
      </c>
      <c r="E520" t="s">
        <v>977</v>
      </c>
      <c r="F520" t="s">
        <v>12</v>
      </c>
      <c r="G520" t="str">
        <f>_xlfn.TEXTJOIN(",",TRUE,_xlfn._xlws.FILTER(GPU_brand[GPU brand], (GPU_brand[GPU brand text]&lt;&gt;"") * ISNUMBER(SEARCH(GPU_brand[GPU brand text], B520)), ""))</f>
        <v>MSI</v>
      </c>
      <c r="H520" t="s">
        <v>1055</v>
      </c>
      <c r="I520" t="s">
        <v>1116</v>
      </c>
    </row>
    <row r="521" spans="1:9" x14ac:dyDescent="0.25">
      <c r="A521" t="s">
        <v>761</v>
      </c>
      <c r="B521" t="s">
        <v>978</v>
      </c>
      <c r="C521">
        <v>17190000</v>
      </c>
      <c r="D521">
        <v>17190000</v>
      </c>
      <c r="E521" t="s">
        <v>979</v>
      </c>
      <c r="F521" t="s">
        <v>12</v>
      </c>
      <c r="G521" t="str">
        <f>_xlfn.TEXTJOIN(",",TRUE,_xlfn._xlws.FILTER(GPU_brand[GPU brand], (GPU_brand[GPU brand text]&lt;&gt;"") * ISNUMBER(SEARCH(GPU_brand[GPU brand text], B521)), ""))</f>
        <v>MSI</v>
      </c>
      <c r="H521" t="s">
        <v>1062</v>
      </c>
      <c r="I521" t="s">
        <v>1114</v>
      </c>
    </row>
    <row r="522" spans="1:9" x14ac:dyDescent="0.25">
      <c r="A522" t="s">
        <v>761</v>
      </c>
      <c r="B522" t="s">
        <v>980</v>
      </c>
      <c r="C522">
        <v>9590000</v>
      </c>
      <c r="D522">
        <v>9590000</v>
      </c>
      <c r="E522" t="s">
        <v>981</v>
      </c>
      <c r="F522" t="s">
        <v>12</v>
      </c>
      <c r="G522" t="str">
        <f>_xlfn.TEXTJOIN(",",TRUE,_xlfn._xlws.FILTER(GPU_brand[GPU brand], (GPU_brand[GPU brand text]&lt;&gt;"") * ISNUMBER(SEARCH(GPU_brand[GPU brand text], B522)), ""))</f>
        <v>INNO3D</v>
      </c>
      <c r="H522" t="str">
        <f>_xlfn.TEXTJOIN(",",TRUE,_xlfn._xlws.FILTER(Chipset_Table[Chipset], (Chipset_Table[Chipset text]&lt;&gt;"") * ISNUMBER(SEARCH(Chipset_Table[Chipset text], B522)), ""))</f>
        <v>GeForce RTX 5060</v>
      </c>
      <c r="I522" t="s">
        <v>1036</v>
      </c>
    </row>
    <row r="523" spans="1:9" x14ac:dyDescent="0.25">
      <c r="A523" t="s">
        <v>761</v>
      </c>
      <c r="B523" t="s">
        <v>982</v>
      </c>
      <c r="C523">
        <v>37990000</v>
      </c>
      <c r="D523">
        <v>37990000</v>
      </c>
      <c r="E523" t="s">
        <v>983</v>
      </c>
      <c r="F523" t="s">
        <v>12</v>
      </c>
      <c r="G523" t="str">
        <f>_xlfn.TEXTJOIN(",",TRUE,_xlfn._xlws.FILTER(GPU_brand[GPU brand], (GPU_brand[GPU brand text]&lt;&gt;"") * ISNUMBER(SEARCH(GPU_brand[GPU brand text], B523)), ""))</f>
        <v>ASUS</v>
      </c>
      <c r="H523" t="str">
        <f>_xlfn.TEXTJOIN(",",TRUE,_xlfn._xlws.FILTER(Chipset_Table[Chipset], (Chipset_Table[Chipset text]&lt;&gt;"") * ISNUMBER(SEARCH(Chipset_Table[Chipset text], B523)), ""))</f>
        <v>RTX 5080</v>
      </c>
      <c r="I523" t="s">
        <v>1114</v>
      </c>
    </row>
    <row r="524" spans="1:9" x14ac:dyDescent="0.25">
      <c r="A524" t="s">
        <v>761</v>
      </c>
      <c r="B524" t="s">
        <v>984</v>
      </c>
      <c r="C524">
        <v>9190000</v>
      </c>
      <c r="D524">
        <v>9190000</v>
      </c>
      <c r="E524" t="s">
        <v>985</v>
      </c>
      <c r="F524" t="s">
        <v>12</v>
      </c>
      <c r="G524" t="str">
        <f>_xlfn.TEXTJOIN(",",TRUE,_xlfn._xlws.FILTER(GPU_brand[GPU brand], (GPU_brand[GPU brand text]&lt;&gt;"") * ISNUMBER(SEARCH(GPU_brand[GPU brand text], B524)), ""))</f>
        <v>Gigabyte</v>
      </c>
      <c r="H524" t="str">
        <f>_xlfn.TEXTJOIN(",",TRUE,_xlfn._xlws.FILTER(Chipset_Table[Chipset], (Chipset_Table[Chipset text]&lt;&gt;"") * ISNUMBER(SEARCH(Chipset_Table[Chipset text], B524)), ""))</f>
        <v>GeForce RTX 5060</v>
      </c>
      <c r="I524" t="s">
        <v>1036</v>
      </c>
    </row>
    <row r="525" spans="1:9" x14ac:dyDescent="0.25">
      <c r="A525" t="s">
        <v>761</v>
      </c>
      <c r="B525" t="s">
        <v>986</v>
      </c>
      <c r="C525">
        <v>17090000</v>
      </c>
      <c r="D525">
        <v>17090000</v>
      </c>
      <c r="E525" t="s">
        <v>987</v>
      </c>
      <c r="F525" t="s">
        <v>12</v>
      </c>
      <c r="G525" t="str">
        <f>_xlfn.TEXTJOIN(",",TRUE,_xlfn._xlws.FILTER(GPU_brand[GPU brand], (GPU_brand[GPU brand text]&lt;&gt;"") * ISNUMBER(SEARCH(GPU_brand[GPU brand text], B525)), ""))</f>
        <v>Gigabyte</v>
      </c>
      <c r="H525" t="s">
        <v>1055</v>
      </c>
      <c r="I525" t="s">
        <v>1116</v>
      </c>
    </row>
    <row r="526" spans="1:9" x14ac:dyDescent="0.25">
      <c r="A526" t="s">
        <v>761</v>
      </c>
      <c r="B526" t="s">
        <v>988</v>
      </c>
      <c r="C526">
        <v>11790000</v>
      </c>
      <c r="D526">
        <v>11790000</v>
      </c>
      <c r="E526" t="s">
        <v>989</v>
      </c>
      <c r="F526" t="s">
        <v>12</v>
      </c>
      <c r="G526" t="str">
        <f>_xlfn.TEXTJOIN(",",TRUE,_xlfn._xlws.FILTER(GPU_brand[GPU brand], (GPU_brand[GPU brand text]&lt;&gt;"") * ISNUMBER(SEARCH(GPU_brand[GPU brand text], B526)), ""))</f>
        <v>MSI</v>
      </c>
      <c r="H526" t="str">
        <f>_xlfn.TEXTJOIN(",",TRUE,_xlfn._xlws.FILTER(Chipset_Table[Chipset], (Chipset_Table[Chipset text]&lt;&gt;"") * ISNUMBER(SEARCH(Chipset_Table[Chipset text], B526)), ""))</f>
        <v>GeForce RTX 5060</v>
      </c>
      <c r="I526" t="str">
        <f>_xlfn.TEXTJOIN(",",TRUE,_xlfn._xlws.FILTER(VRAM_table[Video memory], (VRAM_table[Video memory text]&lt;&gt;"") * ISNUMBER(SEARCH(VRAM_table[Video memory text], B526)), ""))</f>
        <v>8GB</v>
      </c>
    </row>
    <row r="527" spans="1:9" x14ac:dyDescent="0.25">
      <c r="A527" t="s">
        <v>761</v>
      </c>
      <c r="B527" t="s">
        <v>990</v>
      </c>
      <c r="C527">
        <v>22590000</v>
      </c>
      <c r="D527">
        <v>22590000</v>
      </c>
      <c r="E527" t="s">
        <v>991</v>
      </c>
      <c r="F527" t="s">
        <v>12</v>
      </c>
      <c r="G527" t="str">
        <f>_xlfn.TEXTJOIN(",",TRUE,_xlfn._xlws.FILTER(GPU_brand[GPU brand], (GPU_brand[GPU brand text]&lt;&gt;"") * ISNUMBER(SEARCH(GPU_brand[GPU brand text], B527)), ""))</f>
        <v>ASRock</v>
      </c>
      <c r="H527" t="str">
        <f>_xlfn.TEXTJOIN(",",TRUE,_xlfn._xlws.FILTER(Chipset_Table[Chipset], (Chipset_Table[Chipset text]&lt;&gt;"") * ISNUMBER(SEARCH(Chipset_Table[Chipset text], B527)), ""))</f>
        <v>RX 9070</v>
      </c>
      <c r="I527" t="s">
        <v>1114</v>
      </c>
    </row>
    <row r="528" spans="1:9" x14ac:dyDescent="0.25">
      <c r="A528" t="s">
        <v>761</v>
      </c>
      <c r="B528" t="s">
        <v>992</v>
      </c>
      <c r="C528">
        <v>13890000</v>
      </c>
      <c r="D528">
        <v>13890000</v>
      </c>
      <c r="E528" t="s">
        <v>993</v>
      </c>
      <c r="F528" t="s">
        <v>12</v>
      </c>
      <c r="G528" t="str">
        <f>_xlfn.TEXTJOIN(",",TRUE,_xlfn._xlws.FILTER(GPU_brand[GPU brand], (GPU_brand[GPU brand text]&lt;&gt;"") * ISNUMBER(SEARCH(GPU_brand[GPU brand text], B528)), ""))</f>
        <v>Colorful</v>
      </c>
      <c r="H528" t="s">
        <v>1062</v>
      </c>
      <c r="I528" t="s">
        <v>1036</v>
      </c>
    </row>
    <row r="529" spans="1:9" x14ac:dyDescent="0.25">
      <c r="A529" t="s">
        <v>761</v>
      </c>
      <c r="B529" t="s">
        <v>994</v>
      </c>
      <c r="C529">
        <v>13390000</v>
      </c>
      <c r="D529">
        <v>13390000</v>
      </c>
      <c r="E529" t="s">
        <v>995</v>
      </c>
      <c r="F529" t="s">
        <v>12</v>
      </c>
      <c r="G529" t="str">
        <f>_xlfn.TEXTJOIN(",",TRUE,_xlfn._xlws.FILTER(GPU_brand[GPU brand], (GPU_brand[GPU brand text]&lt;&gt;"") * ISNUMBER(SEARCH(GPU_brand[GPU brand text], B529)), ""))</f>
        <v>MSI</v>
      </c>
      <c r="H529" t="s">
        <v>1062</v>
      </c>
      <c r="I529" t="s">
        <v>1036</v>
      </c>
    </row>
    <row r="530" spans="1:9" x14ac:dyDescent="0.25">
      <c r="A530" t="s">
        <v>761</v>
      </c>
      <c r="B530" t="s">
        <v>996</v>
      </c>
      <c r="C530">
        <v>19290000</v>
      </c>
      <c r="D530">
        <v>19290000</v>
      </c>
      <c r="E530" t="s">
        <v>997</v>
      </c>
      <c r="F530" t="s">
        <v>12</v>
      </c>
      <c r="G530" t="str">
        <f>_xlfn.TEXTJOIN(",",TRUE,_xlfn._xlws.FILTER(GPU_brand[GPU brand], (GPU_brand[GPU brand text]&lt;&gt;"") * ISNUMBER(SEARCH(GPU_brand[GPU brand text], B530)), ""))</f>
        <v>Gigabyte</v>
      </c>
      <c r="H530" t="str">
        <f>_xlfn.TEXTJOIN(",",TRUE,_xlfn._xlws.FILTER(Chipset_Table[Chipset], (Chipset_Table[Chipset text]&lt;&gt;"") * ISNUMBER(SEARCH(Chipset_Table[Chipset text], B530)), ""))</f>
        <v>RX 9070</v>
      </c>
      <c r="I530" t="s">
        <v>1114</v>
      </c>
    </row>
    <row r="531" spans="1:9" x14ac:dyDescent="0.25">
      <c r="A531" t="s">
        <v>761</v>
      </c>
      <c r="B531" t="s">
        <v>998</v>
      </c>
      <c r="C531">
        <v>12790000</v>
      </c>
      <c r="D531">
        <v>12790000</v>
      </c>
      <c r="E531" t="s">
        <v>999</v>
      </c>
      <c r="F531" t="s">
        <v>12</v>
      </c>
      <c r="G531" t="str">
        <f>_xlfn.TEXTJOIN(",",TRUE,_xlfn._xlws.FILTER(GPU_brand[GPU brand], (GPU_brand[GPU brand text]&lt;&gt;"") * ISNUMBER(SEARCH(GPU_brand[GPU brand text], B531)), ""))</f>
        <v>Colorful</v>
      </c>
      <c r="H531" t="s">
        <v>1062</v>
      </c>
      <c r="I531" t="s">
        <v>1036</v>
      </c>
    </row>
    <row r="532" spans="1:9" x14ac:dyDescent="0.25">
      <c r="A532" t="s">
        <v>761</v>
      </c>
      <c r="B532" t="s">
        <v>1000</v>
      </c>
      <c r="C532">
        <v>18390000</v>
      </c>
      <c r="D532">
        <v>18390000</v>
      </c>
      <c r="E532" t="s">
        <v>1001</v>
      </c>
      <c r="F532" t="s">
        <v>12</v>
      </c>
      <c r="G532" t="str">
        <f>_xlfn.TEXTJOIN(",",TRUE,_xlfn._xlws.FILTER(GPU_brand[GPU brand], (GPU_brand[GPU brand text]&lt;&gt;"") * ISNUMBER(SEARCH(GPU_brand[GPU brand text], B532)), ""))</f>
        <v>Colorful</v>
      </c>
      <c r="H532" t="str">
        <f>_xlfn.TEXTJOIN(",",TRUE,_xlfn._xlws.FILTER(Chipset_Table[Chipset], (Chipset_Table[Chipset text]&lt;&gt;"") * ISNUMBER(SEARCH(Chipset_Table[Chipset text], B532)), ""))</f>
        <v>GeForce RTX 4070</v>
      </c>
      <c r="I532" t="s">
        <v>1116</v>
      </c>
    </row>
    <row r="533" spans="1:9" x14ac:dyDescent="0.25">
      <c r="A533" t="s">
        <v>761</v>
      </c>
      <c r="B533" t="s">
        <v>1002</v>
      </c>
      <c r="C533">
        <v>29990000</v>
      </c>
      <c r="D533">
        <v>29990000</v>
      </c>
      <c r="E533" t="s">
        <v>1003</v>
      </c>
      <c r="F533" t="s">
        <v>12</v>
      </c>
      <c r="G533" t="str">
        <f>_xlfn.TEXTJOIN(",",TRUE,_xlfn._xlws.FILTER(GPU_brand[GPU brand], (GPU_brand[GPU brand text]&lt;&gt;"") * ISNUMBER(SEARCH(GPU_brand[GPU brand text], B533)), ""))</f>
        <v>ZOTAC</v>
      </c>
      <c r="H533" t="s">
        <v>1056</v>
      </c>
      <c r="I533" t="s">
        <v>1114</v>
      </c>
    </row>
    <row r="534" spans="1:9" x14ac:dyDescent="0.25">
      <c r="A534" t="s">
        <v>761</v>
      </c>
      <c r="B534" t="s">
        <v>1004</v>
      </c>
      <c r="C534">
        <v>11390000</v>
      </c>
      <c r="D534">
        <v>11390000</v>
      </c>
      <c r="E534" t="s">
        <v>1005</v>
      </c>
      <c r="F534" t="s">
        <v>12</v>
      </c>
      <c r="G534" t="str">
        <f>_xlfn.TEXTJOIN(",",TRUE,_xlfn._xlws.FILTER(GPU_brand[GPU brand], (GPU_brand[GPU brand text]&lt;&gt;"") * ISNUMBER(SEARCH(GPU_brand[GPU brand text], B534)), ""))</f>
        <v>ZOTAC</v>
      </c>
      <c r="H534" t="s">
        <v>1062</v>
      </c>
      <c r="I534" t="s">
        <v>1036</v>
      </c>
    </row>
    <row r="535" spans="1:9" x14ac:dyDescent="0.25">
      <c r="A535" t="s">
        <v>761</v>
      </c>
      <c r="B535" t="s">
        <v>1006</v>
      </c>
      <c r="C535">
        <v>42490000</v>
      </c>
      <c r="D535">
        <v>42490000</v>
      </c>
      <c r="E535" t="s">
        <v>1007</v>
      </c>
      <c r="F535" t="s">
        <v>12</v>
      </c>
      <c r="G535" t="str">
        <f>_xlfn.TEXTJOIN(",",TRUE,_xlfn._xlws.FILTER(GPU_brand[GPU brand], (GPU_brand[GPU brand text]&lt;&gt;"") * ISNUMBER(SEARCH(GPU_brand[GPU brand text], B535)), ""))</f>
        <v>ASUS</v>
      </c>
      <c r="H535" t="s">
        <v>1063</v>
      </c>
      <c r="I535" t="s">
        <v>1114</v>
      </c>
    </row>
    <row r="536" spans="1:9" x14ac:dyDescent="0.25">
      <c r="A536" t="s">
        <v>761</v>
      </c>
      <c r="B536" t="s">
        <v>1008</v>
      </c>
      <c r="C536">
        <v>38290000</v>
      </c>
      <c r="D536">
        <v>38290000</v>
      </c>
      <c r="E536" t="s">
        <v>1009</v>
      </c>
      <c r="F536" t="s">
        <v>12</v>
      </c>
      <c r="G536" t="str">
        <f>_xlfn.TEXTJOIN(",",TRUE,_xlfn._xlws.FILTER(GPU_brand[GPU brand], (GPU_brand[GPU brand text]&lt;&gt;"") * ISNUMBER(SEARCH(GPU_brand[GPU brand text], B536)), ""))</f>
        <v>ZOTAC</v>
      </c>
      <c r="H536" t="s">
        <v>1063</v>
      </c>
      <c r="I536" t="s">
        <v>1114</v>
      </c>
    </row>
    <row r="537" spans="1:9" x14ac:dyDescent="0.25">
      <c r="A537" t="s">
        <v>761</v>
      </c>
      <c r="B537" t="s">
        <v>1010</v>
      </c>
      <c r="C537">
        <v>8490000</v>
      </c>
      <c r="D537">
        <v>8490000</v>
      </c>
      <c r="E537" t="s">
        <v>1011</v>
      </c>
      <c r="F537" t="s">
        <v>12</v>
      </c>
      <c r="G537" t="str">
        <f>_xlfn.TEXTJOIN(",",TRUE,_xlfn._xlws.FILTER(GPU_brand[GPU brand], (GPU_brand[GPU brand text]&lt;&gt;"") * ISNUMBER(SEARCH(GPU_brand[GPU brand text], B537)), ""))</f>
        <v>MSI</v>
      </c>
      <c r="H537" t="str">
        <f>_xlfn.TEXTJOIN(",",TRUE,_xlfn._xlws.FILTER(Chipset_Table[Chipset], (Chipset_Table[Chipset text]&lt;&gt;"") * ISNUMBER(SEARCH(Chipset_Table[Chipset text], B537)), ""))</f>
        <v>GeForce RTX 4060</v>
      </c>
      <c r="I537" t="s">
        <v>1036</v>
      </c>
    </row>
    <row r="538" spans="1:9" x14ac:dyDescent="0.25">
      <c r="A538" t="s">
        <v>761</v>
      </c>
      <c r="B538" t="s">
        <v>1012</v>
      </c>
      <c r="C538">
        <v>8190000</v>
      </c>
      <c r="D538">
        <v>8190000</v>
      </c>
      <c r="E538" t="s">
        <v>1013</v>
      </c>
      <c r="F538" t="s">
        <v>12</v>
      </c>
      <c r="G538" t="str">
        <f>_xlfn.TEXTJOIN(",",TRUE,_xlfn._xlws.FILTER(GPU_brand[GPU brand], (GPU_brand[GPU brand text]&lt;&gt;"") * ISNUMBER(SEARCH(GPU_brand[GPU brand text], B538)), ""))</f>
        <v>Colorful</v>
      </c>
      <c r="H538" t="str">
        <f>_xlfn.TEXTJOIN(",",TRUE,_xlfn._xlws.FILTER(Chipset_Table[Chipset], (Chipset_Table[Chipset text]&lt;&gt;"") * ISNUMBER(SEARCH(Chipset_Table[Chipset text], B538)), ""))</f>
        <v>GeForce RTX 4060</v>
      </c>
      <c r="I538" t="s">
        <v>1036</v>
      </c>
    </row>
    <row r="539" spans="1:9" x14ac:dyDescent="0.25">
      <c r="A539" t="s">
        <v>761</v>
      </c>
      <c r="B539" t="s">
        <v>1014</v>
      </c>
      <c r="C539">
        <v>1950000</v>
      </c>
      <c r="D539">
        <v>1950000</v>
      </c>
      <c r="E539" t="s">
        <v>1015</v>
      </c>
      <c r="F539" t="s">
        <v>12</v>
      </c>
      <c r="G539" t="str">
        <f>_xlfn.TEXTJOIN(",",TRUE,_xlfn._xlws.FILTER(GPU_brand[GPU brand], (GPU_brand[GPU brand text]&lt;&gt;"") * ISNUMBER(SEARCH(GPU_brand[GPU brand text], B539)), ""))</f>
        <v>Unika</v>
      </c>
      <c r="H539" t="str">
        <f>_xlfn.TEXTJOIN(",",TRUE,_xlfn._xlws.FILTER(Chipset_Table[Chipset], (Chipset_Table[Chipset text]&lt;&gt;"") * ISNUMBER(SEARCH(Chipset_Table[Chipset text], B539)), ""))</f>
        <v>RX 560</v>
      </c>
      <c r="I539" t="s">
        <v>1124</v>
      </c>
    </row>
    <row r="540" spans="1:9" x14ac:dyDescent="0.25">
      <c r="A540" t="s">
        <v>761</v>
      </c>
      <c r="B540" t="s">
        <v>1016</v>
      </c>
      <c r="C540">
        <v>3290000</v>
      </c>
      <c r="D540">
        <v>3290000</v>
      </c>
      <c r="E540" t="s">
        <v>1017</v>
      </c>
      <c r="F540" t="s">
        <v>12</v>
      </c>
      <c r="G540" t="str">
        <f>_xlfn.TEXTJOIN(",",TRUE,_xlfn._xlws.FILTER(GPU_brand[GPU brand], (GPU_brand[GPU brand text]&lt;&gt;"") * ISNUMBER(SEARCH(GPU_brand[GPU brand text], B540)), ""))</f>
        <v>Unika</v>
      </c>
      <c r="H540" t="str">
        <f>_xlfn.TEXTJOIN(",",TRUE,_xlfn._xlws.FILTER(Chipset_Table[Chipset], (Chipset_Table[Chipset text]&lt;&gt;"") * ISNUMBER(SEARCH(Chipset_Table[Chipset text], B540)), ""))</f>
        <v>GeForce GTX 1050</v>
      </c>
      <c r="I540" t="s">
        <v>1124</v>
      </c>
    </row>
    <row r="541" spans="1:9" x14ac:dyDescent="0.25">
      <c r="A541" t="s">
        <v>761</v>
      </c>
      <c r="B541" t="s">
        <v>1018</v>
      </c>
      <c r="C541">
        <v>26490000</v>
      </c>
      <c r="D541">
        <v>26490000</v>
      </c>
      <c r="E541" t="s">
        <v>1019</v>
      </c>
      <c r="F541" t="s">
        <v>12</v>
      </c>
      <c r="G541" t="str">
        <f>_xlfn.TEXTJOIN(",",TRUE,_xlfn._xlws.FILTER(GPU_brand[GPU brand], (GPU_brand[GPU brand text]&lt;&gt;"") * ISNUMBER(SEARCH(GPU_brand[GPU brand text], B541)), ""))</f>
        <v>Gigabyte</v>
      </c>
      <c r="H541" t="s">
        <v>1056</v>
      </c>
      <c r="I541" t="s">
        <v>1114</v>
      </c>
    </row>
    <row r="542" spans="1:9" x14ac:dyDescent="0.25">
      <c r="A542" t="s">
        <v>761</v>
      </c>
      <c r="B542" t="s">
        <v>1020</v>
      </c>
      <c r="C542">
        <v>33290000</v>
      </c>
      <c r="D542">
        <v>33290000</v>
      </c>
      <c r="E542" t="s">
        <v>1021</v>
      </c>
      <c r="F542" t="s">
        <v>12</v>
      </c>
      <c r="G542" t="str">
        <f>_xlfn.TEXTJOIN(",",TRUE,_xlfn._xlws.FILTER(GPU_brand[GPU brand], (GPU_brand[GPU brand text]&lt;&gt;"") * ISNUMBER(SEARCH(GPU_brand[GPU brand text], B542)), ""))</f>
        <v>ASUS</v>
      </c>
      <c r="H542" t="s">
        <v>1056</v>
      </c>
      <c r="I542" t="s">
        <v>1114</v>
      </c>
    </row>
    <row r="543" spans="1:9" x14ac:dyDescent="0.25">
      <c r="A543" t="s">
        <v>761</v>
      </c>
      <c r="B543" t="s">
        <v>1022</v>
      </c>
      <c r="C543">
        <v>4590000</v>
      </c>
      <c r="D543">
        <v>4590000</v>
      </c>
      <c r="E543" t="s">
        <v>1023</v>
      </c>
      <c r="F543" t="s">
        <v>12</v>
      </c>
      <c r="G543" t="str">
        <f>_xlfn.TEXTJOIN(",",TRUE,_xlfn._xlws.FILTER(GPU_brand[GPU brand], (GPU_brand[GPU brand text]&lt;&gt;"") * ISNUMBER(SEARCH(GPU_brand[GPU brand text], B543)), ""))</f>
        <v>Unika</v>
      </c>
      <c r="H543" t="s">
        <v>1076</v>
      </c>
      <c r="I543" t="s">
        <v>1123</v>
      </c>
    </row>
    <row r="544" spans="1:9" x14ac:dyDescent="0.25">
      <c r="A544" t="s">
        <v>761</v>
      </c>
      <c r="B544" t="s">
        <v>1024</v>
      </c>
      <c r="C544">
        <v>8190000</v>
      </c>
      <c r="D544">
        <v>8190000</v>
      </c>
      <c r="E544" t="s">
        <v>1025</v>
      </c>
      <c r="F544" t="s">
        <v>12</v>
      </c>
      <c r="G544" t="str">
        <f>_xlfn.TEXTJOIN(",",TRUE,_xlfn._xlws.FILTER(GPU_brand[GPU brand], (GPU_brand[GPU brand text]&lt;&gt;"") * ISNUMBER(SEARCH(GPU_brand[GPU brand text], B544)), ""))</f>
        <v>SimorChip</v>
      </c>
      <c r="H544" t="s">
        <v>1057</v>
      </c>
      <c r="I544" t="s">
        <v>1116</v>
      </c>
    </row>
    <row r="545" spans="1:9" x14ac:dyDescent="0.25">
      <c r="A545" t="s">
        <v>761</v>
      </c>
      <c r="B545" t="s">
        <v>1026</v>
      </c>
      <c r="C545">
        <v>1790000</v>
      </c>
      <c r="D545">
        <v>1790000</v>
      </c>
      <c r="E545" t="s">
        <v>1027</v>
      </c>
      <c r="F545" t="s">
        <v>12</v>
      </c>
      <c r="G545" t="str">
        <f>_xlfn.TEXTJOIN(",",TRUE,_xlfn._xlws.FILTER(GPU_brand[GPU brand], (GPU_brand[GPU brand text]&lt;&gt;"") * ISNUMBER(SEARCH(GPU_brand[GPU brand text], B545)), ""))</f>
        <v>T-WOLF</v>
      </c>
      <c r="H545" t="str">
        <f>_xlfn.TEXTJOIN(",",TRUE,_xlfn._xlws.FILTER(Chipset_Table[Chipset], (Chipset_Table[Chipset text]&lt;&gt;"") * ISNUMBER(SEARCH(Chipset_Table[Chipset text], B545)), ""))</f>
        <v>RX 550</v>
      </c>
      <c r="I545" t="s">
        <v>1124</v>
      </c>
    </row>
  </sheetData>
  <hyperlinks>
    <hyperlink ref="E434" r:id="rId1" xr:uid="{00BCE358-0506-41EB-BE21-8922C53133DF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abSelected="1" workbookViewId="0">
      <selection activeCell="G22" sqref="G22"/>
    </sheetView>
    <sheetView workbookViewId="1"/>
  </sheetViews>
  <sheetFormatPr defaultRowHeight="15" x14ac:dyDescent="0.25"/>
  <sheetData>
    <row r="1" spans="1:8" x14ac:dyDescent="0.25">
      <c r="A1" t="s">
        <v>1028</v>
      </c>
      <c r="B1" t="s">
        <v>1029</v>
      </c>
      <c r="D1" t="s">
        <v>1030</v>
      </c>
      <c r="E1" t="s">
        <v>1031</v>
      </c>
      <c r="G1" t="s">
        <v>1032</v>
      </c>
      <c r="H1" t="s">
        <v>1033</v>
      </c>
    </row>
    <row r="2" spans="1:8" x14ac:dyDescent="0.25">
      <c r="A2" t="s">
        <v>1034</v>
      </c>
      <c r="B2" t="s">
        <v>1034</v>
      </c>
      <c r="D2" t="s">
        <v>1057</v>
      </c>
      <c r="E2" t="s">
        <v>1057</v>
      </c>
      <c r="G2" t="s">
        <v>1036</v>
      </c>
      <c r="H2" t="s">
        <v>1036</v>
      </c>
    </row>
    <row r="3" spans="1:8" x14ac:dyDescent="0.25">
      <c r="A3" t="s">
        <v>1037</v>
      </c>
      <c r="B3" t="s">
        <v>1037</v>
      </c>
      <c r="D3" t="s">
        <v>1055</v>
      </c>
      <c r="E3" t="s">
        <v>1055</v>
      </c>
      <c r="G3" t="s">
        <v>1114</v>
      </c>
      <c r="H3" t="s">
        <v>1114</v>
      </c>
    </row>
    <row r="4" spans="1:8" x14ac:dyDescent="0.25">
      <c r="A4" t="s">
        <v>1038</v>
      </c>
      <c r="B4" t="s">
        <v>1038</v>
      </c>
      <c r="D4" t="s">
        <v>1056</v>
      </c>
      <c r="E4" t="s">
        <v>1056</v>
      </c>
      <c r="G4" t="s">
        <v>1115</v>
      </c>
      <c r="H4" t="s">
        <v>1116</v>
      </c>
    </row>
    <row r="5" spans="1:8" x14ac:dyDescent="0.25">
      <c r="A5" t="s">
        <v>1039</v>
      </c>
      <c r="B5" t="s">
        <v>1039</v>
      </c>
      <c r="D5" t="s">
        <v>1058</v>
      </c>
      <c r="E5" t="s">
        <v>1058</v>
      </c>
      <c r="G5" t="s">
        <v>1117</v>
      </c>
      <c r="H5" t="s">
        <v>1117</v>
      </c>
    </row>
    <row r="6" spans="1:8" x14ac:dyDescent="0.25">
      <c r="A6" t="s">
        <v>1040</v>
      </c>
      <c r="B6" t="s">
        <v>1040</v>
      </c>
      <c r="D6" t="s">
        <v>1059</v>
      </c>
      <c r="E6" t="s">
        <v>1059</v>
      </c>
      <c r="G6" t="s">
        <v>1118</v>
      </c>
      <c r="H6" t="s">
        <v>1114</v>
      </c>
    </row>
    <row r="7" spans="1:8" x14ac:dyDescent="0.25">
      <c r="A7" t="s">
        <v>1041</v>
      </c>
      <c r="B7" t="s">
        <v>1041</v>
      </c>
      <c r="D7" t="s">
        <v>1060</v>
      </c>
      <c r="E7" t="s">
        <v>1060</v>
      </c>
      <c r="G7" t="s">
        <v>1119</v>
      </c>
      <c r="H7" t="s">
        <v>1116</v>
      </c>
    </row>
    <row r="8" spans="1:8" x14ac:dyDescent="0.25">
      <c r="A8" t="s">
        <v>1042</v>
      </c>
      <c r="B8" t="s">
        <v>1042</v>
      </c>
      <c r="D8" t="s">
        <v>1061</v>
      </c>
      <c r="E8" t="s">
        <v>1061</v>
      </c>
      <c r="G8" t="s">
        <v>1120</v>
      </c>
      <c r="H8" t="s">
        <v>1117</v>
      </c>
    </row>
    <row r="9" spans="1:8" x14ac:dyDescent="0.25">
      <c r="A9" t="s">
        <v>1043</v>
      </c>
      <c r="B9" t="s">
        <v>1043</v>
      </c>
      <c r="D9" t="s">
        <v>1062</v>
      </c>
      <c r="E9" t="s">
        <v>1062</v>
      </c>
      <c r="G9" t="s">
        <v>1121</v>
      </c>
      <c r="H9" t="s">
        <v>1116</v>
      </c>
    </row>
    <row r="10" spans="1:8" x14ac:dyDescent="0.25">
      <c r="A10" t="s">
        <v>1044</v>
      </c>
      <c r="B10" t="s">
        <v>1044</v>
      </c>
      <c r="D10" t="s">
        <v>1063</v>
      </c>
      <c r="E10" t="s">
        <v>1063</v>
      </c>
      <c r="G10" t="s">
        <v>1122</v>
      </c>
      <c r="H10" t="s">
        <v>1036</v>
      </c>
    </row>
    <row r="11" spans="1:8" x14ac:dyDescent="0.25">
      <c r="A11" t="s">
        <v>1045</v>
      </c>
      <c r="B11" t="s">
        <v>1045</v>
      </c>
      <c r="D11" t="s">
        <v>1064</v>
      </c>
      <c r="E11" t="s">
        <v>1064</v>
      </c>
      <c r="G11" t="s">
        <v>1123</v>
      </c>
      <c r="H11" t="s">
        <v>1123</v>
      </c>
    </row>
    <row r="12" spans="1:8" x14ac:dyDescent="0.25">
      <c r="A12" t="s">
        <v>1046</v>
      </c>
      <c r="B12" t="s">
        <v>1046</v>
      </c>
      <c r="D12" t="s">
        <v>1065</v>
      </c>
      <c r="E12" t="s">
        <v>1065</v>
      </c>
      <c r="G12" t="s">
        <v>1124</v>
      </c>
      <c r="H12" t="s">
        <v>1124</v>
      </c>
    </row>
    <row r="13" spans="1:8" x14ac:dyDescent="0.25">
      <c r="A13" t="s">
        <v>1047</v>
      </c>
      <c r="B13" t="s">
        <v>1047</v>
      </c>
      <c r="D13" t="s">
        <v>1066</v>
      </c>
      <c r="E13" t="s">
        <v>1066</v>
      </c>
      <c r="G13" t="s">
        <v>1125</v>
      </c>
      <c r="H13" t="s">
        <v>1123</v>
      </c>
    </row>
    <row r="14" spans="1:8" x14ac:dyDescent="0.25">
      <c r="A14" t="s">
        <v>1048</v>
      </c>
      <c r="B14" t="s">
        <v>1048</v>
      </c>
      <c r="D14" t="s">
        <v>1067</v>
      </c>
      <c r="E14" t="s">
        <v>1067</v>
      </c>
      <c r="G14" t="s">
        <v>1126</v>
      </c>
      <c r="H14" t="s">
        <v>1127</v>
      </c>
    </row>
    <row r="15" spans="1:8" x14ac:dyDescent="0.25">
      <c r="A15" t="s">
        <v>1049</v>
      </c>
      <c r="B15" t="s">
        <v>1049</v>
      </c>
      <c r="D15" t="s">
        <v>1068</v>
      </c>
      <c r="E15" t="s">
        <v>1068</v>
      </c>
      <c r="G15" t="s">
        <v>1128</v>
      </c>
      <c r="H15" t="s">
        <v>1124</v>
      </c>
    </row>
    <row r="16" spans="1:8" x14ac:dyDescent="0.25">
      <c r="A16" t="s">
        <v>1050</v>
      </c>
      <c r="B16" t="s">
        <v>1050</v>
      </c>
      <c r="D16" t="s">
        <v>1069</v>
      </c>
      <c r="E16" t="s">
        <v>1069</v>
      </c>
      <c r="G16" t="s">
        <v>1129</v>
      </c>
      <c r="H16" t="s">
        <v>1130</v>
      </c>
    </row>
    <row r="17" spans="1:8" x14ac:dyDescent="0.25">
      <c r="A17" t="s">
        <v>1051</v>
      </c>
      <c r="B17" t="s">
        <v>1051</v>
      </c>
      <c r="D17" t="s">
        <v>1070</v>
      </c>
      <c r="E17" t="s">
        <v>1070</v>
      </c>
      <c r="G17" t="s">
        <v>1131</v>
      </c>
      <c r="H17" t="s">
        <v>1131</v>
      </c>
    </row>
    <row r="18" spans="1:8" x14ac:dyDescent="0.25">
      <c r="A18" t="s">
        <v>1052</v>
      </c>
      <c r="B18" t="s">
        <v>1052</v>
      </c>
      <c r="D18" t="s">
        <v>1071</v>
      </c>
      <c r="E18" t="s">
        <v>1071</v>
      </c>
      <c r="G18" t="s">
        <v>1132</v>
      </c>
      <c r="H18" t="s">
        <v>1132</v>
      </c>
    </row>
    <row r="19" spans="1:8" x14ac:dyDescent="0.25">
      <c r="A19" t="s">
        <v>1053</v>
      </c>
      <c r="B19" t="s">
        <v>1053</v>
      </c>
      <c r="D19" t="s">
        <v>1072</v>
      </c>
      <c r="E19" t="s">
        <v>1072</v>
      </c>
      <c r="G19" t="s">
        <v>1133</v>
      </c>
      <c r="H19" t="s">
        <v>1114</v>
      </c>
    </row>
    <row r="20" spans="1:8" x14ac:dyDescent="0.25">
      <c r="D20" t="s">
        <v>1073</v>
      </c>
      <c r="E20" t="s">
        <v>1073</v>
      </c>
      <c r="G20" t="s">
        <v>501</v>
      </c>
      <c r="H20" t="s">
        <v>1124</v>
      </c>
    </row>
    <row r="21" spans="1:8" x14ac:dyDescent="0.25">
      <c r="D21" t="s">
        <v>1074</v>
      </c>
      <c r="E21" t="s">
        <v>1074</v>
      </c>
      <c r="G21" t="s">
        <v>898</v>
      </c>
      <c r="H21" t="s">
        <v>1114</v>
      </c>
    </row>
    <row r="22" spans="1:8" x14ac:dyDescent="0.25">
      <c r="D22" t="s">
        <v>1075</v>
      </c>
      <c r="E22" t="s">
        <v>1075</v>
      </c>
    </row>
    <row r="23" spans="1:8" x14ac:dyDescent="0.25">
      <c r="D23" t="s">
        <v>1076</v>
      </c>
      <c r="E23" t="s">
        <v>1076</v>
      </c>
    </row>
    <row r="24" spans="1:8" x14ac:dyDescent="0.25">
      <c r="D24" t="s">
        <v>1077</v>
      </c>
      <c r="E24" t="s">
        <v>1077</v>
      </c>
    </row>
    <row r="25" spans="1:8" x14ac:dyDescent="0.25">
      <c r="D25" t="s">
        <v>1078</v>
      </c>
      <c r="E25" t="s">
        <v>1078</v>
      </c>
    </row>
    <row r="26" spans="1:8" x14ac:dyDescent="0.25">
      <c r="D26" t="s">
        <v>1079</v>
      </c>
      <c r="E26" t="s">
        <v>1079</v>
      </c>
    </row>
    <row r="27" spans="1:8" x14ac:dyDescent="0.25">
      <c r="D27" t="s">
        <v>1080</v>
      </c>
      <c r="E27" t="s">
        <v>1080</v>
      </c>
    </row>
    <row r="28" spans="1:8" x14ac:dyDescent="0.25">
      <c r="D28" t="s">
        <v>1081</v>
      </c>
      <c r="E28" t="s">
        <v>1081</v>
      </c>
    </row>
    <row r="29" spans="1:8" x14ac:dyDescent="0.25">
      <c r="D29" t="s">
        <v>1082</v>
      </c>
      <c r="E29" t="s">
        <v>1082</v>
      </c>
    </row>
    <row r="30" spans="1:8" x14ac:dyDescent="0.25">
      <c r="D30" t="s">
        <v>1083</v>
      </c>
      <c r="E30" t="s">
        <v>1083</v>
      </c>
    </row>
    <row r="31" spans="1:8" x14ac:dyDescent="0.25">
      <c r="D31" t="s">
        <v>1084</v>
      </c>
      <c r="E31" t="s">
        <v>1084</v>
      </c>
    </row>
    <row r="32" spans="1:8" x14ac:dyDescent="0.25">
      <c r="D32" t="s">
        <v>1085</v>
      </c>
      <c r="E32" t="s">
        <v>1085</v>
      </c>
    </row>
    <row r="33" spans="4:5" x14ac:dyDescent="0.25">
      <c r="D33" t="s">
        <v>1035</v>
      </c>
      <c r="E33" t="s">
        <v>1035</v>
      </c>
    </row>
    <row r="34" spans="4:5" x14ac:dyDescent="0.25">
      <c r="D34" t="s">
        <v>1086</v>
      </c>
      <c r="E34" t="s">
        <v>1062</v>
      </c>
    </row>
    <row r="35" spans="4:5" x14ac:dyDescent="0.25">
      <c r="D35" t="s">
        <v>1087</v>
      </c>
      <c r="E35" t="s">
        <v>1087</v>
      </c>
    </row>
    <row r="36" spans="4:5" x14ac:dyDescent="0.25">
      <c r="D36" t="s">
        <v>1088</v>
      </c>
      <c r="E36" t="s">
        <v>1088</v>
      </c>
    </row>
    <row r="37" spans="4:5" x14ac:dyDescent="0.25">
      <c r="D37" t="s">
        <v>1089</v>
      </c>
      <c r="E37" t="s">
        <v>1089</v>
      </c>
    </row>
    <row r="38" spans="4:5" x14ac:dyDescent="0.25">
      <c r="D38" t="s">
        <v>1090</v>
      </c>
      <c r="E38" t="s">
        <v>1091</v>
      </c>
    </row>
    <row r="39" spans="4:5" x14ac:dyDescent="0.25">
      <c r="D39" t="s">
        <v>1092</v>
      </c>
      <c r="E39" t="s">
        <v>1092</v>
      </c>
    </row>
    <row r="40" spans="4:5" x14ac:dyDescent="0.25">
      <c r="D40" t="s">
        <v>1093</v>
      </c>
      <c r="E40" t="s">
        <v>1094</v>
      </c>
    </row>
    <row r="41" spans="4:5" x14ac:dyDescent="0.25">
      <c r="D41" t="s">
        <v>1095</v>
      </c>
      <c r="E41" t="s">
        <v>1095</v>
      </c>
    </row>
    <row r="42" spans="4:5" x14ac:dyDescent="0.25">
      <c r="D42" t="s">
        <v>1096</v>
      </c>
      <c r="E42" t="s">
        <v>1096</v>
      </c>
    </row>
    <row r="43" spans="4:5" x14ac:dyDescent="0.25">
      <c r="D43" t="s">
        <v>1091</v>
      </c>
      <c r="E43" t="s">
        <v>1091</v>
      </c>
    </row>
    <row r="44" spans="4:5" x14ac:dyDescent="0.25">
      <c r="D44" t="s">
        <v>1097</v>
      </c>
      <c r="E44" t="s">
        <v>1097</v>
      </c>
    </row>
    <row r="45" spans="4:5" x14ac:dyDescent="0.25">
      <c r="D45" t="s">
        <v>1098</v>
      </c>
      <c r="E45" t="s">
        <v>1098</v>
      </c>
    </row>
    <row r="46" spans="4:5" x14ac:dyDescent="0.25">
      <c r="D46" t="s">
        <v>1099</v>
      </c>
      <c r="E46" t="s">
        <v>1099</v>
      </c>
    </row>
    <row r="47" spans="4:5" x14ac:dyDescent="0.25">
      <c r="D47" t="s">
        <v>1100</v>
      </c>
      <c r="E47" t="s">
        <v>1101</v>
      </c>
    </row>
    <row r="48" spans="4:5" x14ac:dyDescent="0.25">
      <c r="D48" t="s">
        <v>1102</v>
      </c>
      <c r="E48" t="s">
        <v>1102</v>
      </c>
    </row>
    <row r="49" spans="4:5" x14ac:dyDescent="0.25">
      <c r="D49" t="s">
        <v>1103</v>
      </c>
      <c r="E49" t="s">
        <v>1104</v>
      </c>
    </row>
    <row r="50" spans="4:5" x14ac:dyDescent="0.25">
      <c r="D50" t="s">
        <v>1105</v>
      </c>
      <c r="E50" t="s">
        <v>1105</v>
      </c>
    </row>
    <row r="51" spans="4:5" x14ac:dyDescent="0.25">
      <c r="D51" t="s">
        <v>1106</v>
      </c>
      <c r="E51" t="s">
        <v>1106</v>
      </c>
    </row>
    <row r="52" spans="4:5" x14ac:dyDescent="0.25">
      <c r="D52" t="s">
        <v>1107</v>
      </c>
      <c r="E52" t="s">
        <v>1107</v>
      </c>
    </row>
    <row r="53" spans="4:5" x14ac:dyDescent="0.25">
      <c r="D53" t="s">
        <v>1101</v>
      </c>
      <c r="E53" t="s">
        <v>1101</v>
      </c>
    </row>
    <row r="54" spans="4:5" x14ac:dyDescent="0.25">
      <c r="D54" t="s">
        <v>1108</v>
      </c>
      <c r="E54" t="s">
        <v>1108</v>
      </c>
    </row>
    <row r="55" spans="4:5" x14ac:dyDescent="0.25">
      <c r="D55" t="s">
        <v>1109</v>
      </c>
      <c r="E55" t="s">
        <v>1109</v>
      </c>
    </row>
    <row r="56" spans="4:5" x14ac:dyDescent="0.25">
      <c r="D56" t="s">
        <v>1110</v>
      </c>
      <c r="E56" t="s">
        <v>1060</v>
      </c>
    </row>
    <row r="57" spans="4:5" x14ac:dyDescent="0.25">
      <c r="D57" t="s">
        <v>1094</v>
      </c>
      <c r="E57" t="s">
        <v>1094</v>
      </c>
    </row>
    <row r="58" spans="4:5" x14ac:dyDescent="0.25">
      <c r="D58" t="s">
        <v>1111</v>
      </c>
      <c r="E58" t="s">
        <v>1111</v>
      </c>
    </row>
    <row r="59" spans="4:5" x14ac:dyDescent="0.25">
      <c r="D59" t="s">
        <v>1112</v>
      </c>
      <c r="E59" t="s">
        <v>1113</v>
      </c>
    </row>
  </sheetData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2026-05-11T10:02:54Z</dcterms:modified>
</cp:coreProperties>
</file>