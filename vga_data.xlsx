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crawlVGA\"/>
    </mc:Choice>
  </mc:AlternateContent>
  <xr:revisionPtr revIDLastSave="0" documentId="13_ncr:1_{AA287A9E-F4D8-407E-99E9-BA4738E25EB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GPU Lookup" sheetId="1" r:id="rId1"/>
    <sheet name="GPU 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23" i="1" l="1"/>
  <c r="H1623" i="1"/>
  <c r="G1623" i="1"/>
  <c r="I1622" i="1"/>
  <c r="H1622" i="1"/>
  <c r="G1622" i="1"/>
  <c r="I1621" i="1"/>
  <c r="H1621" i="1"/>
  <c r="G1621" i="1"/>
  <c r="I1620" i="1"/>
  <c r="H1620" i="1"/>
  <c r="G1620" i="1"/>
  <c r="I1619" i="1"/>
  <c r="H1619" i="1"/>
  <c r="G1619" i="1"/>
  <c r="I1618" i="1"/>
  <c r="H1618" i="1"/>
  <c r="G1618" i="1"/>
  <c r="I1617" i="1"/>
  <c r="H1617" i="1"/>
  <c r="G1617" i="1"/>
  <c r="I1616" i="1"/>
  <c r="H1616" i="1"/>
  <c r="G1616" i="1"/>
  <c r="I1615" i="1"/>
  <c r="H1615" i="1"/>
  <c r="G1615" i="1"/>
  <c r="I1614" i="1"/>
  <c r="H1614" i="1"/>
  <c r="G1614" i="1"/>
  <c r="I1613" i="1"/>
  <c r="H1613" i="1"/>
  <c r="G1613" i="1"/>
  <c r="I1612" i="1"/>
  <c r="H1612" i="1"/>
  <c r="G1612" i="1"/>
  <c r="I1611" i="1"/>
  <c r="H1611" i="1"/>
  <c r="G1611" i="1"/>
  <c r="I1610" i="1"/>
  <c r="H1610" i="1"/>
  <c r="G1610" i="1"/>
  <c r="I1609" i="1"/>
  <c r="H1609" i="1"/>
  <c r="G1609" i="1"/>
  <c r="I1608" i="1"/>
  <c r="H1608" i="1"/>
  <c r="G1608" i="1"/>
  <c r="I1607" i="1"/>
  <c r="H1607" i="1"/>
  <c r="G1607" i="1"/>
  <c r="I1606" i="1"/>
  <c r="H1606" i="1"/>
  <c r="G1606" i="1"/>
  <c r="I1605" i="1"/>
  <c r="H1605" i="1"/>
  <c r="G1605" i="1"/>
  <c r="I1604" i="1"/>
  <c r="H1604" i="1"/>
  <c r="G1604" i="1"/>
  <c r="I1603" i="1"/>
  <c r="H1603" i="1"/>
  <c r="G1603" i="1"/>
  <c r="I1602" i="1"/>
  <c r="H1602" i="1"/>
  <c r="G1602" i="1"/>
  <c r="I1601" i="1"/>
  <c r="H1601" i="1"/>
  <c r="G1601" i="1"/>
  <c r="I1600" i="1"/>
  <c r="H1600" i="1"/>
  <c r="G1600" i="1"/>
  <c r="I1599" i="1"/>
  <c r="H1599" i="1"/>
  <c r="G1599" i="1"/>
  <c r="I1598" i="1"/>
  <c r="H1598" i="1"/>
  <c r="G1598" i="1"/>
  <c r="I1597" i="1"/>
  <c r="H1597" i="1"/>
  <c r="G1597" i="1"/>
  <c r="I1596" i="1"/>
  <c r="H1596" i="1"/>
  <c r="G1596" i="1"/>
  <c r="I1595" i="1"/>
  <c r="H1595" i="1"/>
  <c r="G1595" i="1"/>
  <c r="I1594" i="1"/>
  <c r="H1594" i="1"/>
  <c r="G1594" i="1"/>
  <c r="I1593" i="1"/>
  <c r="H1593" i="1"/>
  <c r="G1593" i="1"/>
  <c r="I1592" i="1"/>
  <c r="H1592" i="1"/>
  <c r="G1592" i="1"/>
  <c r="I1591" i="1"/>
  <c r="H1591" i="1"/>
  <c r="G1591" i="1"/>
  <c r="I1590" i="1"/>
  <c r="H1590" i="1"/>
  <c r="G1590" i="1"/>
  <c r="I1589" i="1"/>
  <c r="H1589" i="1"/>
  <c r="G1589" i="1"/>
  <c r="I1588" i="1"/>
  <c r="H1588" i="1"/>
  <c r="G1588" i="1"/>
  <c r="I1587" i="1"/>
  <c r="H1587" i="1"/>
  <c r="G1587" i="1"/>
  <c r="I1586" i="1"/>
  <c r="H1586" i="1"/>
  <c r="G1586" i="1"/>
  <c r="I1585" i="1"/>
  <c r="H1585" i="1"/>
  <c r="G1585" i="1"/>
  <c r="I1584" i="1"/>
  <c r="H1584" i="1"/>
  <c r="G1584" i="1"/>
  <c r="I1583" i="1"/>
  <c r="H1583" i="1"/>
  <c r="G1583" i="1"/>
  <c r="I1582" i="1"/>
  <c r="H1582" i="1"/>
  <c r="G1582" i="1"/>
  <c r="I1581" i="1"/>
  <c r="H1581" i="1"/>
  <c r="G1581" i="1"/>
  <c r="I1580" i="1"/>
  <c r="H1580" i="1"/>
  <c r="G1580" i="1"/>
  <c r="I1579" i="1"/>
  <c r="H1579" i="1"/>
  <c r="G1579" i="1"/>
  <c r="I1578" i="1"/>
  <c r="H1578" i="1"/>
  <c r="G1578" i="1"/>
  <c r="I1577" i="1"/>
  <c r="H1577" i="1"/>
  <c r="G1577" i="1"/>
  <c r="I1576" i="1"/>
  <c r="H1576" i="1"/>
  <c r="G1576" i="1"/>
  <c r="I1575" i="1"/>
  <c r="H1575" i="1"/>
  <c r="G1575" i="1"/>
  <c r="I1574" i="1"/>
  <c r="H1574" i="1"/>
  <c r="G1574" i="1"/>
  <c r="I1573" i="1"/>
  <c r="H1573" i="1"/>
  <c r="G1573" i="1"/>
  <c r="I1572" i="1"/>
  <c r="H1572" i="1"/>
  <c r="G1572" i="1"/>
  <c r="I1571" i="1"/>
  <c r="H1571" i="1"/>
  <c r="G1571" i="1"/>
  <c r="I1570" i="1"/>
  <c r="H1570" i="1"/>
  <c r="G1570" i="1"/>
  <c r="I1569" i="1"/>
  <c r="H1569" i="1"/>
  <c r="G1569" i="1"/>
  <c r="I1568" i="1"/>
  <c r="H1568" i="1"/>
  <c r="G1568" i="1"/>
  <c r="I1567" i="1"/>
  <c r="H1567" i="1"/>
  <c r="G1567" i="1"/>
  <c r="I1566" i="1"/>
  <c r="H1566" i="1"/>
  <c r="G1566" i="1"/>
  <c r="I1565" i="1"/>
  <c r="H1565" i="1"/>
  <c r="G1565" i="1"/>
  <c r="I1564" i="1"/>
  <c r="H1564" i="1"/>
  <c r="G1564" i="1"/>
  <c r="I1563" i="1"/>
  <c r="H1563" i="1"/>
  <c r="G1563" i="1"/>
  <c r="I1562" i="1"/>
  <c r="H1562" i="1"/>
  <c r="G1562" i="1"/>
  <c r="I1561" i="1"/>
  <c r="H1561" i="1"/>
  <c r="G1561" i="1"/>
  <c r="I1560" i="1"/>
  <c r="H1560" i="1"/>
  <c r="G1560" i="1"/>
  <c r="I1559" i="1"/>
  <c r="H1559" i="1"/>
  <c r="G1559" i="1"/>
  <c r="I1558" i="1"/>
  <c r="H1558" i="1"/>
  <c r="G1558" i="1"/>
  <c r="I1557" i="1"/>
  <c r="H1557" i="1"/>
  <c r="G1557" i="1"/>
  <c r="I1556" i="1"/>
  <c r="H1556" i="1"/>
  <c r="G1556" i="1"/>
  <c r="I1555" i="1"/>
  <c r="H1555" i="1"/>
  <c r="G1555" i="1"/>
  <c r="I1554" i="1"/>
  <c r="H1554" i="1"/>
  <c r="G1554" i="1"/>
  <c r="I1553" i="1"/>
  <c r="H1553" i="1"/>
  <c r="G1553" i="1"/>
  <c r="I1552" i="1"/>
  <c r="H1552" i="1"/>
  <c r="G1552" i="1"/>
  <c r="I1551" i="1"/>
  <c r="H1551" i="1"/>
  <c r="G1551" i="1"/>
  <c r="I1550" i="1"/>
  <c r="H1550" i="1"/>
  <c r="G1550" i="1"/>
  <c r="I1549" i="1"/>
  <c r="H1549" i="1"/>
  <c r="G1549" i="1"/>
  <c r="I1548" i="1"/>
  <c r="H1548" i="1"/>
  <c r="G1548" i="1"/>
  <c r="I1547" i="1"/>
  <c r="H1547" i="1"/>
  <c r="G1547" i="1"/>
  <c r="I1546" i="1"/>
  <c r="H1546" i="1"/>
  <c r="G1546" i="1"/>
  <c r="I1545" i="1"/>
  <c r="H1545" i="1"/>
  <c r="G1545" i="1"/>
  <c r="I1544" i="1"/>
  <c r="H1544" i="1"/>
  <c r="G1544" i="1"/>
  <c r="I1543" i="1"/>
  <c r="H1543" i="1"/>
  <c r="G1543" i="1"/>
  <c r="I1542" i="1"/>
  <c r="H1542" i="1"/>
  <c r="G1542" i="1"/>
  <c r="I1541" i="1"/>
  <c r="H1541" i="1"/>
  <c r="G1541" i="1"/>
  <c r="I1540" i="1"/>
  <c r="H1540" i="1"/>
  <c r="G1540" i="1"/>
  <c r="I1539" i="1"/>
  <c r="H1539" i="1"/>
  <c r="G1539" i="1"/>
  <c r="I1538" i="1"/>
  <c r="H1538" i="1"/>
  <c r="G1538" i="1"/>
  <c r="I1537" i="1"/>
  <c r="H1537" i="1"/>
  <c r="G1537" i="1"/>
  <c r="I1536" i="1"/>
  <c r="H1536" i="1"/>
  <c r="G1536" i="1"/>
  <c r="I1535" i="1"/>
  <c r="H1535" i="1"/>
  <c r="G1535" i="1"/>
  <c r="I1534" i="1"/>
  <c r="H1534" i="1"/>
  <c r="G1534" i="1"/>
  <c r="I1533" i="1"/>
  <c r="H1533" i="1"/>
  <c r="G1533" i="1"/>
  <c r="I1532" i="1"/>
  <c r="H1532" i="1"/>
  <c r="G1532" i="1"/>
  <c r="I1531" i="1"/>
  <c r="H1531" i="1"/>
  <c r="G1531" i="1"/>
  <c r="I1530" i="1"/>
  <c r="H1530" i="1"/>
  <c r="G1530" i="1"/>
  <c r="I1529" i="1"/>
  <c r="H1529" i="1"/>
  <c r="G1529" i="1"/>
  <c r="I1528" i="1"/>
  <c r="H1528" i="1"/>
  <c r="G1528" i="1"/>
  <c r="I1527" i="1"/>
  <c r="H1527" i="1"/>
  <c r="G1527" i="1"/>
  <c r="I1526" i="1"/>
  <c r="H1526" i="1"/>
  <c r="G1526" i="1"/>
  <c r="I1525" i="1"/>
  <c r="H1525" i="1"/>
  <c r="G1525" i="1"/>
  <c r="I1524" i="1"/>
  <c r="H1524" i="1"/>
  <c r="G1524" i="1"/>
  <c r="I1523" i="1"/>
  <c r="H1523" i="1"/>
  <c r="G1523" i="1"/>
  <c r="I1522" i="1"/>
  <c r="H1522" i="1"/>
  <c r="G1522" i="1"/>
  <c r="I1521" i="1"/>
  <c r="H1521" i="1"/>
  <c r="G1521" i="1"/>
  <c r="I1520" i="1"/>
  <c r="H1520" i="1"/>
  <c r="G1520" i="1"/>
  <c r="I1519" i="1"/>
  <c r="H1519" i="1"/>
  <c r="G1519" i="1"/>
  <c r="I1518" i="1"/>
  <c r="H1518" i="1"/>
  <c r="G1518" i="1"/>
  <c r="I1517" i="1"/>
  <c r="H1517" i="1"/>
  <c r="G1517" i="1"/>
  <c r="I1516" i="1"/>
  <c r="H1516" i="1"/>
  <c r="G1516" i="1"/>
  <c r="I1515" i="1"/>
  <c r="H1515" i="1"/>
  <c r="G1515" i="1"/>
  <c r="I1514" i="1"/>
  <c r="H1514" i="1"/>
  <c r="G1514" i="1"/>
  <c r="I1513" i="1"/>
  <c r="H1513" i="1"/>
  <c r="G1513" i="1"/>
  <c r="I1512" i="1"/>
  <c r="H1512" i="1"/>
  <c r="G1512" i="1"/>
  <c r="I1511" i="1"/>
  <c r="H1511" i="1"/>
  <c r="G1511" i="1"/>
  <c r="I1510" i="1"/>
  <c r="H1510" i="1"/>
  <c r="G1510" i="1"/>
  <c r="I1509" i="1"/>
  <c r="H1509" i="1"/>
  <c r="G1509" i="1"/>
  <c r="I1508" i="1"/>
  <c r="H1508" i="1"/>
  <c r="G1508" i="1"/>
  <c r="I1507" i="1"/>
  <c r="H1507" i="1"/>
  <c r="G1507" i="1"/>
  <c r="I1506" i="1"/>
  <c r="H1506" i="1"/>
  <c r="G1506" i="1"/>
  <c r="I1505" i="1"/>
  <c r="H1505" i="1"/>
  <c r="G1505" i="1"/>
  <c r="I1504" i="1"/>
  <c r="H1504" i="1"/>
  <c r="G1504" i="1"/>
  <c r="I1503" i="1"/>
  <c r="H1503" i="1"/>
  <c r="G1503" i="1"/>
  <c r="I1502" i="1"/>
  <c r="H1502" i="1"/>
  <c r="G1502" i="1"/>
  <c r="I1501" i="1"/>
  <c r="H1501" i="1"/>
  <c r="G1501" i="1"/>
  <c r="I1500" i="1"/>
  <c r="H1500" i="1"/>
  <c r="G1500" i="1"/>
  <c r="I1499" i="1"/>
  <c r="H1499" i="1"/>
  <c r="G1499" i="1"/>
  <c r="I1498" i="1"/>
  <c r="H1498" i="1"/>
  <c r="G1498" i="1"/>
  <c r="I1497" i="1"/>
  <c r="H1497" i="1"/>
  <c r="G1497" i="1"/>
  <c r="I1496" i="1"/>
  <c r="H1496" i="1"/>
  <c r="G1496" i="1"/>
  <c r="I1495" i="1"/>
  <c r="H1495" i="1"/>
  <c r="G1495" i="1"/>
  <c r="I1494" i="1"/>
  <c r="H1494" i="1"/>
  <c r="G1494" i="1"/>
  <c r="I1493" i="1"/>
  <c r="H1493" i="1"/>
  <c r="G1493" i="1"/>
  <c r="I1492" i="1"/>
  <c r="H1492" i="1"/>
  <c r="G1492" i="1"/>
  <c r="I1491" i="1"/>
  <c r="H1491" i="1"/>
  <c r="G1491" i="1"/>
  <c r="I1490" i="1"/>
  <c r="H1490" i="1"/>
  <c r="G1490" i="1"/>
  <c r="I1489" i="1"/>
  <c r="H1489" i="1"/>
  <c r="G1489" i="1"/>
  <c r="I1488" i="1"/>
  <c r="H1488" i="1"/>
  <c r="G1488" i="1"/>
  <c r="I1487" i="1"/>
  <c r="H1487" i="1"/>
  <c r="G1487" i="1"/>
  <c r="I1486" i="1"/>
  <c r="H1486" i="1"/>
  <c r="G1486" i="1"/>
  <c r="I1485" i="1"/>
  <c r="H1485" i="1"/>
  <c r="G1485" i="1"/>
  <c r="I1484" i="1"/>
  <c r="H1484" i="1"/>
  <c r="G1484" i="1"/>
  <c r="I1483" i="1"/>
  <c r="H1483" i="1"/>
  <c r="G1483" i="1"/>
  <c r="I1482" i="1"/>
  <c r="H1482" i="1"/>
  <c r="G1482" i="1"/>
  <c r="I1481" i="1"/>
  <c r="H1481" i="1"/>
  <c r="G1481" i="1"/>
  <c r="I1480" i="1"/>
  <c r="H1480" i="1"/>
  <c r="G1480" i="1"/>
  <c r="I1479" i="1"/>
  <c r="H1479" i="1"/>
  <c r="G1479" i="1"/>
  <c r="I1478" i="1"/>
  <c r="H1478" i="1"/>
  <c r="G1478" i="1"/>
  <c r="I1477" i="1"/>
  <c r="H1477" i="1"/>
  <c r="G1477" i="1"/>
  <c r="I1476" i="1"/>
  <c r="H1476" i="1"/>
  <c r="G1476" i="1"/>
  <c r="I1475" i="1"/>
  <c r="H1475" i="1"/>
  <c r="G1475" i="1"/>
  <c r="I1474" i="1"/>
  <c r="H1474" i="1"/>
  <c r="G1474" i="1"/>
  <c r="I1473" i="1"/>
  <c r="H1473" i="1"/>
  <c r="G1473" i="1"/>
  <c r="I1472" i="1"/>
  <c r="H1472" i="1"/>
  <c r="G1472" i="1"/>
  <c r="I1471" i="1"/>
  <c r="H1471" i="1"/>
  <c r="G1471" i="1"/>
  <c r="I1470" i="1"/>
  <c r="H1470" i="1"/>
  <c r="G1470" i="1"/>
  <c r="I1469" i="1"/>
  <c r="H1469" i="1"/>
  <c r="G1469" i="1"/>
  <c r="I1468" i="1"/>
  <c r="H1468" i="1"/>
  <c r="G1468" i="1"/>
  <c r="I1467" i="1"/>
  <c r="H1467" i="1"/>
  <c r="G1467" i="1"/>
  <c r="I1466" i="1"/>
  <c r="H1466" i="1"/>
  <c r="G1466" i="1"/>
  <c r="I1465" i="1"/>
  <c r="H1465" i="1"/>
  <c r="G1465" i="1"/>
  <c r="I1464" i="1"/>
  <c r="H1464" i="1"/>
  <c r="G1464" i="1"/>
  <c r="I1463" i="1"/>
  <c r="H1463" i="1"/>
  <c r="G1463" i="1"/>
  <c r="I1462" i="1"/>
  <c r="H1462" i="1"/>
  <c r="G1462" i="1"/>
  <c r="I1461" i="1"/>
  <c r="H1461" i="1"/>
  <c r="G1461" i="1"/>
  <c r="I1460" i="1"/>
  <c r="H1460" i="1"/>
  <c r="G1460" i="1"/>
  <c r="I1459" i="1"/>
  <c r="H1459" i="1"/>
  <c r="G1459" i="1"/>
  <c r="I1457" i="1"/>
  <c r="H1457" i="1"/>
  <c r="G1457" i="1"/>
  <c r="I1456" i="1"/>
  <c r="H1456" i="1"/>
  <c r="G1456" i="1"/>
  <c r="I1455" i="1"/>
  <c r="H1455" i="1"/>
  <c r="G1455" i="1"/>
  <c r="I1454" i="1"/>
  <c r="H1454" i="1"/>
  <c r="G1454" i="1"/>
  <c r="I1453" i="1"/>
  <c r="H1453" i="1"/>
  <c r="G1453" i="1"/>
  <c r="I1452" i="1"/>
  <c r="H1452" i="1"/>
  <c r="G1452" i="1"/>
  <c r="I1451" i="1"/>
  <c r="H1451" i="1"/>
  <c r="G1451" i="1"/>
  <c r="I1450" i="1"/>
  <c r="H1450" i="1"/>
  <c r="G1450" i="1"/>
  <c r="I1449" i="1"/>
  <c r="H1449" i="1"/>
  <c r="G1449" i="1"/>
  <c r="I1448" i="1"/>
  <c r="H1448" i="1"/>
  <c r="G1448" i="1"/>
  <c r="I1447" i="1"/>
  <c r="H1447" i="1"/>
  <c r="G1447" i="1"/>
  <c r="I1446" i="1"/>
  <c r="H1446" i="1"/>
  <c r="G1446" i="1"/>
  <c r="I1445" i="1"/>
  <c r="H1445" i="1"/>
  <c r="G1445" i="1"/>
  <c r="I1444" i="1"/>
  <c r="H1444" i="1"/>
  <c r="G1444" i="1"/>
  <c r="I1443" i="1"/>
  <c r="H1443" i="1"/>
  <c r="G1443" i="1"/>
  <c r="I1442" i="1"/>
  <c r="H1442" i="1"/>
  <c r="G1442" i="1"/>
  <c r="I1441" i="1"/>
  <c r="H1441" i="1"/>
  <c r="G1441" i="1"/>
  <c r="I1440" i="1"/>
  <c r="H1440" i="1"/>
  <c r="G1440" i="1"/>
  <c r="I1439" i="1"/>
  <c r="H1439" i="1"/>
  <c r="G1439" i="1"/>
  <c r="I1434" i="1"/>
  <c r="H1434" i="1"/>
  <c r="G1434" i="1"/>
  <c r="I1433" i="1"/>
  <c r="H1433" i="1"/>
  <c r="G1433" i="1"/>
  <c r="I1432" i="1"/>
  <c r="H1432" i="1"/>
  <c r="G1432" i="1"/>
  <c r="I1431" i="1"/>
  <c r="H1431" i="1"/>
  <c r="G1431" i="1"/>
  <c r="I1430" i="1"/>
  <c r="H1430" i="1"/>
  <c r="G1430" i="1"/>
  <c r="I1429" i="1"/>
  <c r="H1429" i="1"/>
  <c r="G1429" i="1"/>
  <c r="I1428" i="1"/>
  <c r="H1428" i="1"/>
  <c r="G1428" i="1"/>
  <c r="I1427" i="1"/>
  <c r="H1427" i="1"/>
  <c r="G1427" i="1"/>
  <c r="I1426" i="1"/>
  <c r="H1426" i="1"/>
  <c r="G1426" i="1"/>
  <c r="I1425" i="1"/>
  <c r="H1425" i="1"/>
  <c r="G1425" i="1"/>
  <c r="I1424" i="1"/>
  <c r="H1424" i="1"/>
  <c r="G1424" i="1"/>
  <c r="I1423" i="1"/>
  <c r="H1423" i="1"/>
  <c r="G1423" i="1"/>
  <c r="I1422" i="1"/>
  <c r="H1422" i="1"/>
  <c r="G1422" i="1"/>
  <c r="I1421" i="1"/>
  <c r="H1421" i="1"/>
  <c r="G1421" i="1"/>
  <c r="I1420" i="1"/>
  <c r="H1420" i="1"/>
  <c r="G1420" i="1"/>
  <c r="I1419" i="1"/>
  <c r="H1419" i="1"/>
  <c r="G1419" i="1"/>
  <c r="I1418" i="1"/>
  <c r="H1418" i="1"/>
  <c r="G1418" i="1"/>
  <c r="I1417" i="1"/>
  <c r="H1417" i="1"/>
  <c r="G1417" i="1"/>
  <c r="I1416" i="1"/>
  <c r="H1416" i="1"/>
  <c r="G1416" i="1"/>
  <c r="I1415" i="1"/>
  <c r="H1415" i="1"/>
  <c r="G1415" i="1"/>
  <c r="I1414" i="1"/>
  <c r="H1414" i="1"/>
  <c r="G1414" i="1"/>
  <c r="I1413" i="1"/>
  <c r="H1413" i="1"/>
  <c r="G1413" i="1"/>
  <c r="I1412" i="1"/>
  <c r="H1412" i="1"/>
  <c r="G1412" i="1"/>
  <c r="I1411" i="1"/>
  <c r="H1411" i="1"/>
  <c r="G1411" i="1"/>
  <c r="I1410" i="1"/>
  <c r="H1410" i="1"/>
  <c r="G1410" i="1"/>
  <c r="I1409" i="1"/>
  <c r="H1409" i="1"/>
  <c r="G1409" i="1"/>
  <c r="I1408" i="1"/>
  <c r="H1408" i="1"/>
  <c r="G1408" i="1"/>
  <c r="I1407" i="1"/>
  <c r="H1407" i="1"/>
  <c r="G1407" i="1"/>
  <c r="I1406" i="1"/>
  <c r="H1406" i="1"/>
  <c r="G1406" i="1"/>
  <c r="I1405" i="1"/>
  <c r="H1405" i="1"/>
  <c r="G1405" i="1"/>
  <c r="I1404" i="1"/>
  <c r="H1404" i="1"/>
  <c r="G1404" i="1"/>
  <c r="I1403" i="1"/>
  <c r="H1403" i="1"/>
  <c r="G1403" i="1"/>
  <c r="I1402" i="1"/>
  <c r="H1402" i="1"/>
  <c r="G1402" i="1"/>
  <c r="I1401" i="1"/>
  <c r="H1401" i="1"/>
  <c r="G1401" i="1"/>
  <c r="I1400" i="1"/>
  <c r="H1400" i="1"/>
  <c r="G1400" i="1"/>
  <c r="I1399" i="1"/>
  <c r="H1399" i="1"/>
  <c r="G1399" i="1"/>
  <c r="I1398" i="1"/>
  <c r="H1398" i="1"/>
  <c r="G1398" i="1"/>
  <c r="I1397" i="1"/>
  <c r="H1397" i="1"/>
  <c r="G1397" i="1"/>
  <c r="I1396" i="1"/>
  <c r="H1396" i="1"/>
  <c r="G1396" i="1"/>
  <c r="I1395" i="1"/>
  <c r="H1395" i="1"/>
  <c r="G1395" i="1"/>
  <c r="I1394" i="1"/>
  <c r="H1394" i="1"/>
  <c r="G1394" i="1"/>
  <c r="I1393" i="1"/>
  <c r="H1393" i="1"/>
  <c r="G1393" i="1"/>
  <c r="I1392" i="1"/>
  <c r="H1392" i="1"/>
  <c r="G1392" i="1"/>
  <c r="I1391" i="1"/>
  <c r="H1391" i="1"/>
  <c r="G1391" i="1"/>
  <c r="I1390" i="1"/>
  <c r="H1390" i="1"/>
  <c r="G1390" i="1"/>
  <c r="I1389" i="1"/>
  <c r="H1389" i="1"/>
  <c r="G1389" i="1"/>
  <c r="I1388" i="1"/>
  <c r="H1388" i="1"/>
  <c r="G1388" i="1"/>
  <c r="I1387" i="1"/>
  <c r="H1387" i="1"/>
  <c r="G1387" i="1"/>
  <c r="I1386" i="1"/>
  <c r="H1386" i="1"/>
  <c r="G1386" i="1"/>
  <c r="I1385" i="1"/>
  <c r="H1385" i="1"/>
  <c r="G1385" i="1"/>
  <c r="I1384" i="1"/>
  <c r="H1384" i="1"/>
  <c r="G1384" i="1"/>
  <c r="I1383" i="1"/>
  <c r="H1383" i="1"/>
  <c r="G1383" i="1"/>
  <c r="I1382" i="1"/>
  <c r="H1382" i="1"/>
  <c r="G1382" i="1"/>
  <c r="I1381" i="1"/>
  <c r="H1381" i="1"/>
  <c r="G1381" i="1"/>
  <c r="I1380" i="1"/>
  <c r="H1380" i="1"/>
  <c r="G1380" i="1"/>
  <c r="I1379" i="1"/>
  <c r="H1379" i="1"/>
  <c r="G1379" i="1"/>
  <c r="I1378" i="1"/>
  <c r="H1378" i="1"/>
  <c r="G1378" i="1"/>
  <c r="I1377" i="1"/>
  <c r="H1377" i="1"/>
  <c r="G1377" i="1"/>
  <c r="I1376" i="1"/>
  <c r="H1376" i="1"/>
  <c r="G1376" i="1"/>
  <c r="I1375" i="1"/>
  <c r="H1375" i="1"/>
  <c r="G1375" i="1"/>
  <c r="I1374" i="1"/>
  <c r="H1374" i="1"/>
  <c r="G1374" i="1"/>
  <c r="I1373" i="1"/>
  <c r="H1373" i="1"/>
  <c r="G1373" i="1"/>
  <c r="I1372" i="1"/>
  <c r="H1372" i="1"/>
  <c r="G1372" i="1"/>
  <c r="I1371" i="1"/>
  <c r="H1371" i="1"/>
  <c r="G1371" i="1"/>
  <c r="I1370" i="1"/>
  <c r="H1370" i="1"/>
  <c r="G1370" i="1"/>
  <c r="I1369" i="1"/>
  <c r="H1369" i="1"/>
  <c r="G1369" i="1"/>
  <c r="I1368" i="1"/>
  <c r="H1368" i="1"/>
  <c r="G1368" i="1"/>
  <c r="I1367" i="1"/>
  <c r="H1367" i="1"/>
  <c r="G1367" i="1"/>
  <c r="I1366" i="1"/>
  <c r="H1366" i="1"/>
  <c r="G1366" i="1"/>
  <c r="I1365" i="1"/>
  <c r="H1365" i="1"/>
  <c r="G1365" i="1"/>
  <c r="I1364" i="1"/>
  <c r="H1364" i="1"/>
  <c r="G1364" i="1"/>
  <c r="I1363" i="1"/>
  <c r="H1363" i="1"/>
  <c r="G1363" i="1"/>
  <c r="I1362" i="1"/>
  <c r="H1362" i="1"/>
  <c r="G1362" i="1"/>
  <c r="I1361" i="1"/>
  <c r="H1361" i="1"/>
  <c r="G1361" i="1"/>
  <c r="I1360" i="1"/>
  <c r="H1360" i="1"/>
  <c r="G1360" i="1"/>
  <c r="I1359" i="1"/>
  <c r="H1359" i="1"/>
  <c r="G1359" i="1"/>
  <c r="I1358" i="1"/>
  <c r="H1358" i="1"/>
  <c r="G1358" i="1"/>
  <c r="I1357" i="1"/>
  <c r="H1357" i="1"/>
  <c r="G1357" i="1"/>
  <c r="I1356" i="1"/>
  <c r="H1356" i="1"/>
  <c r="G1356" i="1"/>
  <c r="I1355" i="1"/>
  <c r="H1355" i="1"/>
  <c r="G1355" i="1"/>
  <c r="I1354" i="1"/>
  <c r="H1354" i="1"/>
  <c r="G1354" i="1"/>
  <c r="I1353" i="1"/>
  <c r="H1353" i="1"/>
  <c r="G1353" i="1"/>
  <c r="I1352" i="1"/>
  <c r="H1352" i="1"/>
  <c r="G1352" i="1"/>
  <c r="I1351" i="1"/>
  <c r="H1351" i="1"/>
  <c r="G1351" i="1"/>
  <c r="I1350" i="1"/>
  <c r="H1350" i="1"/>
  <c r="G1350" i="1"/>
  <c r="I1349" i="1"/>
  <c r="H1349" i="1"/>
  <c r="G1349" i="1"/>
  <c r="I1348" i="1"/>
  <c r="H1348" i="1"/>
  <c r="G1348" i="1"/>
  <c r="I1347" i="1"/>
  <c r="H1347" i="1"/>
  <c r="G1347" i="1"/>
  <c r="I1346" i="1"/>
  <c r="H1346" i="1"/>
  <c r="G1346" i="1"/>
  <c r="I1345" i="1"/>
  <c r="H1345" i="1"/>
  <c r="G1345" i="1"/>
  <c r="I1344" i="1"/>
  <c r="H1344" i="1"/>
  <c r="G1344" i="1"/>
  <c r="I1343" i="1"/>
  <c r="H1343" i="1"/>
  <c r="G1343" i="1"/>
  <c r="I1342" i="1"/>
  <c r="H1342" i="1"/>
  <c r="G1342" i="1"/>
  <c r="I1341" i="1"/>
  <c r="H1341" i="1"/>
  <c r="G1341" i="1"/>
  <c r="I1340" i="1"/>
  <c r="H1340" i="1"/>
  <c r="G1340" i="1"/>
  <c r="I1339" i="1"/>
  <c r="H1339" i="1"/>
  <c r="G1339" i="1"/>
  <c r="I1338" i="1"/>
  <c r="H1338" i="1"/>
  <c r="G1338" i="1"/>
  <c r="I1337" i="1"/>
  <c r="H1337" i="1"/>
  <c r="G1337" i="1"/>
  <c r="I1336" i="1"/>
  <c r="H1336" i="1"/>
  <c r="G1336" i="1"/>
  <c r="I1335" i="1"/>
  <c r="H1335" i="1"/>
  <c r="G1335" i="1"/>
  <c r="I1334" i="1"/>
  <c r="H1334" i="1"/>
  <c r="G1334" i="1"/>
  <c r="I1333" i="1"/>
  <c r="H1333" i="1"/>
  <c r="G1333" i="1"/>
  <c r="I1332" i="1"/>
  <c r="H1332" i="1"/>
  <c r="G1332" i="1"/>
  <c r="I1331" i="1"/>
  <c r="H1331" i="1"/>
  <c r="G1331" i="1"/>
  <c r="I1330" i="1"/>
  <c r="H1330" i="1"/>
  <c r="G1330" i="1"/>
  <c r="I1329" i="1"/>
  <c r="H1329" i="1"/>
  <c r="G1329" i="1"/>
  <c r="I1328" i="1"/>
  <c r="H1328" i="1"/>
  <c r="G1328" i="1"/>
  <c r="I1327" i="1"/>
  <c r="H1327" i="1"/>
  <c r="G1327" i="1"/>
  <c r="I1326" i="1"/>
  <c r="H1326" i="1"/>
  <c r="G1326" i="1"/>
  <c r="I1325" i="1"/>
  <c r="H1325" i="1"/>
  <c r="G1325" i="1"/>
  <c r="I1323" i="1"/>
  <c r="H1323" i="1"/>
  <c r="G1323" i="1"/>
  <c r="I1322" i="1"/>
  <c r="H1322" i="1"/>
  <c r="G1322" i="1"/>
  <c r="I1320" i="1"/>
  <c r="H1320" i="1"/>
  <c r="G1320" i="1"/>
  <c r="I1318" i="1"/>
  <c r="H1318" i="1"/>
  <c r="G1318" i="1"/>
  <c r="I1317" i="1"/>
  <c r="H1317" i="1"/>
  <c r="G1317" i="1"/>
  <c r="I1316" i="1"/>
  <c r="H1316" i="1"/>
  <c r="G1316" i="1"/>
  <c r="I1315" i="1"/>
  <c r="H1315" i="1"/>
  <c r="G1315" i="1"/>
  <c r="I1314" i="1"/>
  <c r="H1314" i="1"/>
  <c r="G1314" i="1"/>
  <c r="I1313" i="1"/>
  <c r="H1313" i="1"/>
  <c r="G1313" i="1"/>
  <c r="I1312" i="1"/>
  <c r="H1312" i="1"/>
  <c r="G1312" i="1"/>
  <c r="I1311" i="1"/>
  <c r="H1311" i="1"/>
  <c r="G1311" i="1"/>
  <c r="I1310" i="1"/>
  <c r="H1310" i="1"/>
  <c r="G1310" i="1"/>
  <c r="I1309" i="1"/>
  <c r="H1309" i="1"/>
  <c r="G1309" i="1"/>
  <c r="I1308" i="1"/>
  <c r="H1308" i="1"/>
  <c r="G1308" i="1"/>
  <c r="I1307" i="1"/>
  <c r="H1307" i="1"/>
  <c r="G1307" i="1"/>
  <c r="I1306" i="1"/>
  <c r="H1306" i="1"/>
  <c r="G1306" i="1"/>
  <c r="I1305" i="1"/>
  <c r="H1305" i="1"/>
  <c r="G1305" i="1"/>
  <c r="I1304" i="1"/>
  <c r="H1304" i="1"/>
  <c r="G1304" i="1"/>
  <c r="I1303" i="1"/>
  <c r="H1303" i="1"/>
  <c r="G1303" i="1"/>
  <c r="I1302" i="1"/>
  <c r="H1302" i="1"/>
  <c r="G1302" i="1"/>
  <c r="I1301" i="1"/>
  <c r="H1301" i="1"/>
  <c r="G1301" i="1"/>
  <c r="I1300" i="1"/>
  <c r="H1300" i="1"/>
  <c r="G1300" i="1"/>
  <c r="I1299" i="1"/>
  <c r="H1299" i="1"/>
  <c r="G1299" i="1"/>
  <c r="I1298" i="1"/>
  <c r="H1298" i="1"/>
  <c r="G1298" i="1"/>
  <c r="I1297" i="1"/>
  <c r="H1297" i="1"/>
  <c r="G1297" i="1"/>
  <c r="I1296" i="1"/>
  <c r="H1296" i="1"/>
  <c r="G1296" i="1"/>
  <c r="I1295" i="1"/>
  <c r="H1295" i="1"/>
  <c r="G1295" i="1"/>
  <c r="I1293" i="1"/>
  <c r="H1293" i="1"/>
  <c r="G1293" i="1"/>
  <c r="I1292" i="1"/>
  <c r="H1292" i="1"/>
  <c r="G1292" i="1"/>
  <c r="I1291" i="1"/>
  <c r="H1291" i="1"/>
  <c r="G1291" i="1"/>
  <c r="I1290" i="1"/>
  <c r="H1290" i="1"/>
  <c r="G1290" i="1"/>
  <c r="I1289" i="1"/>
  <c r="H1289" i="1"/>
  <c r="G1289" i="1"/>
  <c r="I1288" i="1"/>
  <c r="H1288" i="1"/>
  <c r="G1288" i="1"/>
  <c r="I1287" i="1"/>
  <c r="H1287" i="1"/>
  <c r="G1287" i="1"/>
  <c r="I1286" i="1"/>
  <c r="H1286" i="1"/>
  <c r="G1286" i="1"/>
  <c r="I1285" i="1"/>
  <c r="H1285" i="1"/>
  <c r="G1285" i="1"/>
  <c r="I1284" i="1"/>
  <c r="H1284" i="1"/>
  <c r="G1284" i="1"/>
  <c r="I1283" i="1"/>
  <c r="H1283" i="1"/>
  <c r="G1283" i="1"/>
  <c r="I1282" i="1"/>
  <c r="H1282" i="1"/>
  <c r="G1282" i="1"/>
  <c r="I1281" i="1"/>
  <c r="H1281" i="1"/>
  <c r="G1281" i="1"/>
  <c r="I1280" i="1"/>
  <c r="H1280" i="1"/>
  <c r="G1280" i="1"/>
  <c r="I1279" i="1"/>
  <c r="H1279" i="1"/>
  <c r="G1279" i="1"/>
  <c r="I1278" i="1"/>
  <c r="H1278" i="1"/>
  <c r="G1278" i="1"/>
  <c r="I1277" i="1"/>
  <c r="H1277" i="1"/>
  <c r="G1277" i="1"/>
  <c r="I1276" i="1"/>
  <c r="H1276" i="1"/>
  <c r="G1276" i="1"/>
  <c r="I1275" i="1"/>
  <c r="H1275" i="1"/>
  <c r="G1275" i="1"/>
  <c r="I1274" i="1"/>
  <c r="H1274" i="1"/>
  <c r="G1274" i="1"/>
  <c r="I1273" i="1"/>
  <c r="H1273" i="1"/>
  <c r="G1273" i="1"/>
  <c r="I1272" i="1"/>
  <c r="H1272" i="1"/>
  <c r="G1272" i="1"/>
  <c r="I1271" i="1"/>
  <c r="H1271" i="1"/>
  <c r="G1271" i="1"/>
  <c r="I1270" i="1"/>
  <c r="H1270" i="1"/>
  <c r="G1270" i="1"/>
  <c r="I1269" i="1"/>
  <c r="H1269" i="1"/>
  <c r="G1269" i="1"/>
  <c r="I1268" i="1"/>
  <c r="H1268" i="1"/>
  <c r="G1268" i="1"/>
  <c r="I1267" i="1"/>
  <c r="H1267" i="1"/>
  <c r="G1267" i="1"/>
  <c r="I1266" i="1"/>
  <c r="H1266" i="1"/>
  <c r="G1266" i="1"/>
  <c r="I1265" i="1"/>
  <c r="H1265" i="1"/>
  <c r="G1265" i="1"/>
  <c r="I1264" i="1"/>
  <c r="H1264" i="1"/>
  <c r="G1264" i="1"/>
  <c r="I1263" i="1"/>
  <c r="H1263" i="1"/>
  <c r="G1263" i="1"/>
  <c r="I1262" i="1"/>
  <c r="H1262" i="1"/>
  <c r="G1262" i="1"/>
  <c r="I1261" i="1"/>
  <c r="H1261" i="1"/>
  <c r="G1261" i="1"/>
  <c r="I1260" i="1"/>
  <c r="H1260" i="1"/>
  <c r="G1260" i="1"/>
  <c r="I1259" i="1"/>
  <c r="H1259" i="1"/>
  <c r="G1259" i="1"/>
  <c r="I1258" i="1"/>
  <c r="H1258" i="1"/>
  <c r="G1258" i="1"/>
  <c r="I1257" i="1"/>
  <c r="H1257" i="1"/>
  <c r="G1257" i="1"/>
  <c r="I1256" i="1"/>
  <c r="H1256" i="1"/>
  <c r="G1256" i="1"/>
  <c r="I1255" i="1"/>
  <c r="H1255" i="1"/>
  <c r="G1255" i="1"/>
  <c r="I1254" i="1"/>
  <c r="H1254" i="1"/>
  <c r="G1254" i="1"/>
  <c r="I1253" i="1"/>
  <c r="H1253" i="1"/>
  <c r="G1253" i="1"/>
  <c r="I1252" i="1"/>
  <c r="H1252" i="1"/>
  <c r="G1252" i="1"/>
  <c r="I1251" i="1"/>
  <c r="H1251" i="1"/>
  <c r="G1251" i="1"/>
  <c r="I1250" i="1"/>
  <c r="H1250" i="1"/>
  <c r="G1250" i="1"/>
  <c r="I1249" i="1"/>
  <c r="H1249" i="1"/>
  <c r="G1249" i="1"/>
  <c r="I1248" i="1"/>
  <c r="H1248" i="1"/>
  <c r="G1248" i="1"/>
  <c r="I1247" i="1"/>
  <c r="H1247" i="1"/>
  <c r="G1247" i="1"/>
  <c r="I1246" i="1"/>
  <c r="H1246" i="1"/>
  <c r="G1246" i="1"/>
  <c r="I1245" i="1"/>
  <c r="H1245" i="1"/>
  <c r="G1245" i="1"/>
  <c r="I1244" i="1"/>
  <c r="H1244" i="1"/>
  <c r="G1244" i="1"/>
  <c r="I1243" i="1"/>
  <c r="H1243" i="1"/>
  <c r="G1243" i="1"/>
  <c r="I1242" i="1"/>
  <c r="H1242" i="1"/>
  <c r="G1242" i="1"/>
  <c r="I1241" i="1"/>
  <c r="H1241" i="1"/>
  <c r="G1241" i="1"/>
  <c r="I1240" i="1"/>
  <c r="H1240" i="1"/>
  <c r="G1240" i="1"/>
  <c r="I1239" i="1"/>
  <c r="H1239" i="1"/>
  <c r="G1239" i="1"/>
  <c r="I1238" i="1"/>
  <c r="H1238" i="1"/>
  <c r="G1238" i="1"/>
  <c r="I1237" i="1"/>
  <c r="H1237" i="1"/>
  <c r="G1237" i="1"/>
  <c r="I1236" i="1"/>
  <c r="H1236" i="1"/>
  <c r="G1236" i="1"/>
  <c r="I1235" i="1"/>
  <c r="H1235" i="1"/>
  <c r="G1235" i="1"/>
  <c r="I1234" i="1"/>
  <c r="H1234" i="1"/>
  <c r="G1234" i="1"/>
  <c r="I1233" i="1"/>
  <c r="H1233" i="1"/>
  <c r="G1233" i="1"/>
  <c r="I1232" i="1"/>
  <c r="H1232" i="1"/>
  <c r="G1232" i="1"/>
  <c r="I1231" i="1"/>
  <c r="H1231" i="1"/>
  <c r="G1231" i="1"/>
  <c r="I1230" i="1"/>
  <c r="H1230" i="1"/>
  <c r="G1230" i="1"/>
  <c r="I1229" i="1"/>
  <c r="H1229" i="1"/>
  <c r="G1229" i="1"/>
  <c r="I1228" i="1"/>
  <c r="H1228" i="1"/>
  <c r="G1228" i="1"/>
  <c r="I1227" i="1"/>
  <c r="H1227" i="1"/>
  <c r="G1227" i="1"/>
  <c r="I1226" i="1"/>
  <c r="H1226" i="1"/>
  <c r="G1226" i="1"/>
  <c r="I1225" i="1"/>
  <c r="H1225" i="1"/>
  <c r="G1225" i="1"/>
  <c r="I1224" i="1"/>
  <c r="H1224" i="1"/>
  <c r="G1224" i="1"/>
  <c r="I1223" i="1"/>
  <c r="H1223" i="1"/>
  <c r="G1223" i="1"/>
  <c r="I1222" i="1"/>
  <c r="H1222" i="1"/>
  <c r="G1222" i="1"/>
  <c r="I1221" i="1"/>
  <c r="H1221" i="1"/>
  <c r="G1221" i="1"/>
  <c r="I1220" i="1"/>
  <c r="H1220" i="1"/>
  <c r="G1220" i="1"/>
  <c r="I1219" i="1"/>
  <c r="H1219" i="1"/>
  <c r="G1219" i="1"/>
  <c r="I1218" i="1"/>
  <c r="H1218" i="1"/>
  <c r="G1218" i="1"/>
  <c r="I1217" i="1"/>
  <c r="H1217" i="1"/>
  <c r="G1217" i="1"/>
  <c r="I1216" i="1"/>
  <c r="H1216" i="1"/>
  <c r="G1216" i="1"/>
  <c r="I1215" i="1"/>
  <c r="H1215" i="1"/>
  <c r="G1215" i="1"/>
  <c r="I1214" i="1"/>
  <c r="H1214" i="1"/>
  <c r="G1214" i="1"/>
  <c r="I1213" i="1"/>
  <c r="H1213" i="1"/>
  <c r="G1213" i="1"/>
  <c r="I1212" i="1"/>
  <c r="H1212" i="1"/>
  <c r="G1212" i="1"/>
  <c r="I1211" i="1"/>
  <c r="H1211" i="1"/>
  <c r="G1211" i="1"/>
  <c r="I1210" i="1"/>
  <c r="H1210" i="1"/>
  <c r="G1210" i="1"/>
  <c r="I1209" i="1"/>
  <c r="H1209" i="1"/>
  <c r="G1209" i="1"/>
  <c r="I1208" i="1"/>
  <c r="H1208" i="1"/>
  <c r="G1208" i="1"/>
  <c r="I1207" i="1"/>
  <c r="H1207" i="1"/>
  <c r="G1207" i="1"/>
  <c r="I1206" i="1"/>
  <c r="H1206" i="1"/>
  <c r="G1206" i="1"/>
  <c r="I1205" i="1"/>
  <c r="H1205" i="1"/>
  <c r="G1205" i="1"/>
  <c r="I1204" i="1"/>
  <c r="H1204" i="1"/>
  <c r="G1204" i="1"/>
  <c r="I1203" i="1"/>
  <c r="H1203" i="1"/>
  <c r="G1203" i="1"/>
  <c r="I1202" i="1"/>
  <c r="H1202" i="1"/>
  <c r="G1202" i="1"/>
  <c r="I1201" i="1"/>
  <c r="H1201" i="1"/>
  <c r="G1201" i="1"/>
  <c r="I1200" i="1"/>
  <c r="H1200" i="1"/>
  <c r="G1200" i="1"/>
  <c r="I1199" i="1"/>
  <c r="H1199" i="1"/>
  <c r="G1199" i="1"/>
  <c r="I1198" i="1"/>
  <c r="H1198" i="1"/>
  <c r="G1198" i="1"/>
  <c r="I1197" i="1"/>
  <c r="H1197" i="1"/>
  <c r="G1197" i="1"/>
  <c r="I1196" i="1"/>
  <c r="H1196" i="1"/>
  <c r="G1196" i="1"/>
  <c r="I1195" i="1"/>
  <c r="H1195" i="1"/>
  <c r="G1195" i="1"/>
  <c r="I1194" i="1"/>
  <c r="H1194" i="1"/>
  <c r="G1194" i="1"/>
  <c r="I1193" i="1"/>
  <c r="H1193" i="1"/>
  <c r="G1193" i="1"/>
  <c r="I1192" i="1"/>
  <c r="H1192" i="1"/>
  <c r="G1192" i="1"/>
  <c r="I1191" i="1"/>
  <c r="H1191" i="1"/>
  <c r="G1191" i="1"/>
  <c r="I1190" i="1"/>
  <c r="H1190" i="1"/>
  <c r="G1190" i="1"/>
  <c r="I1189" i="1"/>
  <c r="H1189" i="1"/>
  <c r="G1189" i="1"/>
  <c r="I1188" i="1"/>
  <c r="H1188" i="1"/>
  <c r="G1188" i="1"/>
  <c r="I1187" i="1"/>
  <c r="H1187" i="1"/>
  <c r="G1187" i="1"/>
  <c r="I1186" i="1"/>
  <c r="H1186" i="1"/>
  <c r="G1186" i="1"/>
  <c r="I1185" i="1"/>
  <c r="H1185" i="1"/>
  <c r="G1185" i="1"/>
  <c r="I1184" i="1"/>
  <c r="H1184" i="1"/>
  <c r="G1184" i="1"/>
  <c r="I1183" i="1"/>
  <c r="H1183" i="1"/>
  <c r="G1183" i="1"/>
  <c r="I1182" i="1"/>
  <c r="H1182" i="1"/>
  <c r="G1182" i="1"/>
  <c r="I1181" i="1"/>
  <c r="H1181" i="1"/>
  <c r="G1181" i="1"/>
  <c r="I1180" i="1"/>
  <c r="H1180" i="1"/>
  <c r="G1180" i="1"/>
  <c r="I1179" i="1"/>
  <c r="H1179" i="1"/>
  <c r="G1179" i="1"/>
  <c r="I1178" i="1"/>
  <c r="H1178" i="1"/>
  <c r="G1178" i="1"/>
  <c r="I1177" i="1"/>
  <c r="H1177" i="1"/>
  <c r="G1177" i="1"/>
  <c r="I1176" i="1"/>
  <c r="H1176" i="1"/>
  <c r="G1176" i="1"/>
  <c r="I1175" i="1"/>
  <c r="H1175" i="1"/>
  <c r="G1175" i="1"/>
  <c r="I1174" i="1"/>
  <c r="H1174" i="1"/>
  <c r="G1174" i="1"/>
  <c r="I1173" i="1"/>
  <c r="H1173" i="1"/>
  <c r="G1173" i="1"/>
  <c r="I1172" i="1"/>
  <c r="H1172" i="1"/>
  <c r="G1172" i="1"/>
  <c r="I1171" i="1"/>
  <c r="H1171" i="1"/>
  <c r="G1171" i="1"/>
  <c r="I1170" i="1"/>
  <c r="H1170" i="1"/>
  <c r="G1170" i="1"/>
  <c r="I1169" i="1"/>
  <c r="H1169" i="1"/>
  <c r="G1169" i="1"/>
  <c r="I1168" i="1"/>
  <c r="H1168" i="1"/>
  <c r="G1168" i="1"/>
  <c r="I1167" i="1"/>
  <c r="H1167" i="1"/>
  <c r="G1167" i="1"/>
  <c r="I1166" i="1"/>
  <c r="H1166" i="1"/>
  <c r="G1166" i="1"/>
  <c r="I1165" i="1"/>
  <c r="H1165" i="1"/>
  <c r="G1165" i="1"/>
  <c r="I1164" i="1"/>
  <c r="H1164" i="1"/>
  <c r="G1164" i="1"/>
  <c r="I1163" i="1"/>
  <c r="H1163" i="1"/>
  <c r="G1163" i="1"/>
  <c r="I1162" i="1"/>
  <c r="H1162" i="1"/>
  <c r="G1162" i="1"/>
  <c r="I1161" i="1"/>
  <c r="H1161" i="1"/>
  <c r="G1161" i="1"/>
  <c r="I1160" i="1"/>
  <c r="H1160" i="1"/>
  <c r="G1160" i="1"/>
  <c r="I1159" i="1"/>
  <c r="H1159" i="1"/>
  <c r="G1159" i="1"/>
  <c r="I1158" i="1"/>
  <c r="H1158" i="1"/>
  <c r="G1158" i="1"/>
  <c r="I1157" i="1"/>
  <c r="H1157" i="1"/>
  <c r="G1157" i="1"/>
  <c r="I1156" i="1"/>
  <c r="H1156" i="1"/>
  <c r="G1156" i="1"/>
  <c r="I1155" i="1"/>
  <c r="H1155" i="1"/>
  <c r="G1155" i="1"/>
  <c r="I1154" i="1"/>
  <c r="H1154" i="1"/>
  <c r="G1154" i="1"/>
  <c r="I1153" i="1"/>
  <c r="H1153" i="1"/>
  <c r="G1153" i="1"/>
  <c r="I1152" i="1"/>
  <c r="H1152" i="1"/>
  <c r="G1152" i="1"/>
  <c r="I1151" i="1"/>
  <c r="H1151" i="1"/>
  <c r="G1151" i="1"/>
  <c r="I1150" i="1"/>
  <c r="H1150" i="1"/>
  <c r="G1150" i="1"/>
  <c r="I1149" i="1"/>
  <c r="H1149" i="1"/>
  <c r="G1149" i="1"/>
  <c r="I1148" i="1"/>
  <c r="H1148" i="1"/>
  <c r="G1148" i="1"/>
  <c r="I1147" i="1"/>
  <c r="H1147" i="1"/>
  <c r="G1147" i="1"/>
  <c r="I1146" i="1"/>
  <c r="H1146" i="1"/>
  <c r="G1146" i="1"/>
  <c r="I1145" i="1"/>
  <c r="H1145" i="1"/>
  <c r="G1145" i="1"/>
  <c r="I1144" i="1"/>
  <c r="H1144" i="1"/>
  <c r="G1144" i="1"/>
  <c r="I1143" i="1"/>
  <c r="H1143" i="1"/>
  <c r="G1143" i="1"/>
  <c r="I1142" i="1"/>
  <c r="H1142" i="1"/>
  <c r="G1142" i="1"/>
  <c r="I1141" i="1"/>
  <c r="H1141" i="1"/>
  <c r="G1141" i="1"/>
  <c r="I1140" i="1"/>
  <c r="H1140" i="1"/>
  <c r="G1140" i="1"/>
  <c r="I1139" i="1"/>
  <c r="H1139" i="1"/>
  <c r="G1139" i="1"/>
  <c r="I1138" i="1"/>
  <c r="H1138" i="1"/>
  <c r="G1138" i="1"/>
  <c r="I1137" i="1"/>
  <c r="H1137" i="1"/>
  <c r="G1137" i="1"/>
  <c r="I1136" i="1"/>
  <c r="H1136" i="1"/>
  <c r="G1136" i="1"/>
  <c r="I1135" i="1"/>
  <c r="H1135" i="1"/>
  <c r="G1135" i="1"/>
  <c r="I1134" i="1"/>
  <c r="H1134" i="1"/>
  <c r="G1134" i="1"/>
  <c r="I1133" i="1"/>
  <c r="H1133" i="1"/>
  <c r="G1133" i="1"/>
  <c r="I1132" i="1"/>
  <c r="H1132" i="1"/>
  <c r="G1132" i="1"/>
  <c r="I1131" i="1"/>
  <c r="H1131" i="1"/>
  <c r="G1131" i="1"/>
  <c r="I1130" i="1"/>
  <c r="H1130" i="1"/>
  <c r="G1130" i="1"/>
  <c r="I1129" i="1"/>
  <c r="H1129" i="1"/>
  <c r="G1129" i="1"/>
  <c r="I1128" i="1"/>
  <c r="H1128" i="1"/>
  <c r="G1128" i="1"/>
  <c r="I1127" i="1"/>
  <c r="H1127" i="1"/>
  <c r="G1127" i="1"/>
  <c r="I1126" i="1"/>
  <c r="H1126" i="1"/>
  <c r="G1126" i="1"/>
  <c r="I1125" i="1"/>
  <c r="H1125" i="1"/>
  <c r="G1125" i="1"/>
  <c r="I1124" i="1"/>
  <c r="H1124" i="1"/>
  <c r="G1124" i="1"/>
  <c r="I1123" i="1"/>
  <c r="H1123" i="1"/>
  <c r="G1123" i="1"/>
  <c r="I1122" i="1"/>
  <c r="H1122" i="1"/>
  <c r="G1122" i="1"/>
  <c r="I1121" i="1"/>
  <c r="H1121" i="1"/>
  <c r="G1121" i="1"/>
  <c r="I1120" i="1"/>
  <c r="H1120" i="1"/>
  <c r="G1120" i="1"/>
  <c r="I1119" i="1"/>
  <c r="H1119" i="1"/>
  <c r="G1119" i="1"/>
  <c r="I1118" i="1"/>
  <c r="H1118" i="1"/>
  <c r="G1118" i="1"/>
  <c r="I1117" i="1"/>
  <c r="H1117" i="1"/>
  <c r="G1117" i="1"/>
  <c r="I1116" i="1"/>
  <c r="H1116" i="1"/>
  <c r="G1116" i="1"/>
  <c r="I1115" i="1"/>
  <c r="H1115" i="1"/>
  <c r="G1115" i="1"/>
  <c r="I1114" i="1"/>
  <c r="H1114" i="1"/>
  <c r="G1114" i="1"/>
  <c r="I1113" i="1"/>
  <c r="H1113" i="1"/>
  <c r="G1113" i="1"/>
  <c r="I1112" i="1"/>
  <c r="H1112" i="1"/>
  <c r="G1112" i="1"/>
  <c r="I1111" i="1"/>
  <c r="H1111" i="1"/>
  <c r="G1111" i="1"/>
  <c r="I1110" i="1"/>
  <c r="H1110" i="1"/>
  <c r="G1110" i="1"/>
  <c r="I1109" i="1"/>
  <c r="H1109" i="1"/>
  <c r="G1109" i="1"/>
  <c r="I1108" i="1"/>
  <c r="H1108" i="1"/>
  <c r="G1108" i="1"/>
  <c r="I1107" i="1"/>
  <c r="H1107" i="1"/>
  <c r="G1107" i="1"/>
  <c r="I1106" i="1"/>
  <c r="H1106" i="1"/>
  <c r="G1106" i="1"/>
  <c r="I1105" i="1"/>
  <c r="H1105" i="1"/>
  <c r="G1105" i="1"/>
  <c r="I1104" i="1"/>
  <c r="H1104" i="1"/>
  <c r="G1104" i="1"/>
  <c r="I1103" i="1"/>
  <c r="H1103" i="1"/>
  <c r="G1103" i="1"/>
  <c r="I1102" i="1"/>
  <c r="H1102" i="1"/>
  <c r="G1102" i="1"/>
  <c r="I1101" i="1"/>
  <c r="H1101" i="1"/>
  <c r="G1101" i="1"/>
  <c r="I1100" i="1"/>
  <c r="H1100" i="1"/>
  <c r="G1100" i="1"/>
  <c r="I1099" i="1"/>
  <c r="H1099" i="1"/>
  <c r="G1099" i="1"/>
  <c r="I1098" i="1"/>
  <c r="H1098" i="1"/>
  <c r="G1098" i="1"/>
  <c r="I1097" i="1"/>
  <c r="H1097" i="1"/>
  <c r="G1097" i="1"/>
  <c r="I1096" i="1"/>
  <c r="H1096" i="1"/>
  <c r="G1096" i="1"/>
  <c r="I1095" i="1"/>
  <c r="H1095" i="1"/>
  <c r="G1095" i="1"/>
  <c r="I1094" i="1"/>
  <c r="H1094" i="1"/>
  <c r="G1094" i="1"/>
  <c r="I1093" i="1"/>
  <c r="H1093" i="1"/>
  <c r="G1093" i="1"/>
  <c r="I1092" i="1"/>
  <c r="H1092" i="1"/>
  <c r="G1092" i="1"/>
  <c r="I1091" i="1"/>
  <c r="H1091" i="1"/>
  <c r="G1091" i="1"/>
  <c r="I1090" i="1"/>
  <c r="H1090" i="1"/>
  <c r="G1090" i="1"/>
  <c r="I1089" i="1"/>
  <c r="H1089" i="1"/>
  <c r="G1089" i="1"/>
  <c r="I1088" i="1"/>
  <c r="H1088" i="1"/>
  <c r="G1088" i="1"/>
  <c r="I1087" i="1"/>
  <c r="H1087" i="1"/>
  <c r="G1087" i="1"/>
  <c r="I1086" i="1"/>
  <c r="H1086" i="1"/>
  <c r="G1086" i="1"/>
  <c r="I1085" i="1"/>
  <c r="H1085" i="1"/>
  <c r="G1085" i="1"/>
  <c r="I1084" i="1"/>
  <c r="H1084" i="1"/>
  <c r="G1084" i="1"/>
  <c r="I1083" i="1"/>
  <c r="H1083" i="1"/>
  <c r="G1083" i="1"/>
  <c r="I1082" i="1"/>
  <c r="H1082" i="1"/>
  <c r="G1082" i="1"/>
  <c r="I1081" i="1"/>
  <c r="H1081" i="1"/>
  <c r="G1081" i="1"/>
  <c r="I1080" i="1"/>
  <c r="H1080" i="1"/>
  <c r="G1080" i="1"/>
  <c r="I1079" i="1"/>
  <c r="H1079" i="1"/>
  <c r="G1079" i="1"/>
  <c r="I1078" i="1"/>
  <c r="H1078" i="1"/>
  <c r="G1078" i="1"/>
  <c r="I1077" i="1"/>
  <c r="H1077" i="1"/>
  <c r="G1077" i="1"/>
  <c r="I1076" i="1"/>
  <c r="H1076" i="1"/>
  <c r="G1076" i="1"/>
  <c r="I1075" i="1"/>
  <c r="H1075" i="1"/>
  <c r="G1075" i="1"/>
  <c r="I1074" i="1"/>
  <c r="H1074" i="1"/>
  <c r="G1074" i="1"/>
  <c r="I1073" i="1"/>
  <c r="H1073" i="1"/>
  <c r="G1073" i="1"/>
  <c r="I1072" i="1"/>
  <c r="H1072" i="1"/>
  <c r="G1072" i="1"/>
  <c r="I1071" i="1"/>
  <c r="H1071" i="1"/>
  <c r="G1071" i="1"/>
  <c r="I1070" i="1"/>
  <c r="H1070" i="1"/>
  <c r="G1070" i="1"/>
  <c r="I1069" i="1"/>
  <c r="H1069" i="1"/>
  <c r="G1069" i="1"/>
  <c r="I1068" i="1"/>
  <c r="H1068" i="1"/>
  <c r="G1068" i="1"/>
  <c r="I1067" i="1"/>
  <c r="H1067" i="1"/>
  <c r="G1067" i="1"/>
  <c r="I1066" i="1"/>
  <c r="H1066" i="1"/>
  <c r="G1066" i="1"/>
  <c r="I1065" i="1"/>
  <c r="H1065" i="1"/>
  <c r="G1065" i="1"/>
  <c r="I1064" i="1"/>
  <c r="H1064" i="1"/>
  <c r="G1064" i="1"/>
  <c r="I1063" i="1"/>
  <c r="H1063" i="1"/>
  <c r="G1063" i="1"/>
  <c r="I1062" i="1"/>
  <c r="H1062" i="1"/>
  <c r="G1062" i="1"/>
  <c r="I1061" i="1"/>
  <c r="H1061" i="1"/>
  <c r="G1061" i="1"/>
  <c r="I1060" i="1"/>
  <c r="H1060" i="1"/>
  <c r="G1060" i="1"/>
  <c r="I1059" i="1"/>
  <c r="H1059" i="1"/>
  <c r="G1059" i="1"/>
  <c r="I1058" i="1"/>
  <c r="H1058" i="1"/>
  <c r="G1058" i="1"/>
  <c r="I1057" i="1"/>
  <c r="H1057" i="1"/>
  <c r="G1057" i="1"/>
  <c r="I1056" i="1"/>
  <c r="H1056" i="1"/>
  <c r="G1056" i="1"/>
  <c r="I1055" i="1"/>
  <c r="H1055" i="1"/>
  <c r="G1055" i="1"/>
  <c r="I1054" i="1"/>
  <c r="H1054" i="1"/>
  <c r="G1054" i="1"/>
  <c r="I1053" i="1"/>
  <c r="H1053" i="1"/>
  <c r="G1053" i="1"/>
  <c r="I1052" i="1"/>
  <c r="H1052" i="1"/>
  <c r="G1052" i="1"/>
  <c r="I1051" i="1"/>
  <c r="H1051" i="1"/>
  <c r="G1051" i="1"/>
  <c r="I1050" i="1"/>
  <c r="H1050" i="1"/>
  <c r="G1050" i="1"/>
  <c r="I1049" i="1"/>
  <c r="H1049" i="1"/>
  <c r="G1049" i="1"/>
  <c r="I1048" i="1"/>
  <c r="H1048" i="1"/>
  <c r="G1048" i="1"/>
  <c r="I1047" i="1"/>
  <c r="H1047" i="1"/>
  <c r="G1047" i="1"/>
  <c r="I1046" i="1"/>
  <c r="H1046" i="1"/>
  <c r="G1046" i="1"/>
  <c r="I1045" i="1"/>
  <c r="H1045" i="1"/>
  <c r="G1045" i="1"/>
  <c r="I1044" i="1"/>
  <c r="H1044" i="1"/>
  <c r="G1044" i="1"/>
  <c r="I1043" i="1"/>
  <c r="H1043" i="1"/>
  <c r="G1043" i="1"/>
  <c r="I1042" i="1"/>
  <c r="H1042" i="1"/>
  <c r="G1042" i="1"/>
  <c r="I1041" i="1"/>
  <c r="H1041" i="1"/>
  <c r="G1041" i="1"/>
  <c r="I1040" i="1"/>
  <c r="H1040" i="1"/>
  <c r="G1040" i="1"/>
  <c r="I1039" i="1"/>
  <c r="H1039" i="1"/>
  <c r="G1039" i="1"/>
  <c r="I1038" i="1"/>
  <c r="H1038" i="1"/>
  <c r="G1038" i="1"/>
  <c r="I1037" i="1"/>
  <c r="H1037" i="1"/>
  <c r="G1037" i="1"/>
  <c r="I1036" i="1"/>
  <c r="H1036" i="1"/>
  <c r="G1036" i="1"/>
  <c r="I1035" i="1"/>
  <c r="H1035" i="1"/>
  <c r="G1035" i="1"/>
  <c r="I1034" i="1"/>
  <c r="H1034" i="1"/>
  <c r="G1034" i="1"/>
  <c r="I1033" i="1"/>
  <c r="H1033" i="1"/>
  <c r="G1033" i="1"/>
  <c r="I1032" i="1"/>
  <c r="H1032" i="1"/>
  <c r="G1032" i="1"/>
  <c r="I1031" i="1"/>
  <c r="H1031" i="1"/>
  <c r="G1031" i="1"/>
  <c r="I1030" i="1"/>
  <c r="H1030" i="1"/>
  <c r="G1030" i="1"/>
  <c r="I1029" i="1"/>
  <c r="H1029" i="1"/>
  <c r="G1029" i="1"/>
  <c r="I1028" i="1"/>
  <c r="H1028" i="1"/>
  <c r="G1028" i="1"/>
  <c r="I1027" i="1"/>
  <c r="H1027" i="1"/>
  <c r="G1027" i="1"/>
  <c r="I1026" i="1"/>
  <c r="H1026" i="1"/>
  <c r="G1026" i="1"/>
  <c r="I1025" i="1"/>
  <c r="H1025" i="1"/>
  <c r="G1025" i="1"/>
  <c r="I1024" i="1"/>
  <c r="H1024" i="1"/>
  <c r="G1024" i="1"/>
  <c r="I1023" i="1"/>
  <c r="H1023" i="1"/>
  <c r="G1023" i="1"/>
  <c r="I1022" i="1"/>
  <c r="H1022" i="1"/>
  <c r="G1022" i="1"/>
  <c r="I1021" i="1"/>
  <c r="H1021" i="1"/>
  <c r="G1021" i="1"/>
  <c r="I1020" i="1"/>
  <c r="H1020" i="1"/>
  <c r="G1020" i="1"/>
  <c r="I1019" i="1"/>
  <c r="H1019" i="1"/>
  <c r="G1019" i="1"/>
  <c r="I1018" i="1"/>
  <c r="H1018" i="1"/>
  <c r="G1018" i="1"/>
  <c r="I1017" i="1"/>
  <c r="H1017" i="1"/>
  <c r="G1017" i="1"/>
  <c r="I1016" i="1"/>
  <c r="H1016" i="1"/>
  <c r="G1016" i="1"/>
  <c r="I1015" i="1"/>
  <c r="H1015" i="1"/>
  <c r="G1015" i="1"/>
  <c r="I1014" i="1"/>
  <c r="H1014" i="1"/>
  <c r="G1014" i="1"/>
  <c r="I1013" i="1"/>
  <c r="H1013" i="1"/>
  <c r="G1013" i="1"/>
  <c r="I1012" i="1"/>
  <c r="H1012" i="1"/>
  <c r="G1012" i="1"/>
  <c r="I1011" i="1"/>
  <c r="H1011" i="1"/>
  <c r="G1011" i="1"/>
  <c r="I1010" i="1"/>
  <c r="H1010" i="1"/>
  <c r="G1010" i="1"/>
  <c r="I1009" i="1"/>
  <c r="H1009" i="1"/>
  <c r="G1009" i="1"/>
  <c r="I1008" i="1"/>
  <c r="H1008" i="1"/>
  <c r="G1008" i="1"/>
  <c r="I1007" i="1"/>
  <c r="H1007" i="1"/>
  <c r="G1007" i="1"/>
  <c r="I1006" i="1"/>
  <c r="H1006" i="1"/>
  <c r="G1006" i="1"/>
  <c r="I1005" i="1"/>
  <c r="H1005" i="1"/>
  <c r="G1005" i="1"/>
  <c r="I1004" i="1"/>
  <c r="H1004" i="1"/>
  <c r="G1004" i="1"/>
  <c r="I1003" i="1"/>
  <c r="H1003" i="1"/>
  <c r="G1003" i="1"/>
  <c r="I1002" i="1"/>
  <c r="H1002" i="1"/>
  <c r="G1002" i="1"/>
  <c r="I1001" i="1"/>
  <c r="H1001" i="1"/>
  <c r="G1001" i="1"/>
  <c r="I1000" i="1"/>
  <c r="H1000" i="1"/>
  <c r="G1000" i="1"/>
  <c r="I999" i="1"/>
  <c r="H999" i="1"/>
  <c r="G999" i="1"/>
  <c r="I998" i="1"/>
  <c r="H998" i="1"/>
  <c r="G998" i="1"/>
  <c r="I997" i="1"/>
  <c r="H997" i="1"/>
  <c r="G997" i="1"/>
  <c r="I996" i="1"/>
  <c r="H996" i="1"/>
  <c r="G996" i="1"/>
  <c r="I995" i="1"/>
  <c r="H995" i="1"/>
  <c r="G995" i="1"/>
  <c r="I994" i="1"/>
  <c r="H994" i="1"/>
  <c r="G994" i="1"/>
  <c r="I993" i="1"/>
  <c r="H993" i="1"/>
  <c r="G993" i="1"/>
  <c r="I992" i="1"/>
  <c r="H992" i="1"/>
  <c r="G992" i="1"/>
  <c r="I991" i="1"/>
  <c r="H991" i="1"/>
  <c r="G991" i="1"/>
  <c r="I990" i="1"/>
  <c r="H990" i="1"/>
  <c r="G990" i="1"/>
  <c r="I989" i="1"/>
  <c r="H989" i="1"/>
  <c r="G989" i="1"/>
  <c r="I988" i="1"/>
  <c r="H988" i="1"/>
  <c r="G988" i="1"/>
  <c r="I987" i="1"/>
  <c r="H987" i="1"/>
  <c r="G987" i="1"/>
  <c r="I986" i="1"/>
  <c r="H986" i="1"/>
  <c r="G986" i="1"/>
  <c r="I985" i="1"/>
  <c r="H985" i="1"/>
  <c r="G985" i="1"/>
  <c r="I984" i="1"/>
  <c r="H984" i="1"/>
  <c r="G984" i="1"/>
  <c r="I983" i="1"/>
  <c r="H983" i="1"/>
  <c r="G983" i="1"/>
  <c r="I982" i="1"/>
  <c r="H982" i="1"/>
  <c r="G982" i="1"/>
  <c r="I981" i="1"/>
  <c r="H981" i="1"/>
  <c r="G981" i="1"/>
  <c r="I980" i="1"/>
  <c r="H980" i="1"/>
  <c r="G980" i="1"/>
  <c r="I979" i="1"/>
  <c r="H979" i="1"/>
  <c r="G979" i="1"/>
  <c r="I978" i="1"/>
  <c r="H978" i="1"/>
  <c r="G978" i="1"/>
  <c r="I977" i="1"/>
  <c r="H977" i="1"/>
  <c r="G977" i="1"/>
  <c r="I976" i="1"/>
  <c r="H976" i="1"/>
  <c r="G976" i="1"/>
  <c r="I975" i="1"/>
  <c r="H975" i="1"/>
  <c r="G975" i="1"/>
  <c r="I974" i="1"/>
  <c r="H974" i="1"/>
  <c r="G974" i="1"/>
  <c r="I973" i="1"/>
  <c r="H973" i="1"/>
  <c r="G973" i="1"/>
  <c r="I972" i="1"/>
  <c r="H972" i="1"/>
  <c r="G972" i="1"/>
  <c r="I971" i="1"/>
  <c r="H971" i="1"/>
  <c r="G971" i="1"/>
  <c r="I970" i="1"/>
  <c r="H970" i="1"/>
  <c r="G970" i="1"/>
  <c r="I969" i="1"/>
  <c r="H969" i="1"/>
  <c r="G969" i="1"/>
  <c r="I968" i="1"/>
  <c r="H968" i="1"/>
  <c r="G968" i="1"/>
  <c r="I967" i="1"/>
  <c r="H967" i="1"/>
  <c r="G967" i="1"/>
  <c r="I966" i="1"/>
  <c r="H966" i="1"/>
  <c r="G966" i="1"/>
  <c r="I965" i="1"/>
  <c r="H965" i="1"/>
  <c r="G965" i="1"/>
  <c r="I964" i="1"/>
  <c r="H964" i="1"/>
  <c r="G964" i="1"/>
  <c r="I963" i="1"/>
  <c r="H963" i="1"/>
  <c r="G963" i="1"/>
  <c r="I962" i="1"/>
  <c r="H962" i="1"/>
  <c r="G962" i="1"/>
  <c r="I961" i="1"/>
  <c r="H961" i="1"/>
  <c r="G961" i="1"/>
  <c r="I960" i="1"/>
  <c r="H960" i="1"/>
  <c r="G960" i="1"/>
  <c r="I959" i="1"/>
  <c r="H959" i="1"/>
  <c r="G959" i="1"/>
  <c r="I958" i="1"/>
  <c r="H958" i="1"/>
  <c r="G958" i="1"/>
  <c r="I957" i="1"/>
  <c r="H957" i="1"/>
  <c r="G957" i="1"/>
  <c r="I956" i="1"/>
  <c r="H956" i="1"/>
  <c r="G956" i="1"/>
  <c r="I955" i="1"/>
  <c r="H955" i="1"/>
  <c r="G955" i="1"/>
  <c r="I954" i="1"/>
  <c r="H954" i="1"/>
  <c r="G954" i="1"/>
  <c r="I953" i="1"/>
  <c r="H953" i="1"/>
  <c r="G953" i="1"/>
  <c r="I952" i="1"/>
  <c r="H952" i="1"/>
  <c r="G952" i="1"/>
  <c r="I951" i="1"/>
  <c r="H951" i="1"/>
  <c r="G951" i="1"/>
  <c r="I950" i="1"/>
  <c r="H950" i="1"/>
  <c r="G950" i="1"/>
  <c r="I949" i="1"/>
  <c r="H949" i="1"/>
  <c r="G949" i="1"/>
  <c r="I948" i="1"/>
  <c r="H948" i="1"/>
  <c r="G948" i="1"/>
  <c r="I947" i="1"/>
  <c r="H947" i="1"/>
  <c r="G947" i="1"/>
  <c r="I946" i="1"/>
  <c r="H946" i="1"/>
  <c r="G946" i="1"/>
  <c r="I945" i="1"/>
  <c r="H945" i="1"/>
  <c r="G945" i="1"/>
  <c r="I944" i="1"/>
  <c r="H944" i="1"/>
  <c r="G944" i="1"/>
  <c r="I943" i="1"/>
  <c r="H943" i="1"/>
  <c r="G943" i="1"/>
  <c r="I942" i="1"/>
  <c r="H942" i="1"/>
  <c r="G942" i="1"/>
  <c r="I941" i="1"/>
  <c r="H941" i="1"/>
  <c r="G941" i="1"/>
  <c r="I940" i="1"/>
  <c r="H940" i="1"/>
  <c r="G940" i="1"/>
  <c r="I939" i="1"/>
  <c r="H939" i="1"/>
  <c r="G939" i="1"/>
  <c r="I938" i="1"/>
  <c r="H938" i="1"/>
  <c r="G938" i="1"/>
  <c r="I937" i="1"/>
  <c r="H937" i="1"/>
  <c r="G937" i="1"/>
  <c r="I936" i="1"/>
  <c r="H936" i="1"/>
  <c r="G936" i="1"/>
  <c r="I935" i="1"/>
  <c r="H935" i="1"/>
  <c r="G935" i="1"/>
  <c r="I934" i="1"/>
  <c r="H934" i="1"/>
  <c r="G934" i="1"/>
  <c r="I933" i="1"/>
  <c r="H933" i="1"/>
  <c r="G933" i="1"/>
  <c r="I932" i="1"/>
  <c r="H932" i="1"/>
  <c r="G932" i="1"/>
  <c r="I931" i="1"/>
  <c r="H931" i="1"/>
  <c r="G931" i="1"/>
  <c r="I930" i="1"/>
  <c r="H930" i="1"/>
  <c r="G930" i="1"/>
  <c r="I929" i="1"/>
  <c r="H929" i="1"/>
  <c r="G929" i="1"/>
  <c r="I928" i="1"/>
  <c r="H928" i="1"/>
  <c r="G928" i="1"/>
  <c r="I927" i="1"/>
  <c r="H927" i="1"/>
  <c r="G927" i="1"/>
  <c r="I926" i="1"/>
  <c r="H926" i="1"/>
  <c r="G926" i="1"/>
  <c r="I925" i="1"/>
  <c r="H925" i="1"/>
  <c r="G925" i="1"/>
  <c r="I924" i="1"/>
  <c r="H924" i="1"/>
  <c r="G924" i="1"/>
  <c r="I923" i="1"/>
  <c r="H923" i="1"/>
  <c r="G923" i="1"/>
  <c r="I922" i="1"/>
  <c r="H922" i="1"/>
  <c r="G922" i="1"/>
  <c r="I921" i="1"/>
  <c r="H921" i="1"/>
  <c r="G921" i="1"/>
  <c r="I920" i="1"/>
  <c r="H920" i="1"/>
  <c r="G920" i="1"/>
  <c r="I919" i="1"/>
  <c r="H919" i="1"/>
  <c r="G919" i="1"/>
  <c r="I918" i="1"/>
  <c r="H918" i="1"/>
  <c r="G918" i="1"/>
  <c r="I917" i="1"/>
  <c r="H917" i="1"/>
  <c r="G917" i="1"/>
  <c r="I916" i="1"/>
  <c r="H916" i="1"/>
  <c r="G916" i="1"/>
  <c r="I915" i="1"/>
  <c r="H915" i="1"/>
  <c r="G915" i="1"/>
  <c r="I914" i="1"/>
  <c r="H914" i="1"/>
  <c r="G914" i="1"/>
  <c r="I913" i="1"/>
  <c r="H913" i="1"/>
  <c r="G913" i="1"/>
  <c r="I912" i="1"/>
  <c r="H912" i="1"/>
  <c r="G912" i="1"/>
  <c r="I911" i="1"/>
  <c r="H911" i="1"/>
  <c r="G911" i="1"/>
  <c r="I910" i="1"/>
  <c r="H910" i="1"/>
  <c r="G910" i="1"/>
  <c r="I909" i="1"/>
  <c r="H909" i="1"/>
  <c r="G909" i="1"/>
  <c r="I908" i="1"/>
  <c r="H908" i="1"/>
  <c r="G908" i="1"/>
  <c r="I907" i="1"/>
  <c r="H907" i="1"/>
  <c r="G907" i="1"/>
  <c r="I906" i="1"/>
  <c r="H906" i="1"/>
  <c r="G906" i="1"/>
  <c r="I905" i="1"/>
  <c r="H905" i="1"/>
  <c r="G905" i="1"/>
  <c r="I904" i="1"/>
  <c r="H904" i="1"/>
  <c r="G904" i="1"/>
  <c r="I903" i="1"/>
  <c r="H903" i="1"/>
  <c r="G903" i="1"/>
  <c r="I902" i="1"/>
  <c r="H902" i="1"/>
  <c r="G902" i="1"/>
  <c r="I901" i="1"/>
  <c r="H901" i="1"/>
  <c r="G901" i="1"/>
  <c r="I900" i="1"/>
  <c r="H900" i="1"/>
  <c r="G900" i="1"/>
  <c r="I899" i="1"/>
  <c r="H899" i="1"/>
  <c r="G899" i="1"/>
  <c r="I898" i="1"/>
  <c r="H898" i="1"/>
  <c r="G898" i="1"/>
  <c r="I897" i="1"/>
  <c r="H897" i="1"/>
  <c r="G897" i="1"/>
  <c r="I896" i="1"/>
  <c r="H896" i="1"/>
  <c r="G896" i="1"/>
  <c r="I895" i="1"/>
  <c r="H895" i="1"/>
  <c r="G895" i="1"/>
  <c r="I894" i="1"/>
  <c r="H894" i="1"/>
  <c r="G894" i="1"/>
  <c r="I893" i="1"/>
  <c r="H893" i="1"/>
  <c r="G893" i="1"/>
  <c r="I892" i="1"/>
  <c r="H892" i="1"/>
  <c r="G892" i="1"/>
  <c r="I891" i="1"/>
  <c r="H891" i="1"/>
  <c r="G891" i="1"/>
  <c r="I890" i="1"/>
  <c r="H890" i="1"/>
  <c r="G890" i="1"/>
  <c r="I889" i="1"/>
  <c r="H889" i="1"/>
  <c r="G889" i="1"/>
  <c r="I888" i="1"/>
  <c r="H888" i="1"/>
  <c r="G888" i="1"/>
  <c r="I887" i="1"/>
  <c r="H887" i="1"/>
  <c r="G887" i="1"/>
  <c r="I886" i="1"/>
  <c r="H886" i="1"/>
  <c r="G886" i="1"/>
  <c r="I885" i="1"/>
  <c r="H885" i="1"/>
  <c r="G885" i="1"/>
  <c r="I884" i="1"/>
  <c r="H884" i="1"/>
  <c r="G884" i="1"/>
  <c r="I883" i="1"/>
  <c r="H883" i="1"/>
  <c r="G883" i="1"/>
  <c r="I882" i="1"/>
  <c r="H882" i="1"/>
  <c r="G882" i="1"/>
  <c r="I881" i="1"/>
  <c r="H881" i="1"/>
  <c r="G881" i="1"/>
  <c r="I880" i="1"/>
  <c r="H880" i="1"/>
  <c r="G880" i="1"/>
  <c r="I879" i="1"/>
  <c r="H879" i="1"/>
  <c r="G879" i="1"/>
  <c r="I878" i="1"/>
  <c r="H878" i="1"/>
  <c r="G878" i="1"/>
  <c r="I877" i="1"/>
  <c r="H877" i="1"/>
  <c r="G877" i="1"/>
  <c r="I876" i="1"/>
  <c r="H876" i="1"/>
  <c r="G876" i="1"/>
  <c r="I875" i="1"/>
  <c r="H875" i="1"/>
  <c r="G875" i="1"/>
  <c r="I874" i="1"/>
  <c r="H874" i="1"/>
  <c r="G874" i="1"/>
  <c r="I873" i="1"/>
  <c r="H873" i="1"/>
  <c r="G873" i="1"/>
  <c r="I872" i="1"/>
  <c r="H872" i="1"/>
  <c r="G872" i="1"/>
  <c r="I871" i="1"/>
  <c r="H871" i="1"/>
  <c r="G871" i="1"/>
  <c r="I870" i="1"/>
  <c r="H870" i="1"/>
  <c r="G870" i="1"/>
  <c r="I869" i="1"/>
  <c r="H869" i="1"/>
  <c r="G869" i="1"/>
  <c r="I868" i="1"/>
  <c r="H868" i="1"/>
  <c r="G868" i="1"/>
  <c r="I867" i="1"/>
  <c r="H867" i="1"/>
  <c r="G867" i="1"/>
  <c r="I866" i="1"/>
  <c r="H866" i="1"/>
  <c r="G866" i="1"/>
  <c r="I865" i="1"/>
  <c r="H865" i="1"/>
  <c r="G865" i="1"/>
  <c r="I864" i="1"/>
  <c r="H864" i="1"/>
  <c r="G864" i="1"/>
  <c r="I863" i="1"/>
  <c r="H863" i="1"/>
  <c r="G863" i="1"/>
  <c r="I862" i="1"/>
  <c r="H862" i="1"/>
  <c r="G862" i="1"/>
  <c r="I861" i="1"/>
  <c r="H861" i="1"/>
  <c r="G861" i="1"/>
  <c r="I860" i="1"/>
  <c r="H860" i="1"/>
  <c r="G860" i="1"/>
  <c r="I859" i="1"/>
  <c r="H859" i="1"/>
  <c r="G859" i="1"/>
  <c r="I858" i="1"/>
  <c r="H858" i="1"/>
  <c r="G858" i="1"/>
  <c r="I857" i="1"/>
  <c r="H857" i="1"/>
  <c r="G857" i="1"/>
  <c r="I856" i="1"/>
  <c r="H856" i="1"/>
  <c r="G856" i="1"/>
  <c r="I855" i="1"/>
  <c r="H855" i="1"/>
  <c r="G855" i="1"/>
  <c r="I854" i="1"/>
  <c r="H854" i="1"/>
  <c r="G854" i="1"/>
  <c r="I853" i="1"/>
  <c r="H853" i="1"/>
  <c r="G853" i="1"/>
  <c r="I852" i="1"/>
  <c r="H852" i="1"/>
  <c r="G852" i="1"/>
  <c r="I851" i="1"/>
  <c r="H851" i="1"/>
  <c r="G851" i="1"/>
  <c r="I850" i="1"/>
  <c r="H850" i="1"/>
  <c r="G850" i="1"/>
  <c r="I849" i="1"/>
  <c r="H849" i="1"/>
  <c r="G849" i="1"/>
  <c r="I848" i="1"/>
  <c r="H848" i="1"/>
  <c r="G848" i="1"/>
  <c r="I847" i="1"/>
  <c r="H847" i="1"/>
  <c r="G847" i="1"/>
  <c r="I846" i="1"/>
  <c r="H846" i="1"/>
  <c r="G846" i="1"/>
  <c r="I845" i="1"/>
  <c r="H845" i="1"/>
  <c r="G845" i="1"/>
  <c r="I844" i="1"/>
  <c r="H844" i="1"/>
  <c r="G844" i="1"/>
  <c r="I843" i="1"/>
  <c r="H843" i="1"/>
  <c r="G843" i="1"/>
  <c r="I842" i="1"/>
  <c r="H842" i="1"/>
  <c r="G842" i="1"/>
  <c r="I841" i="1"/>
  <c r="H841" i="1"/>
  <c r="G841" i="1"/>
  <c r="I840" i="1"/>
  <c r="H840" i="1"/>
  <c r="G840" i="1"/>
  <c r="I839" i="1"/>
  <c r="H839" i="1"/>
  <c r="G839" i="1"/>
  <c r="I838" i="1"/>
  <c r="H838" i="1"/>
  <c r="G838" i="1"/>
  <c r="I837" i="1"/>
  <c r="H837" i="1"/>
  <c r="G837" i="1"/>
  <c r="I836" i="1"/>
  <c r="H836" i="1"/>
  <c r="G836" i="1"/>
  <c r="I835" i="1"/>
  <c r="H835" i="1"/>
  <c r="G835" i="1"/>
  <c r="I834" i="1"/>
  <c r="H834" i="1"/>
  <c r="G834" i="1"/>
  <c r="I833" i="1"/>
  <c r="H833" i="1"/>
  <c r="G833" i="1"/>
  <c r="I832" i="1"/>
  <c r="H832" i="1"/>
  <c r="G832" i="1"/>
  <c r="I831" i="1"/>
  <c r="H831" i="1"/>
  <c r="G831" i="1"/>
  <c r="I830" i="1"/>
  <c r="H830" i="1"/>
  <c r="G830" i="1"/>
  <c r="I829" i="1"/>
  <c r="H829" i="1"/>
  <c r="G829" i="1"/>
  <c r="I828" i="1"/>
  <c r="H828" i="1"/>
  <c r="G828" i="1"/>
  <c r="I827" i="1"/>
  <c r="H827" i="1"/>
  <c r="G827" i="1"/>
  <c r="I826" i="1"/>
  <c r="H826" i="1"/>
  <c r="G826" i="1"/>
  <c r="I825" i="1"/>
  <c r="H825" i="1"/>
  <c r="G825" i="1"/>
  <c r="I824" i="1"/>
  <c r="H824" i="1"/>
  <c r="G824" i="1"/>
  <c r="I823" i="1"/>
  <c r="H823" i="1"/>
  <c r="G823" i="1"/>
  <c r="I822" i="1"/>
  <c r="H822" i="1"/>
  <c r="G822" i="1"/>
  <c r="I821" i="1"/>
  <c r="H821" i="1"/>
  <c r="G821" i="1"/>
  <c r="I820" i="1"/>
  <c r="H820" i="1"/>
  <c r="G820" i="1"/>
  <c r="I819" i="1"/>
  <c r="H819" i="1"/>
  <c r="G819" i="1"/>
  <c r="I818" i="1"/>
  <c r="H818" i="1"/>
  <c r="G818" i="1"/>
  <c r="I817" i="1"/>
  <c r="H817" i="1"/>
  <c r="G817" i="1"/>
  <c r="I816" i="1"/>
  <c r="H816" i="1"/>
  <c r="G816" i="1"/>
  <c r="I815" i="1"/>
  <c r="H815" i="1"/>
  <c r="G815" i="1"/>
  <c r="I814" i="1"/>
  <c r="H814" i="1"/>
  <c r="G814" i="1"/>
  <c r="I813" i="1"/>
  <c r="H813" i="1"/>
  <c r="G813" i="1"/>
  <c r="I812" i="1"/>
  <c r="H812" i="1"/>
  <c r="G812" i="1"/>
  <c r="I811" i="1"/>
  <c r="H811" i="1"/>
  <c r="G811" i="1"/>
  <c r="I810" i="1"/>
  <c r="H810" i="1"/>
  <c r="G810" i="1"/>
  <c r="I809" i="1"/>
  <c r="H809" i="1"/>
  <c r="G809" i="1"/>
  <c r="I808" i="1"/>
  <c r="H808" i="1"/>
  <c r="G808" i="1"/>
  <c r="I807" i="1"/>
  <c r="H807" i="1"/>
  <c r="G807" i="1"/>
  <c r="I806" i="1"/>
  <c r="H806" i="1"/>
  <c r="G806" i="1"/>
  <c r="I805" i="1"/>
  <c r="H805" i="1"/>
  <c r="G805" i="1"/>
  <c r="I804" i="1"/>
  <c r="H804" i="1"/>
  <c r="G804" i="1"/>
  <c r="I803" i="1"/>
  <c r="H803" i="1"/>
  <c r="G803" i="1"/>
  <c r="I802" i="1"/>
  <c r="H802" i="1"/>
  <c r="G802" i="1"/>
  <c r="I801" i="1"/>
  <c r="H801" i="1"/>
  <c r="G801" i="1"/>
  <c r="I800" i="1"/>
  <c r="H800" i="1"/>
  <c r="G800" i="1"/>
  <c r="I799" i="1"/>
  <c r="H799" i="1"/>
  <c r="G799" i="1"/>
  <c r="I798" i="1"/>
  <c r="H798" i="1"/>
  <c r="G798" i="1"/>
  <c r="I797" i="1"/>
  <c r="H797" i="1"/>
  <c r="G797" i="1"/>
  <c r="I796" i="1"/>
  <c r="H796" i="1"/>
  <c r="G796" i="1"/>
  <c r="I795" i="1"/>
  <c r="H795" i="1"/>
  <c r="G795" i="1"/>
  <c r="I794" i="1"/>
  <c r="H794" i="1"/>
  <c r="G794" i="1"/>
  <c r="I793" i="1"/>
  <c r="H793" i="1"/>
  <c r="G793" i="1"/>
  <c r="I792" i="1"/>
  <c r="H792" i="1"/>
  <c r="G792" i="1"/>
  <c r="I791" i="1"/>
  <c r="H791" i="1"/>
  <c r="G791" i="1"/>
  <c r="I790" i="1"/>
  <c r="H790" i="1"/>
  <c r="G790" i="1"/>
  <c r="I789" i="1"/>
  <c r="H789" i="1"/>
  <c r="G789" i="1"/>
  <c r="I788" i="1"/>
  <c r="H788" i="1"/>
  <c r="G788" i="1"/>
  <c r="I787" i="1"/>
  <c r="H787" i="1"/>
  <c r="G787" i="1"/>
  <c r="I786" i="1"/>
  <c r="H786" i="1"/>
  <c r="G786" i="1"/>
  <c r="I785" i="1"/>
  <c r="H785" i="1"/>
  <c r="G785" i="1"/>
  <c r="I784" i="1"/>
  <c r="H784" i="1"/>
  <c r="G784" i="1"/>
  <c r="I783" i="1"/>
  <c r="H783" i="1"/>
  <c r="G783" i="1"/>
  <c r="I782" i="1"/>
  <c r="H782" i="1"/>
  <c r="G782" i="1"/>
  <c r="I781" i="1"/>
  <c r="H781" i="1"/>
  <c r="G781" i="1"/>
  <c r="I780" i="1"/>
  <c r="H780" i="1"/>
  <c r="G780" i="1"/>
  <c r="I779" i="1"/>
  <c r="H779" i="1"/>
  <c r="G779" i="1"/>
  <c r="I778" i="1"/>
  <c r="H778" i="1"/>
  <c r="G778" i="1"/>
  <c r="I777" i="1"/>
  <c r="H777" i="1"/>
  <c r="G777" i="1"/>
  <c r="I776" i="1"/>
  <c r="H776" i="1"/>
  <c r="G776" i="1"/>
  <c r="I775" i="1"/>
  <c r="H775" i="1"/>
  <c r="G775" i="1"/>
  <c r="I774" i="1"/>
  <c r="H774" i="1"/>
  <c r="G774" i="1"/>
  <c r="I773" i="1"/>
  <c r="H773" i="1"/>
  <c r="G773" i="1"/>
  <c r="I772" i="1"/>
  <c r="H772" i="1"/>
  <c r="G772" i="1"/>
  <c r="I771" i="1"/>
  <c r="H771" i="1"/>
  <c r="G771" i="1"/>
  <c r="I770" i="1"/>
  <c r="H770" i="1"/>
  <c r="G770" i="1"/>
  <c r="I769" i="1"/>
  <c r="H769" i="1"/>
  <c r="G769" i="1"/>
  <c r="I768" i="1"/>
  <c r="H768" i="1"/>
  <c r="G768" i="1"/>
  <c r="I767" i="1"/>
  <c r="H767" i="1"/>
  <c r="G767" i="1"/>
  <c r="I766" i="1"/>
  <c r="H766" i="1"/>
  <c r="G766" i="1"/>
  <c r="I765" i="1"/>
  <c r="H765" i="1"/>
  <c r="G765" i="1"/>
  <c r="I764" i="1"/>
  <c r="H764" i="1"/>
  <c r="G764" i="1"/>
  <c r="I763" i="1"/>
  <c r="H763" i="1"/>
  <c r="G763" i="1"/>
  <c r="I762" i="1"/>
  <c r="H762" i="1"/>
  <c r="G762" i="1"/>
  <c r="I761" i="1"/>
  <c r="H761" i="1"/>
  <c r="G761" i="1"/>
  <c r="I760" i="1"/>
  <c r="H760" i="1"/>
  <c r="G760" i="1"/>
  <c r="I759" i="1"/>
  <c r="H759" i="1"/>
  <c r="G759" i="1"/>
  <c r="I758" i="1"/>
  <c r="H758" i="1"/>
  <c r="G758" i="1"/>
  <c r="I757" i="1"/>
  <c r="H757" i="1"/>
  <c r="G757" i="1"/>
  <c r="I756" i="1"/>
  <c r="H756" i="1"/>
  <c r="G756" i="1"/>
  <c r="I755" i="1"/>
  <c r="H755" i="1"/>
  <c r="G755" i="1"/>
  <c r="I754" i="1"/>
  <c r="H754" i="1"/>
  <c r="G754" i="1"/>
  <c r="I753" i="1"/>
  <c r="H753" i="1"/>
  <c r="G753" i="1"/>
  <c r="I752" i="1"/>
  <c r="H752" i="1"/>
  <c r="G752" i="1"/>
  <c r="I751" i="1"/>
  <c r="H751" i="1"/>
  <c r="G751" i="1"/>
  <c r="I750" i="1"/>
  <c r="H750" i="1"/>
  <c r="G750" i="1"/>
  <c r="I749" i="1"/>
  <c r="H749" i="1"/>
  <c r="G749" i="1"/>
  <c r="I748" i="1"/>
  <c r="H748" i="1"/>
  <c r="G748" i="1"/>
  <c r="I747" i="1"/>
  <c r="H747" i="1"/>
  <c r="G747" i="1"/>
  <c r="I746" i="1"/>
  <c r="H746" i="1"/>
  <c r="G746" i="1"/>
  <c r="I745" i="1"/>
  <c r="H745" i="1"/>
  <c r="G745" i="1"/>
  <c r="I744" i="1"/>
  <c r="H744" i="1"/>
  <c r="G744" i="1"/>
  <c r="I743" i="1"/>
  <c r="H743" i="1"/>
  <c r="G743" i="1"/>
  <c r="I742" i="1"/>
  <c r="H742" i="1"/>
  <c r="G742" i="1"/>
  <c r="I741" i="1"/>
  <c r="H741" i="1"/>
  <c r="G741" i="1"/>
  <c r="I740" i="1"/>
  <c r="H740" i="1"/>
  <c r="G740" i="1"/>
  <c r="I739" i="1"/>
  <c r="H739" i="1"/>
  <c r="G739" i="1"/>
  <c r="I738" i="1"/>
  <c r="H738" i="1"/>
  <c r="G738" i="1"/>
  <c r="I737" i="1"/>
  <c r="H737" i="1"/>
  <c r="G737" i="1"/>
  <c r="I736" i="1"/>
  <c r="H736" i="1"/>
  <c r="G736" i="1"/>
  <c r="I735" i="1"/>
  <c r="H735" i="1"/>
  <c r="G735" i="1"/>
  <c r="I734" i="1"/>
  <c r="H734" i="1"/>
  <c r="G734" i="1"/>
  <c r="I733" i="1"/>
  <c r="H733" i="1"/>
  <c r="G733" i="1"/>
  <c r="I732" i="1"/>
  <c r="H732" i="1"/>
  <c r="G732" i="1"/>
  <c r="I731" i="1"/>
  <c r="H731" i="1"/>
  <c r="G731" i="1"/>
  <c r="I730" i="1"/>
  <c r="H730" i="1"/>
  <c r="G730" i="1"/>
  <c r="I729" i="1"/>
  <c r="H729" i="1"/>
  <c r="G729" i="1"/>
  <c r="I728" i="1"/>
  <c r="H728" i="1"/>
  <c r="G728" i="1"/>
  <c r="I727" i="1"/>
  <c r="H727" i="1"/>
  <c r="G727" i="1"/>
  <c r="I726" i="1"/>
  <c r="H726" i="1"/>
  <c r="G726" i="1"/>
  <c r="I725" i="1"/>
  <c r="H725" i="1"/>
  <c r="G725" i="1"/>
  <c r="I724" i="1"/>
  <c r="H724" i="1"/>
  <c r="G724" i="1"/>
  <c r="I723" i="1"/>
  <c r="H723" i="1"/>
  <c r="I722" i="1"/>
  <c r="H722" i="1"/>
  <c r="I721" i="1"/>
  <c r="H721" i="1"/>
  <c r="G721" i="1"/>
  <c r="I720" i="1"/>
  <c r="H720" i="1"/>
  <c r="G720" i="1"/>
  <c r="I719" i="1"/>
  <c r="H719" i="1"/>
  <c r="G719" i="1"/>
  <c r="I718" i="1"/>
  <c r="H718" i="1"/>
  <c r="G718" i="1"/>
  <c r="I717" i="1"/>
  <c r="H717" i="1"/>
  <c r="G717" i="1"/>
  <c r="I716" i="1"/>
  <c r="H716" i="1"/>
  <c r="G716" i="1"/>
  <c r="I715" i="1"/>
  <c r="H715" i="1"/>
  <c r="G715" i="1"/>
  <c r="I714" i="1"/>
  <c r="H714" i="1"/>
  <c r="G714" i="1"/>
  <c r="I713" i="1"/>
  <c r="H713" i="1"/>
  <c r="G713" i="1"/>
  <c r="I712" i="1"/>
  <c r="H712" i="1"/>
  <c r="G712" i="1"/>
  <c r="I711" i="1"/>
  <c r="H711" i="1"/>
  <c r="G711" i="1"/>
  <c r="I710" i="1"/>
  <c r="H710" i="1"/>
  <c r="G710" i="1"/>
  <c r="I709" i="1"/>
  <c r="H709" i="1"/>
  <c r="G709" i="1"/>
  <c r="I708" i="1"/>
  <c r="H708" i="1"/>
  <c r="G708" i="1"/>
  <c r="I707" i="1"/>
  <c r="H707" i="1"/>
  <c r="G707" i="1"/>
  <c r="I706" i="1"/>
  <c r="H706" i="1"/>
  <c r="G706" i="1"/>
  <c r="I705" i="1"/>
  <c r="H705" i="1"/>
  <c r="G705" i="1"/>
  <c r="I704" i="1"/>
  <c r="H704" i="1"/>
  <c r="G704" i="1"/>
  <c r="I703" i="1"/>
  <c r="H703" i="1"/>
  <c r="G703" i="1"/>
  <c r="I702" i="1"/>
  <c r="H702" i="1"/>
  <c r="G702" i="1"/>
  <c r="I701" i="1"/>
  <c r="H701" i="1"/>
  <c r="G701" i="1"/>
  <c r="I700" i="1"/>
  <c r="H700" i="1"/>
  <c r="G700" i="1"/>
  <c r="I699" i="1"/>
  <c r="H699" i="1"/>
  <c r="G699" i="1"/>
  <c r="I698" i="1"/>
  <c r="H698" i="1"/>
  <c r="G698" i="1"/>
  <c r="I697" i="1"/>
  <c r="H697" i="1"/>
  <c r="G697" i="1"/>
  <c r="I696" i="1"/>
  <c r="H696" i="1"/>
  <c r="G696" i="1"/>
  <c r="I695" i="1"/>
  <c r="H695" i="1"/>
  <c r="G695" i="1"/>
  <c r="I694" i="1"/>
  <c r="H694" i="1"/>
  <c r="G694" i="1"/>
  <c r="I693" i="1"/>
  <c r="H693" i="1"/>
  <c r="G693" i="1"/>
  <c r="I692" i="1"/>
  <c r="H692" i="1"/>
  <c r="G692" i="1"/>
  <c r="I691" i="1"/>
  <c r="H691" i="1"/>
  <c r="G691" i="1"/>
  <c r="I690" i="1"/>
  <c r="H690" i="1"/>
  <c r="G690" i="1"/>
  <c r="I689" i="1"/>
  <c r="H689" i="1"/>
  <c r="G689" i="1"/>
  <c r="I688" i="1"/>
  <c r="H688" i="1"/>
  <c r="G688" i="1"/>
  <c r="I687" i="1"/>
  <c r="H687" i="1"/>
  <c r="G687" i="1"/>
  <c r="I686" i="1"/>
  <c r="H686" i="1"/>
  <c r="G686" i="1"/>
  <c r="I685" i="1"/>
  <c r="H685" i="1"/>
  <c r="G685" i="1"/>
  <c r="I684" i="1"/>
  <c r="H684" i="1"/>
  <c r="G684" i="1"/>
  <c r="I683" i="1"/>
  <c r="H683" i="1"/>
  <c r="G683" i="1"/>
  <c r="I682" i="1"/>
  <c r="H682" i="1"/>
  <c r="G682" i="1"/>
  <c r="I681" i="1"/>
  <c r="H681" i="1"/>
  <c r="G681" i="1"/>
  <c r="I680" i="1"/>
  <c r="H680" i="1"/>
  <c r="G680" i="1"/>
  <c r="I679" i="1"/>
  <c r="H679" i="1"/>
  <c r="G679" i="1"/>
  <c r="I678" i="1"/>
  <c r="H678" i="1"/>
  <c r="G678" i="1"/>
  <c r="I677" i="1"/>
  <c r="H677" i="1"/>
  <c r="G677" i="1"/>
  <c r="I676" i="1"/>
  <c r="H676" i="1"/>
  <c r="G676" i="1"/>
  <c r="I675" i="1"/>
  <c r="H675" i="1"/>
  <c r="G675" i="1"/>
  <c r="I674" i="1"/>
  <c r="H674" i="1"/>
  <c r="G674" i="1"/>
  <c r="I673" i="1"/>
  <c r="H673" i="1"/>
  <c r="G673" i="1"/>
  <c r="I672" i="1"/>
  <c r="H672" i="1"/>
  <c r="G672" i="1"/>
  <c r="I671" i="1"/>
  <c r="H671" i="1"/>
  <c r="G671" i="1"/>
  <c r="I670" i="1"/>
  <c r="H670" i="1"/>
  <c r="G670" i="1"/>
  <c r="I669" i="1"/>
  <c r="H669" i="1"/>
  <c r="G669" i="1"/>
  <c r="I668" i="1"/>
  <c r="H668" i="1"/>
  <c r="G668" i="1"/>
  <c r="I667" i="1"/>
  <c r="H667" i="1"/>
  <c r="G667" i="1"/>
  <c r="I666" i="1"/>
  <c r="H666" i="1"/>
  <c r="G666" i="1"/>
  <c r="I665" i="1"/>
  <c r="H665" i="1"/>
  <c r="G665" i="1"/>
  <c r="I664" i="1"/>
  <c r="H664" i="1"/>
  <c r="G664" i="1"/>
  <c r="I663" i="1"/>
  <c r="H663" i="1"/>
  <c r="G663" i="1"/>
  <c r="I662" i="1"/>
  <c r="H662" i="1"/>
  <c r="G662" i="1"/>
  <c r="I661" i="1"/>
  <c r="H661" i="1"/>
  <c r="G661" i="1"/>
  <c r="I660" i="1"/>
  <c r="H660" i="1"/>
  <c r="G660" i="1"/>
  <c r="I659" i="1"/>
  <c r="H659" i="1"/>
  <c r="G659" i="1"/>
  <c r="I658" i="1"/>
  <c r="H658" i="1"/>
  <c r="G658" i="1"/>
  <c r="I657" i="1"/>
  <c r="H657" i="1"/>
  <c r="G657" i="1"/>
  <c r="I656" i="1"/>
  <c r="H656" i="1"/>
  <c r="G656" i="1"/>
  <c r="I655" i="1"/>
  <c r="H655" i="1"/>
  <c r="G655" i="1"/>
  <c r="I654" i="1"/>
  <c r="H654" i="1"/>
  <c r="G654" i="1"/>
  <c r="I653" i="1"/>
  <c r="H653" i="1"/>
  <c r="G653" i="1"/>
  <c r="I652" i="1"/>
  <c r="H652" i="1"/>
  <c r="G652" i="1"/>
  <c r="I651" i="1"/>
  <c r="H651" i="1"/>
  <c r="G651" i="1"/>
  <c r="I650" i="1"/>
  <c r="H650" i="1"/>
  <c r="G650" i="1"/>
  <c r="I649" i="1"/>
  <c r="H649" i="1"/>
  <c r="G649" i="1"/>
  <c r="I648" i="1"/>
  <c r="H648" i="1"/>
  <c r="G648" i="1"/>
  <c r="I647" i="1"/>
  <c r="H647" i="1"/>
  <c r="G647" i="1"/>
  <c r="I646" i="1"/>
  <c r="H646" i="1"/>
  <c r="G646" i="1"/>
  <c r="I645" i="1"/>
  <c r="H645" i="1"/>
  <c r="G645" i="1"/>
  <c r="I644" i="1"/>
  <c r="H644" i="1"/>
  <c r="G644" i="1"/>
  <c r="I643" i="1"/>
  <c r="H643" i="1"/>
  <c r="G643" i="1"/>
  <c r="I642" i="1"/>
  <c r="H642" i="1"/>
  <c r="G642" i="1"/>
  <c r="I641" i="1"/>
  <c r="H641" i="1"/>
  <c r="G641" i="1"/>
  <c r="I640" i="1"/>
  <c r="H640" i="1"/>
  <c r="G640" i="1"/>
  <c r="I639" i="1"/>
  <c r="H639" i="1"/>
  <c r="G639" i="1"/>
  <c r="I638" i="1"/>
  <c r="H638" i="1"/>
  <c r="G638" i="1"/>
  <c r="I637" i="1"/>
  <c r="H637" i="1"/>
  <c r="G637" i="1"/>
  <c r="I636" i="1"/>
  <c r="H636" i="1"/>
  <c r="G636" i="1"/>
  <c r="I635" i="1"/>
  <c r="H635" i="1"/>
  <c r="G635" i="1"/>
  <c r="I634" i="1"/>
  <c r="H634" i="1"/>
  <c r="G634" i="1"/>
  <c r="I633" i="1"/>
  <c r="H633" i="1"/>
  <c r="G633" i="1"/>
  <c r="I632" i="1"/>
  <c r="H632" i="1"/>
  <c r="G632" i="1"/>
  <c r="I631" i="1"/>
  <c r="H631" i="1"/>
  <c r="G631" i="1"/>
  <c r="I630" i="1"/>
  <c r="H630" i="1"/>
  <c r="G630" i="1"/>
  <c r="I629" i="1"/>
  <c r="H629" i="1"/>
  <c r="G629" i="1"/>
  <c r="I628" i="1"/>
  <c r="H628" i="1"/>
  <c r="G628" i="1"/>
  <c r="I627" i="1"/>
  <c r="H627" i="1"/>
  <c r="G627" i="1"/>
  <c r="I626" i="1"/>
  <c r="H626" i="1"/>
  <c r="G626" i="1"/>
  <c r="I625" i="1"/>
  <c r="H625" i="1"/>
  <c r="G625" i="1"/>
  <c r="I624" i="1"/>
  <c r="H624" i="1"/>
  <c r="G624" i="1"/>
  <c r="I623" i="1"/>
  <c r="H623" i="1"/>
  <c r="G623" i="1"/>
  <c r="I622" i="1"/>
  <c r="H622" i="1"/>
  <c r="G622" i="1"/>
  <c r="I621" i="1"/>
  <c r="H621" i="1"/>
  <c r="G621" i="1"/>
  <c r="I620" i="1"/>
  <c r="H620" i="1"/>
  <c r="G620" i="1"/>
  <c r="I619" i="1"/>
  <c r="H619" i="1"/>
  <c r="G619" i="1"/>
  <c r="I618" i="1"/>
  <c r="H618" i="1"/>
  <c r="G618" i="1"/>
  <c r="I617" i="1"/>
  <c r="H617" i="1"/>
  <c r="G617" i="1"/>
  <c r="I616" i="1"/>
  <c r="H616" i="1"/>
  <c r="G616" i="1"/>
  <c r="I615" i="1"/>
  <c r="H615" i="1"/>
  <c r="G615" i="1"/>
  <c r="I614" i="1"/>
  <c r="H614" i="1"/>
  <c r="G614" i="1"/>
  <c r="I613" i="1"/>
  <c r="H613" i="1"/>
  <c r="G613" i="1"/>
  <c r="I612" i="1"/>
  <c r="H612" i="1"/>
  <c r="G612" i="1"/>
  <c r="I611" i="1"/>
  <c r="H611" i="1"/>
  <c r="G611" i="1"/>
  <c r="I610" i="1"/>
  <c r="H610" i="1"/>
  <c r="G610" i="1"/>
  <c r="I609" i="1"/>
  <c r="H609" i="1"/>
  <c r="G609" i="1"/>
  <c r="I608" i="1"/>
  <c r="H608" i="1"/>
  <c r="G608" i="1"/>
  <c r="I607" i="1"/>
  <c r="H607" i="1"/>
  <c r="G607" i="1"/>
  <c r="I606" i="1"/>
  <c r="H606" i="1"/>
  <c r="G606" i="1"/>
  <c r="I605" i="1"/>
  <c r="H605" i="1"/>
  <c r="G605" i="1"/>
  <c r="I604" i="1"/>
  <c r="H604" i="1"/>
  <c r="G604" i="1"/>
  <c r="I603" i="1"/>
  <c r="H603" i="1"/>
  <c r="G603" i="1"/>
  <c r="I602" i="1"/>
  <c r="H602" i="1"/>
  <c r="G602" i="1"/>
  <c r="I601" i="1"/>
  <c r="H601" i="1"/>
  <c r="G601" i="1"/>
  <c r="I600" i="1"/>
  <c r="H600" i="1"/>
  <c r="G600" i="1"/>
  <c r="I599" i="1"/>
  <c r="H599" i="1"/>
  <c r="G599" i="1"/>
  <c r="I598" i="1"/>
  <c r="H598" i="1"/>
  <c r="G598" i="1"/>
  <c r="I597" i="1"/>
  <c r="H597" i="1"/>
  <c r="G597" i="1"/>
  <c r="I596" i="1"/>
  <c r="H596" i="1"/>
  <c r="G596" i="1"/>
  <c r="I595" i="1"/>
  <c r="H595" i="1"/>
  <c r="G595" i="1"/>
  <c r="I594" i="1"/>
  <c r="H594" i="1"/>
  <c r="G594" i="1"/>
  <c r="I593" i="1"/>
  <c r="H593" i="1"/>
  <c r="G593" i="1"/>
  <c r="I592" i="1"/>
  <c r="H592" i="1"/>
  <c r="G592" i="1"/>
  <c r="I591" i="1"/>
  <c r="H591" i="1"/>
  <c r="G591" i="1"/>
  <c r="I590" i="1"/>
  <c r="H590" i="1"/>
  <c r="G590" i="1"/>
  <c r="I589" i="1"/>
  <c r="H589" i="1"/>
  <c r="G589" i="1"/>
  <c r="I588" i="1"/>
  <c r="H588" i="1"/>
  <c r="G588" i="1"/>
  <c r="I587" i="1"/>
  <c r="H587" i="1"/>
  <c r="G587" i="1"/>
  <c r="I586" i="1"/>
  <c r="H586" i="1"/>
  <c r="G586" i="1"/>
  <c r="I585" i="1"/>
  <c r="H585" i="1"/>
  <c r="G585" i="1"/>
  <c r="I584" i="1"/>
  <c r="H584" i="1"/>
  <c r="G584" i="1"/>
  <c r="I583" i="1"/>
  <c r="H583" i="1"/>
  <c r="G583" i="1"/>
  <c r="I582" i="1"/>
  <c r="H582" i="1"/>
  <c r="G582" i="1"/>
  <c r="I581" i="1"/>
  <c r="H581" i="1"/>
  <c r="G581" i="1"/>
  <c r="I580" i="1"/>
  <c r="H580" i="1"/>
  <c r="G580" i="1"/>
  <c r="I579" i="1"/>
  <c r="H579" i="1"/>
  <c r="G579" i="1"/>
  <c r="I578" i="1"/>
  <c r="H578" i="1"/>
  <c r="G578" i="1"/>
  <c r="I577" i="1"/>
  <c r="H577" i="1"/>
  <c r="G577" i="1"/>
  <c r="I576" i="1"/>
  <c r="H576" i="1"/>
  <c r="G576" i="1"/>
  <c r="I575" i="1"/>
  <c r="H575" i="1"/>
  <c r="G575" i="1"/>
  <c r="I574" i="1"/>
  <c r="H574" i="1"/>
  <c r="G574" i="1"/>
  <c r="I573" i="1"/>
  <c r="H573" i="1"/>
  <c r="G573" i="1"/>
  <c r="I572" i="1"/>
  <c r="H572" i="1"/>
  <c r="G572" i="1"/>
  <c r="I571" i="1"/>
  <c r="H571" i="1"/>
  <c r="G571" i="1"/>
  <c r="I570" i="1"/>
  <c r="H570" i="1"/>
  <c r="G570" i="1"/>
  <c r="I569" i="1"/>
  <c r="H569" i="1"/>
  <c r="G569" i="1"/>
  <c r="I568" i="1"/>
  <c r="H568" i="1"/>
  <c r="G568" i="1"/>
  <c r="I567" i="1"/>
  <c r="H567" i="1"/>
  <c r="G567" i="1"/>
  <c r="I566" i="1"/>
  <c r="H566" i="1"/>
  <c r="G566" i="1"/>
  <c r="I565" i="1"/>
  <c r="H565" i="1"/>
  <c r="G565" i="1"/>
  <c r="I564" i="1"/>
  <c r="H564" i="1"/>
  <c r="G564" i="1"/>
  <c r="I563" i="1"/>
  <c r="H563" i="1"/>
  <c r="G563" i="1"/>
  <c r="I562" i="1"/>
  <c r="H562" i="1"/>
  <c r="G562" i="1"/>
  <c r="I561" i="1"/>
  <c r="H561" i="1"/>
  <c r="G561" i="1"/>
  <c r="I560" i="1"/>
  <c r="H560" i="1"/>
  <c r="G560" i="1"/>
  <c r="I559" i="1"/>
  <c r="H559" i="1"/>
  <c r="G559" i="1"/>
  <c r="I558" i="1"/>
  <c r="H558" i="1"/>
  <c r="G558" i="1"/>
  <c r="I557" i="1"/>
  <c r="H557" i="1"/>
  <c r="G557" i="1"/>
  <c r="I556" i="1"/>
  <c r="H556" i="1"/>
  <c r="G556" i="1"/>
  <c r="I555" i="1"/>
  <c r="H555" i="1"/>
  <c r="G555" i="1"/>
  <c r="I554" i="1"/>
  <c r="H554" i="1"/>
  <c r="G554" i="1"/>
  <c r="I553" i="1"/>
  <c r="H553" i="1"/>
  <c r="G553" i="1"/>
  <c r="I552" i="1"/>
  <c r="H552" i="1"/>
  <c r="G552" i="1"/>
  <c r="I551" i="1"/>
  <c r="H551" i="1"/>
  <c r="G551" i="1"/>
  <c r="I550" i="1"/>
  <c r="H550" i="1"/>
  <c r="G550" i="1"/>
  <c r="I549" i="1"/>
  <c r="H549" i="1"/>
  <c r="G549" i="1"/>
  <c r="I548" i="1"/>
  <c r="H548" i="1"/>
  <c r="G548" i="1"/>
  <c r="I547" i="1"/>
  <c r="H547" i="1"/>
  <c r="G547" i="1"/>
  <c r="I546" i="1"/>
  <c r="H546" i="1"/>
  <c r="G546" i="1"/>
  <c r="H545" i="1"/>
  <c r="G545" i="1"/>
  <c r="G544" i="1"/>
  <c r="G543" i="1"/>
  <c r="G542" i="1"/>
  <c r="G541" i="1"/>
  <c r="H540" i="1"/>
  <c r="G540" i="1"/>
  <c r="H539" i="1"/>
  <c r="G539" i="1"/>
  <c r="H538" i="1"/>
  <c r="G538" i="1"/>
  <c r="H537" i="1"/>
  <c r="G537" i="1"/>
  <c r="G536" i="1"/>
  <c r="G535" i="1"/>
  <c r="G534" i="1"/>
  <c r="G533" i="1"/>
  <c r="H532" i="1"/>
  <c r="G532" i="1"/>
  <c r="G531" i="1"/>
  <c r="H530" i="1"/>
  <c r="G530" i="1"/>
  <c r="G529" i="1"/>
  <c r="G528" i="1"/>
  <c r="H527" i="1"/>
  <c r="G527" i="1"/>
  <c r="I526" i="1"/>
  <c r="H526" i="1"/>
  <c r="G526" i="1"/>
  <c r="G525" i="1"/>
  <c r="H524" i="1"/>
  <c r="G524" i="1"/>
  <c r="H523" i="1"/>
  <c r="G523" i="1"/>
  <c r="H522" i="1"/>
  <c r="G522" i="1"/>
  <c r="G521" i="1"/>
  <c r="G520" i="1"/>
  <c r="H519" i="1"/>
  <c r="G519" i="1"/>
  <c r="H518" i="1"/>
  <c r="G518" i="1"/>
  <c r="H517" i="1"/>
  <c r="G517" i="1"/>
  <c r="H516" i="1"/>
  <c r="G515" i="1"/>
  <c r="I514" i="1"/>
  <c r="G514" i="1"/>
  <c r="G513" i="1"/>
  <c r="H512" i="1"/>
  <c r="G512" i="1"/>
  <c r="G511" i="1"/>
  <c r="G510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G502" i="1"/>
  <c r="G501" i="1"/>
  <c r="G500" i="1"/>
  <c r="G499" i="1"/>
  <c r="H498" i="1"/>
  <c r="G498" i="1"/>
  <c r="H497" i="1"/>
  <c r="G497" i="1"/>
  <c r="I496" i="1"/>
  <c r="H496" i="1"/>
  <c r="G496" i="1"/>
  <c r="G495" i="1"/>
  <c r="H494" i="1"/>
  <c r="G494" i="1"/>
  <c r="I493" i="1"/>
  <c r="H493" i="1"/>
  <c r="G493" i="1"/>
  <c r="H492" i="1"/>
  <c r="G492" i="1"/>
  <c r="I491" i="1"/>
  <c r="H491" i="1"/>
  <c r="G491" i="1"/>
  <c r="H490" i="1"/>
  <c r="G490" i="1"/>
  <c r="G489" i="1"/>
  <c r="G488" i="1"/>
  <c r="G487" i="1"/>
  <c r="G486" i="1"/>
  <c r="G485" i="1"/>
  <c r="G484" i="1"/>
  <c r="H483" i="1"/>
  <c r="G483" i="1"/>
  <c r="H482" i="1"/>
  <c r="G482" i="1"/>
  <c r="H481" i="1"/>
  <c r="G481" i="1"/>
  <c r="I480" i="1"/>
  <c r="H480" i="1"/>
  <c r="G480" i="1"/>
  <c r="G479" i="1"/>
  <c r="G478" i="1"/>
  <c r="G477" i="1"/>
  <c r="G476" i="1"/>
  <c r="G475" i="1"/>
  <c r="H474" i="1"/>
  <c r="G474" i="1"/>
  <c r="H473" i="1"/>
  <c r="G473" i="1"/>
  <c r="G472" i="1"/>
  <c r="G471" i="1"/>
  <c r="H470" i="1"/>
  <c r="G470" i="1"/>
  <c r="G469" i="1"/>
  <c r="G468" i="1"/>
  <c r="H467" i="1"/>
  <c r="G467" i="1"/>
  <c r="H466" i="1"/>
  <c r="G466" i="1"/>
  <c r="I465" i="1"/>
  <c r="H465" i="1"/>
  <c r="G465" i="1"/>
  <c r="H464" i="1"/>
  <c r="G464" i="1"/>
  <c r="H463" i="1"/>
  <c r="G463" i="1"/>
  <c r="H462" i="1"/>
  <c r="G462" i="1"/>
  <c r="G461" i="1"/>
  <c r="G460" i="1"/>
  <c r="G459" i="1"/>
  <c r="H458" i="1"/>
  <c r="G458" i="1"/>
  <c r="H457" i="1"/>
  <c r="G457" i="1"/>
  <c r="G456" i="1"/>
  <c r="H455" i="1"/>
  <c r="G455" i="1"/>
  <c r="G454" i="1"/>
  <c r="H453" i="1"/>
  <c r="G453" i="1"/>
  <c r="H452" i="1"/>
  <c r="G452" i="1"/>
  <c r="G451" i="1"/>
  <c r="H450" i="1"/>
  <c r="G450" i="1"/>
  <c r="H449" i="1"/>
  <c r="G449" i="1"/>
  <c r="G448" i="1"/>
  <c r="H447" i="1"/>
  <c r="G447" i="1"/>
  <c r="H446" i="1"/>
  <c r="G446" i="1"/>
  <c r="G445" i="1"/>
  <c r="H444" i="1"/>
  <c r="G444" i="1"/>
  <c r="H443" i="1"/>
  <c r="G443" i="1"/>
  <c r="G442" i="1"/>
  <c r="G441" i="1"/>
  <c r="G440" i="1"/>
  <c r="H439" i="1"/>
  <c r="G439" i="1"/>
  <c r="G438" i="1"/>
  <c r="G437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G428" i="1"/>
  <c r="H427" i="1"/>
  <c r="G427" i="1"/>
  <c r="I426" i="1"/>
  <c r="H426" i="1"/>
  <c r="G426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I417" i="1"/>
  <c r="G417" i="1"/>
  <c r="H416" i="1"/>
  <c r="G416" i="1"/>
  <c r="I415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I398" i="1"/>
  <c r="H398" i="1"/>
  <c r="G398" i="1"/>
  <c r="H397" i="1"/>
  <c r="G397" i="1"/>
  <c r="H396" i="1"/>
  <c r="G396" i="1"/>
  <c r="H395" i="1"/>
  <c r="G395" i="1"/>
  <c r="H394" i="1"/>
  <c r="G394" i="1"/>
  <c r="I393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G356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G340" i="1"/>
  <c r="I339" i="1"/>
  <c r="G339" i="1"/>
  <c r="I338" i="1"/>
  <c r="G338" i="1"/>
  <c r="I337" i="1"/>
  <c r="G337" i="1"/>
  <c r="G336" i="1"/>
  <c r="G335" i="1"/>
  <c r="H334" i="1"/>
  <c r="G334" i="1"/>
  <c r="I333" i="1"/>
  <c r="G333" i="1"/>
  <c r="I332" i="1"/>
  <c r="G332" i="1"/>
  <c r="I331" i="1"/>
  <c r="G331" i="1"/>
  <c r="G330" i="1"/>
  <c r="I329" i="1"/>
  <c r="H329" i="1"/>
  <c r="G329" i="1"/>
  <c r="I328" i="1"/>
  <c r="G328" i="1"/>
  <c r="G327" i="1"/>
  <c r="G326" i="1"/>
  <c r="I325" i="1"/>
  <c r="G325" i="1"/>
  <c r="I324" i="1"/>
  <c r="G324" i="1"/>
  <c r="I323" i="1"/>
  <c r="G323" i="1"/>
  <c r="G322" i="1"/>
  <c r="G321" i="1"/>
  <c r="H320" i="1"/>
  <c r="G320" i="1"/>
  <c r="I319" i="1"/>
  <c r="H319" i="1"/>
  <c r="G319" i="1"/>
  <c r="G318" i="1"/>
  <c r="G317" i="1"/>
  <c r="H316" i="1"/>
  <c r="G316" i="1"/>
  <c r="I315" i="1"/>
  <c r="H315" i="1"/>
  <c r="G315" i="1"/>
  <c r="H314" i="1"/>
  <c r="G314" i="1"/>
  <c r="G313" i="1"/>
  <c r="G312" i="1"/>
  <c r="I311" i="1"/>
  <c r="G311" i="1"/>
  <c r="I310" i="1"/>
  <c r="G310" i="1"/>
  <c r="G309" i="1"/>
  <c r="G308" i="1"/>
  <c r="G307" i="1"/>
  <c r="I306" i="1"/>
  <c r="G306" i="1"/>
  <c r="I305" i="1"/>
  <c r="G305" i="1"/>
  <c r="I304" i="1"/>
  <c r="G304" i="1"/>
  <c r="I303" i="1"/>
  <c r="H303" i="1"/>
  <c r="G303" i="1"/>
  <c r="G302" i="1"/>
  <c r="I301" i="1"/>
  <c r="G301" i="1"/>
  <c r="I300" i="1"/>
  <c r="G300" i="1"/>
  <c r="G299" i="1"/>
  <c r="G298" i="1"/>
  <c r="G297" i="1"/>
  <c r="G296" i="1"/>
  <c r="I295" i="1"/>
  <c r="H295" i="1"/>
  <c r="G295" i="1"/>
  <c r="I294" i="1"/>
  <c r="G294" i="1"/>
  <c r="I293" i="1"/>
  <c r="G293" i="1"/>
  <c r="I292" i="1"/>
  <c r="G292" i="1"/>
  <c r="I291" i="1"/>
  <c r="H291" i="1"/>
  <c r="G291" i="1"/>
  <c r="I290" i="1"/>
  <c r="H290" i="1"/>
  <c r="G290" i="1"/>
  <c r="G289" i="1"/>
  <c r="H288" i="1"/>
  <c r="G288" i="1"/>
  <c r="H287" i="1"/>
  <c r="G287" i="1"/>
  <c r="G286" i="1"/>
  <c r="H285" i="1"/>
  <c r="G285" i="1"/>
  <c r="I284" i="1"/>
  <c r="G284" i="1"/>
  <c r="I283" i="1"/>
  <c r="G283" i="1"/>
  <c r="I282" i="1"/>
  <c r="G282" i="1"/>
  <c r="I281" i="1"/>
  <c r="G281" i="1"/>
  <c r="G280" i="1"/>
  <c r="G279" i="1"/>
  <c r="G278" i="1"/>
  <c r="G277" i="1"/>
  <c r="G276" i="1"/>
  <c r="I275" i="1"/>
  <c r="G275" i="1"/>
  <c r="I274" i="1"/>
  <c r="G274" i="1"/>
  <c r="I273" i="1"/>
  <c r="H273" i="1"/>
  <c r="G273" i="1"/>
  <c r="I272" i="1"/>
  <c r="G272" i="1"/>
  <c r="G271" i="1"/>
  <c r="G270" i="1"/>
  <c r="G269" i="1"/>
  <c r="H268" i="1"/>
  <c r="G268" i="1"/>
  <c r="G267" i="1"/>
  <c r="I266" i="1"/>
  <c r="G266" i="1"/>
  <c r="G265" i="1"/>
  <c r="G264" i="1"/>
  <c r="G263" i="1"/>
  <c r="G262" i="1"/>
  <c r="G261" i="1"/>
  <c r="G260" i="1"/>
  <c r="G259" i="1"/>
  <c r="I258" i="1"/>
  <c r="G258" i="1"/>
  <c r="I257" i="1"/>
  <c r="G257" i="1"/>
  <c r="I256" i="1"/>
  <c r="G256" i="1"/>
  <c r="I255" i="1"/>
  <c r="G255" i="1"/>
  <c r="G254" i="1"/>
  <c r="G253" i="1"/>
  <c r="G252" i="1"/>
  <c r="I251" i="1"/>
  <c r="G251" i="1"/>
  <c r="I250" i="1"/>
  <c r="G250" i="1"/>
  <c r="I249" i="1"/>
  <c r="G249" i="1"/>
  <c r="G248" i="1"/>
  <c r="G247" i="1"/>
  <c r="G246" i="1"/>
  <c r="I245" i="1"/>
  <c r="G245" i="1"/>
  <c r="G244" i="1"/>
  <c r="G243" i="1"/>
  <c r="I242" i="1"/>
  <c r="H242" i="1"/>
  <c r="G242" i="1"/>
  <c r="I241" i="1"/>
  <c r="H241" i="1"/>
  <c r="G241" i="1"/>
  <c r="H240" i="1"/>
  <c r="G240" i="1"/>
  <c r="I239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G233" i="1"/>
  <c r="G232" i="1"/>
  <c r="H231" i="1"/>
  <c r="G231" i="1"/>
  <c r="G230" i="1"/>
  <c r="I229" i="1"/>
  <c r="H229" i="1"/>
  <c r="G229" i="1"/>
  <c r="H228" i="1"/>
  <c r="G228" i="1"/>
  <c r="H227" i="1"/>
  <c r="G227" i="1"/>
  <c r="I226" i="1"/>
  <c r="G226" i="1"/>
  <c r="I225" i="1"/>
  <c r="G225" i="1"/>
  <c r="H224" i="1"/>
  <c r="G224" i="1"/>
  <c r="H223" i="1"/>
  <c r="G223" i="1"/>
  <c r="H222" i="1"/>
  <c r="G222" i="1"/>
  <c r="G221" i="1"/>
  <c r="G220" i="1"/>
  <c r="H219" i="1"/>
  <c r="G219" i="1"/>
  <c r="H218" i="1"/>
  <c r="G218" i="1"/>
  <c r="I217" i="1"/>
  <c r="H217" i="1"/>
  <c r="G217" i="1"/>
  <c r="G216" i="1"/>
  <c r="I215" i="1"/>
  <c r="H215" i="1"/>
  <c r="G215" i="1"/>
  <c r="G214" i="1"/>
  <c r="I213" i="1"/>
  <c r="H213" i="1"/>
  <c r="G213" i="1"/>
  <c r="H212" i="1"/>
  <c r="G212" i="1"/>
  <c r="H211" i="1"/>
  <c r="G211" i="1"/>
  <c r="H210" i="1"/>
  <c r="G210" i="1"/>
  <c r="H209" i="1"/>
  <c r="G209" i="1"/>
  <c r="G208" i="1"/>
  <c r="H207" i="1"/>
  <c r="G207" i="1"/>
  <c r="I206" i="1"/>
  <c r="H206" i="1"/>
  <c r="G206" i="1"/>
  <c r="H205" i="1"/>
  <c r="G205" i="1"/>
  <c r="H204" i="1"/>
  <c r="G204" i="1"/>
  <c r="H203" i="1"/>
  <c r="G203" i="1"/>
  <c r="H202" i="1"/>
  <c r="G202" i="1"/>
  <c r="G201" i="1"/>
  <c r="G200" i="1"/>
  <c r="G199" i="1"/>
  <c r="G198" i="1"/>
  <c r="G197" i="1"/>
  <c r="G196" i="1"/>
  <c r="H195" i="1"/>
  <c r="G195" i="1"/>
  <c r="G194" i="1"/>
  <c r="G193" i="1"/>
  <c r="G192" i="1"/>
  <c r="G191" i="1"/>
  <c r="G190" i="1"/>
  <c r="G189" i="1"/>
  <c r="G188" i="1"/>
  <c r="H187" i="1"/>
  <c r="G187" i="1"/>
  <c r="H186" i="1"/>
  <c r="G186" i="1"/>
  <c r="H185" i="1"/>
  <c r="G185" i="1"/>
  <c r="G184" i="1"/>
  <c r="G183" i="1"/>
  <c r="H182" i="1"/>
  <c r="G182" i="1"/>
  <c r="H181" i="1"/>
  <c r="G181" i="1"/>
  <c r="G180" i="1"/>
  <c r="H179" i="1"/>
  <c r="G179" i="1"/>
  <c r="I178" i="1"/>
  <c r="G178" i="1"/>
  <c r="G177" i="1"/>
  <c r="G176" i="1"/>
  <c r="H175" i="1"/>
  <c r="G174" i="1"/>
  <c r="G173" i="1"/>
  <c r="G172" i="1"/>
  <c r="I171" i="1"/>
  <c r="H171" i="1"/>
  <c r="G171" i="1"/>
  <c r="I170" i="1"/>
  <c r="H170" i="1"/>
  <c r="G170" i="1"/>
  <c r="I169" i="1"/>
  <c r="H169" i="1"/>
  <c r="G169" i="1"/>
  <c r="G168" i="1"/>
  <c r="I167" i="1"/>
  <c r="H167" i="1"/>
  <c r="G167" i="1"/>
  <c r="H166" i="1"/>
  <c r="G166" i="1"/>
  <c r="H165" i="1"/>
  <c r="G165" i="1"/>
  <c r="G164" i="1"/>
  <c r="H163" i="1"/>
  <c r="G163" i="1"/>
  <c r="H162" i="1"/>
  <c r="G162" i="1"/>
  <c r="H161" i="1"/>
  <c r="G161" i="1"/>
  <c r="G160" i="1"/>
  <c r="G159" i="1"/>
  <c r="G158" i="1"/>
  <c r="H157" i="1"/>
  <c r="G157" i="1"/>
  <c r="G156" i="1"/>
  <c r="H155" i="1"/>
  <c r="G155" i="1"/>
  <c r="H154" i="1"/>
  <c r="G154" i="1"/>
  <c r="G153" i="1"/>
  <c r="H152" i="1"/>
  <c r="G152" i="1"/>
  <c r="H151" i="1"/>
  <c r="I150" i="1"/>
  <c r="H150" i="1"/>
  <c r="G150" i="1"/>
  <c r="H149" i="1"/>
  <c r="G149" i="1"/>
  <c r="H148" i="1"/>
  <c r="G148" i="1"/>
  <c r="H147" i="1"/>
  <c r="G147" i="1"/>
  <c r="H146" i="1"/>
  <c r="G146" i="1"/>
  <c r="G145" i="1"/>
  <c r="G144" i="1"/>
  <c r="G143" i="1"/>
  <c r="G142" i="1"/>
  <c r="G141" i="1"/>
  <c r="G140" i="1"/>
  <c r="G139" i="1"/>
  <c r="G138" i="1"/>
  <c r="H137" i="1"/>
  <c r="G137" i="1"/>
  <c r="H136" i="1"/>
  <c r="G136" i="1"/>
  <c r="H135" i="1"/>
  <c r="G135" i="1"/>
  <c r="H134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H118" i="1"/>
  <c r="G118" i="1"/>
  <c r="H117" i="1"/>
  <c r="G117" i="1"/>
  <c r="H116" i="1"/>
  <c r="G116" i="1"/>
  <c r="H115" i="1"/>
  <c r="G115" i="1"/>
  <c r="H114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H89" i="1"/>
  <c r="G89" i="1"/>
  <c r="H88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H58" i="1"/>
  <c r="G58" i="1"/>
  <c r="H57" i="1"/>
  <c r="G57" i="1"/>
  <c r="H56" i="1"/>
  <c r="G56" i="1"/>
  <c r="H55" i="1"/>
  <c r="G55" i="1"/>
  <c r="H54" i="1"/>
  <c r="G54" i="1"/>
  <c r="G53" i="1"/>
  <c r="H52" i="1"/>
  <c r="G52" i="1"/>
  <c r="H51" i="1"/>
  <c r="G51" i="1"/>
  <c r="G50" i="1"/>
  <c r="G49" i="1"/>
  <c r="H48" i="1"/>
  <c r="G48" i="1"/>
  <c r="H47" i="1"/>
  <c r="G47" i="1"/>
  <c r="H46" i="1"/>
  <c r="G46" i="1"/>
  <c r="G45" i="1"/>
  <c r="G44" i="1"/>
  <c r="G43" i="1"/>
  <c r="G42" i="1"/>
  <c r="G41" i="1"/>
  <c r="G40" i="1"/>
  <c r="G39" i="1"/>
  <c r="G38" i="1"/>
  <c r="G37" i="1"/>
  <c r="G36" i="1"/>
  <c r="H35" i="1"/>
  <c r="G35" i="1"/>
  <c r="H34" i="1"/>
  <c r="G34" i="1"/>
  <c r="G33" i="1"/>
  <c r="G32" i="1"/>
  <c r="G31" i="1"/>
  <c r="H30" i="1"/>
  <c r="G30" i="1"/>
  <c r="G29" i="1"/>
  <c r="G28" i="1"/>
  <c r="H27" i="1"/>
  <c r="G27" i="1"/>
  <c r="G26" i="1"/>
  <c r="I25" i="1"/>
  <c r="G25" i="1"/>
  <c r="G24" i="1"/>
  <c r="G23" i="1"/>
  <c r="G22" i="1"/>
  <c r="H21" i="1"/>
  <c r="G21" i="1"/>
  <c r="H20" i="1"/>
  <c r="G20" i="1"/>
  <c r="G19" i="1"/>
  <c r="G18" i="1"/>
  <c r="G17" i="1"/>
  <c r="G16" i="1"/>
  <c r="G15" i="1"/>
  <c r="G14" i="1"/>
  <c r="G13" i="1"/>
  <c r="G12" i="1"/>
  <c r="G11" i="1"/>
  <c r="H10" i="1"/>
  <c r="G10" i="1"/>
  <c r="H9" i="1"/>
  <c r="G9" i="1"/>
  <c r="G8" i="1"/>
  <c r="G7" i="1"/>
  <c r="G6" i="1"/>
  <c r="H5" i="1"/>
  <c r="G5" i="1"/>
  <c r="H4" i="1"/>
  <c r="G4" i="1"/>
  <c r="G3" i="1"/>
  <c r="I2" i="1"/>
  <c r="G2" i="1"/>
</calcChain>
</file>

<file path=xl/sharedStrings.xml><?xml version="1.0" encoding="utf-8"?>
<sst xmlns="http://schemas.openxmlformats.org/spreadsheetml/2006/main" count="7481" uniqueCount="1148">
  <si>
    <t>source</t>
  </si>
  <si>
    <t>raw_name</t>
  </si>
  <si>
    <t>original_price</t>
  </si>
  <si>
    <t>discount_price</t>
  </si>
  <si>
    <t>url</t>
  </si>
  <si>
    <t>crawled_date</t>
  </si>
  <si>
    <t>brand</t>
  </si>
  <si>
    <t>chipset</t>
  </si>
  <si>
    <t>vram_gb</t>
  </si>
  <si>
    <t>GearVN</t>
  </si>
  <si>
    <t>Card màn hình ZOTAC GAMING GeForce RTX 5070 SOLID OC (ZT-B50700J-10P)</t>
  </si>
  <si>
    <t>https://gearvn.com/products/card-man-hinh-zotac-gaming-geforce-rtx-5070-solid-oc-zt-b50700j-10p</t>
  </si>
  <si>
    <t>11/05/2026 16:14:21</t>
  </si>
  <si>
    <t>GeForce RTX 5070</t>
  </si>
  <si>
    <t>Card màn hình MSI GeForce RTX 5070 Ti 16GB Shadow 3X OC</t>
  </si>
  <si>
    <t>https://gearvn.com/products/card-man-hinh-msi-geforce-rtx-5070-ti-16gb-shadow-3x-oc</t>
  </si>
  <si>
    <t>GeForce RTX 5070 Ti</t>
  </si>
  <si>
    <t>16GB</t>
  </si>
  <si>
    <t>Card màn hình MSI GeForce RTX 5090 LIGHTNING Z 32GB</t>
  </si>
  <si>
    <t>https://gearvn.com/products/card-man-hinh-msi-geforce-rtx-5090-lightning-z-32gb</t>
  </si>
  <si>
    <t>32GB</t>
  </si>
  <si>
    <t>Card màn hình Gigabyte GeForce RTX 5060 Windforce Max OC 8GB</t>
  </si>
  <si>
    <t>https://gearvn.com/products/card-man-hinh-gigabyte-geforce-rtx-5060-windforce-max-oc-8gb</t>
  </si>
  <si>
    <t>8GB</t>
  </si>
  <si>
    <t>Card màn hình Zotac GEFORCE RTX 5050 TWIN EDGE OC 8GB GDDR6</t>
  </si>
  <si>
    <t>https://gearvn.com/products/card-man-hinh-zotac-geforce-rtx-5050-twin-edge-oc-8gb-gddr6</t>
  </si>
  <si>
    <t>GEFORCE RTX 5050</t>
  </si>
  <si>
    <t>Card màn hình MSI GeForce RTX 5070 Ti 16G VENTUS 3X PZ OC</t>
  </si>
  <si>
    <t>https://gearvn.com/products/card-man-hinh-msi-geforce-rtx-5070-ti-16g-ventus-3x-pz-oc</t>
  </si>
  <si>
    <t>Card màn hình Zotac GeForce RTX 5060 Ti 16GB Twin Edge OC</t>
  </si>
  <si>
    <t>https://gearvn.com/products/card-man-hinh-zotac-geforce-rtx-5060-ti-16gb-twin-edge-oc</t>
  </si>
  <si>
    <t>GeForce RTX 5060 Ti</t>
  </si>
  <si>
    <t>Card màn hình MSI GeForce RTX 5060 Ventus 2X OC White 8GB</t>
  </si>
  <si>
    <t>https://gearvn.com/products/card-man-hinh-msi-geforce-rtx-5060-ventus-2x-oc-white-8gb</t>
  </si>
  <si>
    <t>Card màn hình Gigabyte GeForce RTX 5060 Eagle Ice OC 8GB</t>
  </si>
  <si>
    <t>https://gearvn.com/products/card-man-hinh-gigabyte-geforce-rtx-5060-eagle-ice-oc-8gb</t>
  </si>
  <si>
    <t>Card màn hình Asus GeForce RTX 5060 Ti DUAL OC 16GB</t>
  </si>
  <si>
    <t>https://gearvn.com/products/card-man-hinh-asus-geforce-rtx-5060-ti-dual-oc-16gb</t>
  </si>
  <si>
    <t>Card màn hình MSI GeForce RTX 5080 16G VENTUS 3X OC White</t>
  </si>
  <si>
    <t>https://gearvn.com/products/card-man-hinh-msi-geforce-rtx-5080-16g-ventus-3x-oc-white</t>
  </si>
  <si>
    <t>GeForce RTX 5080</t>
  </si>
  <si>
    <t>Card màn hình MSI GeForce RTX 5080 16G VENTUS 3X OC PLUS</t>
  </si>
  <si>
    <t>https://gearvn.com/products/card-man-hinh-msi-geforce-rtx-5080-16g-ventus-3x-oc-plus</t>
  </si>
  <si>
    <t>Card màn hình GIGABYTE GeForce RTX 5070 WINDFORCE OC SFF 12G (GV-N5070WF3OC-12GD)</t>
  </si>
  <si>
    <t>https://gearvn.com/products/card-man-hinh-gigabyte-geforce-rtx-5070-windforce-oc-sff-12g</t>
  </si>
  <si>
    <t>12GB</t>
  </si>
  <si>
    <t>Card màn hình GIGABYTE GeForce RTX 5070 Ti EAGLE OC ICE SFF 16G (GV-N507TEAGLEOC ICE-16GD)</t>
  </si>
  <si>
    <t>https://gearvn.com/products/card-man-hinh-gigabyte-geforce-rtx-5070-ti-eagle-oc-ice-sff-16g</t>
  </si>
  <si>
    <t>Card màn hình MSI GeForce RTX 5080 16G GAMING TRIO OC</t>
  </si>
  <si>
    <t>https://gearvn.com/products/card-man-hinh-msi-geforce-rtx-5080-16g-gaming-trio-oc</t>
  </si>
  <si>
    <t>Card màn hình MSI GeForce RTX 5080 16G SUPRIM SOC</t>
  </si>
  <si>
    <t>https://gearvn.com/products/card-man-hinh-msi-geforce-rtx-5080-16g-suprim-soc</t>
  </si>
  <si>
    <t>Card màn hình ASUS TUF Gaming GeForce RTX 5080 16GB GDDR7 OC Edition (TUF-RTX5080-O16G-GAMING)</t>
  </si>
  <si>
    <t>https://gearvn.com/products/card-man-hinh-asus-tuf-rtx5080-o16g-gaming</t>
  </si>
  <si>
    <t>Card màn hình ASUS ROG Astral GeForce RTX 5080 16GB GDDR7 OC Edition (ROG-ASTRAL-RTX5080-O16G-GAMING)</t>
  </si>
  <si>
    <t>https://gearvn.com/products/card-man-hinh-asus-rog-astral-rtx5080-o16g-gaming</t>
  </si>
  <si>
    <t>Card màn hình ASUS TUF Gaming GeForce RTX 5090 32GB GDDR7 OC Edition (TUF-RTX5090-O32G-GAMING)</t>
  </si>
  <si>
    <t>https://gearvn.com/products/card-man-hinh-asus-tuf-rtx5090-o32g-gaming</t>
  </si>
  <si>
    <t>Card màn hình ASUS ROG Astral GeForce RTX 5090 32GB GDDR7 OC Edition (ROG-ASTRAL-RTX5090-O32G-GAMING)</t>
  </si>
  <si>
    <t>https://gearvn.com/products/card-man-hinh-asus-rog-astral-rtx5090-o32g-gaming</t>
  </si>
  <si>
    <t>Card màn hình MSI GeForce RTX 5060 Ti Shadow 2X OC Plus 8GB</t>
  </si>
  <si>
    <t>https://gearvn.com/products/card-man-hinh-msi-geforce-rtx-5060-ti-shadow-2x-oc-plus-8gb</t>
  </si>
  <si>
    <t>Card màn hình Zotac GEFORCE RTX 5060 Ti 8GB TWIN EDGE GDDR7</t>
  </si>
  <si>
    <t>https://gearvn.com/products/card-man-hinh-zotac-geforce-rtx-5060-ti-8gb-twin-edge-gddr7</t>
  </si>
  <si>
    <t>Card màn hình Zotac GeForce RTX 5060 Ti 16GB Twin Edge</t>
  </si>
  <si>
    <t>https://gearvn.com/products/card-man-hinh-zotac-geforce-rtx-5060-ti-16gb-twin-edge</t>
  </si>
  <si>
    <t>Card màn hình ZOTAC GAMING GeForce RTX 5070 AMP White Edition (ZT-B50700FQ-10P)</t>
  </si>
  <si>
    <t>https://gearvn.com/products/card-man-hinh-zotac-gaming-geforce-rtx-5070-amp-white-edition</t>
  </si>
  <si>
    <t>Card màn hình MSI GeForce RTX 5070 Ti 16G VENTUS 3X OC</t>
  </si>
  <si>
    <t>https://gearvn.com/products/card-man-hinh-msi-geforce-rtx-5070-ti-16g-ventus-3x-oc</t>
  </si>
  <si>
    <t>Card màn hình ASUS ROG Matrix Platinum GeForce RTX 5090 32GB GDDR7 30th Anniversary Edition</t>
  </si>
  <si>
    <t>https://gearvn.com/products/card-man-hinh-asus-rog-matrix-platinum-geforce-rtx-5090-32gb-gddr7-30th-anniversary-edition</t>
  </si>
  <si>
    <t>Card màn hình ASUS Prime GeForce RTX 5070 12GB GDDR7 OC White Edition</t>
  </si>
  <si>
    <t>https://gearvn.com/products/card-man-hinh-asus-prime-geforce-rtx-5070-12gb-gddr7-oc-white-edition</t>
  </si>
  <si>
    <t>Card màn hình MSI GeForce RTX 5060 Ti Shadow 2X OC Plus 16GB</t>
  </si>
  <si>
    <t>https://gearvn.com/products/card-man-hinh-msi-geforce-rtx-5060-ti-shadow-2x-oc-plus-16gb</t>
  </si>
  <si>
    <t>Card màn hình ASUS ROG Astral GeForce RTX 5090 32GB GDDR7 BTF Edition</t>
  </si>
  <si>
    <t>https://gearvn.com/products/card-man-hinh-asus-rog-astral-geforce-rtx-5090-32gb-gddr7-btf-edition</t>
  </si>
  <si>
    <t>Card màn hình MSI GeForce RTX 5070 Ti 16G MLG EDITION</t>
  </si>
  <si>
    <t>https://gearvn.com/products/card-man-hinh-msi-geforce-rtx-5070-ti-16g-mlg-edition</t>
  </si>
  <si>
    <t>Card màn hình ASUS ROG Astral GeForce RTX 5080 16GB GDDR7 Hatsune Miku Edition</t>
  </si>
  <si>
    <t>https://gearvn.com/products/card-man-hinh-asus-rog-astral-geforce-rtx-5080-16gb-gddr7-hatsune-miku-edtion</t>
  </si>
  <si>
    <t>Card màn hình ASUS ROG Astral GeForce RTX 5080 16GB GDDR7 OC Edition (ROG-ASTRAL-RTX5080-O16G-GAMING) White Edition</t>
  </si>
  <si>
    <t>https://gearvn.com/products/card-man-hinh-asus-rog-astral-geforce-rtx-5080-16gb-gddr7-oc-edition-rog-astral-rtx5080-o16g-gaming</t>
  </si>
  <si>
    <t>Card màn hình ASUS ROG Astral GeForce RTX 5090 32GB GDDR7 OC White Edition (ROG-ASTRAL-RTX5090-O32G-GAMING-WHITE)</t>
  </si>
  <si>
    <t>https://gearvn.com/products/card-man-hinh-asus-rog-astral-geforce-rtx-5090-32gb-gddr7-oc-white-edition-rog-astral-rtx5090-o32g-gaming-white</t>
  </si>
  <si>
    <t>Card màn hình Asus GeForce RTX 5060 DUAL OC 8GB</t>
  </si>
  <si>
    <t>https://gearvn.com/products/card-man-hinh-asus-geforce-rtx-5060-dual-oc-8gb</t>
  </si>
  <si>
    <t>Card màn hình ASUS GeForce RTX 5050 Dual 8GB</t>
  </si>
  <si>
    <t>https://gearvn.com/products/card-man-hinh-asus-geforce-rtx-5050-dual-8gb</t>
  </si>
  <si>
    <t>Card màn hình ASUS GeForce RTX 5050 Prime 8GB</t>
  </si>
  <si>
    <t>https://gearvn.com/products/card-man-hinh-asus-geforce-rtx-5050-prime-8gb</t>
  </si>
  <si>
    <t>Card màn hình MSI GeForce RTX 5070 Ti 16G GAMING TRIO OC</t>
  </si>
  <si>
    <t>https://gearvn.com/products/card-man-hinh-msi-geforce-rtx-5070-ti-16g-gaming-trio-oc</t>
  </si>
  <si>
    <t>Card màn hình ASUS GeForce RTX 5050 Prime OC 8GB</t>
  </si>
  <si>
    <t>https://gearvn.com/products/card-man-hinh-asus-geforce-rtx-5050-prime-oc-8gb</t>
  </si>
  <si>
    <t>Card màn hình ASUS GeForce RTX 5050 Dual OC 8GB</t>
  </si>
  <si>
    <t>https://gearvn.com/products/card-man-hinh-asus-geforce-rtx-5050-dual-oc-8gb</t>
  </si>
  <si>
    <t>Card màn hình Gigabyte GeForce RTX 5050 Windforce OC 8GB</t>
  </si>
  <si>
    <t>https://gearvn.com/products/card-man-hinh-gigabyte-geforce-rtx-5050-windforce-oc-8gb</t>
  </si>
  <si>
    <t>Card màn hình Gigabyte GeForce RTX 5050 Gaming OC 8GB</t>
  </si>
  <si>
    <t>https://gearvn.com/products/card-man-hinh-gigabyte-geforce-rtx-5050-gaming-oc-8gb</t>
  </si>
  <si>
    <t>Card màn hình MSI GeForce RTX 5050 Shadow 2X OC 8GB</t>
  </si>
  <si>
    <t>https://gearvn.com/products/card-man-hinh-msi-geforce-rtx-5050-shadow-2x-oc-8gb</t>
  </si>
  <si>
    <t>Card màn hình MSI GeForce RTX 5050 Ventus 2X OC 8GB</t>
  </si>
  <si>
    <t>https://gearvn.com/products/card-man-hinh-msi-geforce-rtx-5050-ventus-2x-oc-8gb</t>
  </si>
  <si>
    <t>Card màn hình MSI GeForce RTX 5050 Gaming OC 8GB</t>
  </si>
  <si>
    <t>https://gearvn.com/products/card-man-hinh-msi-geforce-rtx-5050-gaming-oc-8gb</t>
  </si>
  <si>
    <t>Card màn hình MSI GeForce RTX 5060 Ventus 2X OC 8GB</t>
  </si>
  <si>
    <t>https://gearvn.com/products/card-man-hinh-msi-geforce-rtx-5060-ventus-2x-oc-8gb</t>
  </si>
  <si>
    <t>Card màn hình MSI GeForce RTX 5060 Shadow 2X OC 8GB</t>
  </si>
  <si>
    <t>https://gearvn.com/products/card-man-hinh-msi-geforce-rtx-5060-shadow-2x-oc-8gb</t>
  </si>
  <si>
    <t>Card màn hình Zotac GeForce RTX 5060 Twin Edge OC 8GB</t>
  </si>
  <si>
    <t>https://gearvn.com/products/card-man-hinh-zotac-geforce-rtx-5060-twin-edge-oc-8gb</t>
  </si>
  <si>
    <t>Card màn hình ASUS Dual GeForce RTX 5070 12GB GDDR7 OC Edition</t>
  </si>
  <si>
    <t>https://gearvn.com/products/card-man-hinh-asus-dual-geforce-rtx-5070-12gb-gddr7-oc-edition</t>
  </si>
  <si>
    <t>Card màn hình MSI GeForce RTX 5070 Ti 16G GAMING TRIO OC White</t>
  </si>
  <si>
    <t>https://gearvn.com/products/card-man-hinh-msi-geforce-rtx-5070-ti-16g-gaming-trio-oc-white</t>
  </si>
  <si>
    <t>Card màn hình MSI GeForce RTX 5060 Gaming Trio OC 8GB</t>
  </si>
  <si>
    <t>https://gearvn.com/products/card-man-hinh-msi-geforce-rtx-5060-gaming-trio-oc-8gb</t>
  </si>
  <si>
    <t>Card màn hình MSI GeForce RTX 5060 Gaming Trio OC White 8GB</t>
  </si>
  <si>
    <t>https://gearvn.com/products/card-man-hinh-msi-geforce-rtx-5060-gaming-trio-oc-white-8gb</t>
  </si>
  <si>
    <t>Card màn hình MSI GeForce RTX 5060 Ti Ventus 2X Plus 8GB</t>
  </si>
  <si>
    <t>https://gearvn.com/products/card-man-hinh-msi-geforce-rtx-5060-ti-ventus-2x-plus-8gb</t>
  </si>
  <si>
    <t>Card màn hình Gigabyte GeForce RTX 5060 Eagle OC 8GB</t>
  </si>
  <si>
    <t>https://gearvn.com/products/card-man-hinh-gigabyte-geforce-rtx-5060-eagle-oc-8gb</t>
  </si>
  <si>
    <t>Card màn hình Gigabyte GeForce RTX 5060 Windforce 8GB</t>
  </si>
  <si>
    <t>https://gearvn.com/products/card-man-hinh-gigabyte-geforce-rtx-5060-windforce-8gb</t>
  </si>
  <si>
    <t>Card màn hình Gigabyte GeForce RTX 5060 Windforce OC 8GB</t>
  </si>
  <si>
    <t>https://gearvn.com/products/card-man-hinh-gigabyte-geforce-rtx-5060-windforce-oc-8gb</t>
  </si>
  <si>
    <t>Card màn hình Asus GeForce RTX 5060 Prime OC 8GB</t>
  </si>
  <si>
    <t>https://gearvn.com/products/card-man-hinh-asus-geforce-rtx-5060-prime-oc-8gb</t>
  </si>
  <si>
    <t>Card màn hình Asus GeForce RTX 5060 TUF Gaming OC 8GB</t>
  </si>
  <si>
    <t>https://gearvn.com/products/card-man-hinh-asus-geforce-rtx-5060-tuf-gaming-oc-8gb</t>
  </si>
  <si>
    <t>Card màn hình Gigabyte GeForce RTX 5060 Ti Windforce OC 8GB</t>
  </si>
  <si>
    <t>https://gearvn.com/products/card-man-hinh-gigabyte-geforce-rtx-5060-ti-windforce-oc-8gb</t>
  </si>
  <si>
    <t>Card màn hình MSI GeForce RTX 5070 12G SHADOW 3X OC</t>
  </si>
  <si>
    <t>https://gearvn.com/products/card-man-hinh-msi-geforce-rtx-5070-12g-shadow-3x-oc</t>
  </si>
  <si>
    <t>Card màn hình MSI GeForce RTX 5060 Ti Ventus 3X OC 16GB</t>
  </si>
  <si>
    <t>https://gearvn.com/products/card-man-hinh-msi-geforce-rtx-5060-ti-ventus-3x-oc-16gb</t>
  </si>
  <si>
    <t>Card màn hình MSI GeForce RTX 5060 Ti Ventus 2X Plus 16GB</t>
  </si>
  <si>
    <t>https://gearvn.com/products/card-man-hinh-msi-geforce-rtx-5060-ti-ventus-2x-plus-16gb</t>
  </si>
  <si>
    <t>Card màn hình MSI GeForce RTX 5060 Ti Ventus 2X OC Plus 8GB</t>
  </si>
  <si>
    <t>https://gearvn.com/products/card-man-hinh-msi-geforce-rtx-5060-ti-ventus-2x-oc-plus-8gb</t>
  </si>
  <si>
    <t>Card màn hình MSI GeForce RTX 5060 Ti Vanguard SOC 16GB</t>
  </si>
  <si>
    <t>https://gearvn.com/products/card-man-hinh-msi-geforce-rtx-5060-ti-vanguard-soc-16gb</t>
  </si>
  <si>
    <t>Card màn hình MSI GeForce RTX 5060 Ti Shadow 2X OC 8GB</t>
  </si>
  <si>
    <t>https://gearvn.com/products/card-man-hinh-msi-geforce-rtx-5060-ti-shadow-2x-oc-8gb</t>
  </si>
  <si>
    <t>Card màn hình MSI GeForce RTX 5060 Ti Inspire 2X OC 16GB</t>
  </si>
  <si>
    <t>https://gearvn.com/products/card-man-hinh-msi-geforce-rtx-5060-ti-inspire-2x-oc-16gb</t>
  </si>
  <si>
    <t>Card màn hình MSI GeForce RTX 5060 Ti Gaming Trio OC 16GB White</t>
  </si>
  <si>
    <t>https://gearvn.com/products/card-man-hinh-msi-geforce-rtx-5060-ti-gaming-trio-oc-16gb-white</t>
  </si>
  <si>
    <t>Card màn hình MSI GeForce RTX 5060 Ti Gaming Trio OC 16GB</t>
  </si>
  <si>
    <t>https://gearvn.com/products/card-man-hinh-msi-geforce-rtx-5060-ti-gaming-trio-oc-16gb</t>
  </si>
  <si>
    <t>Card màn hình MSI GeForce RTX 5060 Ti Gaming OC 8GB</t>
  </si>
  <si>
    <t>https://gearvn.com/products/card-man-hinh-msi-geforce-rtx-5060-ti-gaming-oc-8gb</t>
  </si>
  <si>
    <t>Card màn hình MSI GeForce RTX 5060 Ti Gaming OC 16GB</t>
  </si>
  <si>
    <t>https://gearvn.com/products/card-man-hinh-msi-geforce-rtx-5060-ti-gaming-oc-16gb</t>
  </si>
  <si>
    <t>Card màn hình Asus GeForce RTX 5060 Ti DUAL OC 8GB</t>
  </si>
  <si>
    <t>https://gearvn.com/products/card-man-hinh-asus-geforce-rtx-5060-ti-dual-oc-8gb</t>
  </si>
  <si>
    <t>Card màn hình Asus GeForce RTX 5060 Ti Prime 8GB</t>
  </si>
  <si>
    <t>https://gearvn.com/products/card-man-hinh-asus-geforce-rtx-5060-ti-prime-8gb</t>
  </si>
  <si>
    <t>Card màn hình Asus GeForce RTX 5060 Ti Prime OC 8GB</t>
  </si>
  <si>
    <t>https://gearvn.com/products/card-man-hinh-asus-geforce-rtx-5060-ti-prime-oc-8gb</t>
  </si>
  <si>
    <t>Card màn hình Asus GeForce RTX 5060 Ti TUF Gaming OC 8GB</t>
  </si>
  <si>
    <t>https://gearvn.com/products/card-man-hinh-asus-geforce-rtx-5060-ti-tuf-gaming-oc-8gb</t>
  </si>
  <si>
    <t>Card màn hình Asus GeForce RTX 5060 Ti Prime 16GB</t>
  </si>
  <si>
    <t>https://gearvn.com/products/card-man-hinh-asus-geforce-rtx-5060-ti-prime-16gb</t>
  </si>
  <si>
    <t>Card màn hình Asus GeForce RTX 5060 Ti Prime OC 16GB</t>
  </si>
  <si>
    <t>https://gearvn.com/products/card-man-hinh-asus-geforce-rtx-5060-ti-prime-oc-16gb</t>
  </si>
  <si>
    <t>Card màn hình Asus GeForce RTX 5060 Ti TUF Gaming OC 16GB</t>
  </si>
  <si>
    <t>https://gearvn.com/products/card-man-hinh-asus-geforce-rtx-5060-ti-tuf-gaming-oc-16gb</t>
  </si>
  <si>
    <t>Card màn hình Gigabyte GeForce RTX 5060 Ti Gaming OC 16GB</t>
  </si>
  <si>
    <t>https://gearvn.com/products/card-man-hinh-gigabyte-geforce-rtx-5060-ti-gaming-oc-16gb</t>
  </si>
  <si>
    <t>Card màn hình Gigabyte GeForce RTX 5060 Ti Eagle Ice OC 16GB</t>
  </si>
  <si>
    <t>https://gearvn.com/products/card-man-hinh-gigabyte-geforce-rtx-5060-ti-eagle-ice-oc-16gb</t>
  </si>
  <si>
    <t>Card màn hình Gigabyte GeForce RTX 5060 Ti Windforce 16GB</t>
  </si>
  <si>
    <t>https://gearvn.com/products/card-man-hinh-gigabyte-geforce-rtx-5060-ti-windforce-16gb</t>
  </si>
  <si>
    <t>Card màn hình Gigabyte GeForce RTX 5060 Ti Windforce OC 16GB</t>
  </si>
  <si>
    <t>https://gearvn.com/products/card-man-hinh-gigabyte-geforce-rtx-5060-ti-windforce-oc-16gb</t>
  </si>
  <si>
    <t>Card màn hình Gigabyte GeForce RTX 5060 Ti Aorus Elite 16GB</t>
  </si>
  <si>
    <t>https://gearvn.com/products/card-man-hinh-gigabyte-geforce-rtx-5060-ti-aorus-elite-16gb</t>
  </si>
  <si>
    <t>Card màn hình Gigabyte GeForce RTX 5060 Ti Eagle OC 16GB</t>
  </si>
  <si>
    <t>https://gearvn.com/products/card-man-hinh-gigabyte-geforce-rtx-5060-ti-eagle-oc-16gb</t>
  </si>
  <si>
    <t>Card màn hình Gigabyte GeForce RTX 5060 Ti AERO OC 16GB</t>
  </si>
  <si>
    <t>https://gearvn.com/products/card-man-hinh-gigabyte-geforce-rtx-5060-ti-aero-oc-16gb</t>
  </si>
  <si>
    <t>Card màn hình MSI GeForce RTX 5080 16G VENTUS 3X OC</t>
  </si>
  <si>
    <t>https://gearvn.com/products/card-man-hinh-msi-geforce-rtx-5080-16g-ventus-3x-oc</t>
  </si>
  <si>
    <t>Card màn hình MSI GeForce RTX 5080 16G SHADOW 3X OC</t>
  </si>
  <si>
    <t>https://gearvn.com/products/card-man-hinh-msi-geforce-rtx-5080-16g-shadow-3x-oc</t>
  </si>
  <si>
    <t>Card màn hình Colorful iGame GeForce RTX 5070 Ti Ultra W OC 16GB-V</t>
  </si>
  <si>
    <t>https://gearvn.com/products/card-man-hinh-colorful-igame-geforce-rtx-5070-ti-ultra-w-oc-16gb-v</t>
  </si>
  <si>
    <t>Card màn hình GIGABYTE GeForce RTX 5090 WINDFORCE OC 32G (GV-N5090WF3OC-32GD)</t>
  </si>
  <si>
    <t>https://gearvn.com/products/card-man-hinh-gigabyte-geforce-rtx-5090-windforce-oc-32g</t>
  </si>
  <si>
    <t>Card màn hình MSI GeForce RTX 5090 32G VENTUS 3X OC</t>
  </si>
  <si>
    <t>https://gearvn.com/products/card-man-hinh-msi-geforce-rtx-5090-32g-ventus-3x-oc-1</t>
  </si>
  <si>
    <t>Card màn hình ASUS Prime GeForce RTX 5070 12GB GDDR7 (PRIME-RTX5070-12G)</t>
  </si>
  <si>
    <t>https://gearvn.com/products/card-man-hinh-asus-prime-rtx5070-12g</t>
  </si>
  <si>
    <t>Card màn hình ASUS Prime GeForce RTX 5070 12GB GDDR7 OC Edition (PRIME-RTX5070-O12G)</t>
  </si>
  <si>
    <t>https://gearvn.com/products/card-man-hinh-asus-prime-rtx5070-o12g</t>
  </si>
  <si>
    <t>Card màn hình ASUS TUF Gaming GeForce RTX 5070 12GB GDDR7 (TUF-RTX5070-12G-GAMING)</t>
  </si>
  <si>
    <t>https://gearvn.com/products/card-man-hinh-asus-tuf-rtx5070-12g-gaming</t>
  </si>
  <si>
    <t>Card màn hình ASUS TUF Gaming GeForce RTX 5070 12GB GDDR7 OC Edition(TUF-RTX5070-O12G-GAMING)</t>
  </si>
  <si>
    <t>https://gearvn.com/products/card-man-hinh-asus-tuf-rtx5070-o12g-gaming</t>
  </si>
  <si>
    <t>Card màn hình ASUS ROG Strix GeForce RTX 5070 12GB GDDR7 (ROG-STRIX-RTX5070-12G-GAMING)</t>
  </si>
  <si>
    <t>https://gearvn.com/products/card-man-hinh-asus-rog-strix-rtx5070-12g-gaming</t>
  </si>
  <si>
    <t>Card màn hình ASUS ROG Strix GeForce RTX 5070 12GB GDDR7 OC Edition (ROG-STRIX-RTX5070-O12G-GAMING)</t>
  </si>
  <si>
    <t>https://gearvn.com/products/card-man-hinh-asus-rog-strix-rtx5070-o12g-gaming</t>
  </si>
  <si>
    <t>Card màn hình ASUS ROG Strix GeForce RTX 5070 Ti 16GB GDDR7 (ROG-STRIX-RTX5070TI-16G-GAMING)</t>
  </si>
  <si>
    <t>https://gearvn.com/products/card-man-hinh-asus-rog-strix-rtx5070ti-16g-gaming</t>
  </si>
  <si>
    <t>Card màn hình ASUS ROG Strix GeForce RTX 5070 Ti 16GB GDDR7 OC Edition (ROG-STRIX-RTX5070TI-O16G-GAMING)</t>
  </si>
  <si>
    <t>https://gearvn.com/products/card-man-hinh-asus-rog-strix-rtx5070ti-o16g-gaming</t>
  </si>
  <si>
    <t>Card màn hình GIGABYTE GeForce RTX 5070 AERO OC 12G (GV-N5070AERO OC-12GD)</t>
  </si>
  <si>
    <t>https://gearvn.com/products/card-man-hinh-gigabyte-geforce-rtx-5070-aero-oc-12g</t>
  </si>
  <si>
    <t>Card màn hình GIGABYTE GeForce RTX 5070 EAGLE OC SFF 12G (GV-N5070EAGLE OC-12GD)</t>
  </si>
  <si>
    <t>https://gearvn.com/products/card-man-hinh-gigabyte-geforce-rtx-5070-eagle-oc-sff-12g</t>
  </si>
  <si>
    <t>Card màn hình GIGABYTE GeForce RTX 5070 EAGLE OC ICE SFF 12G (GV-N5070EAGLEOC ICE-12GD)</t>
  </si>
  <si>
    <t>https://gearvn.com/products/card-man-hinh-gigabyte-geforce-rtx-5070-eagle-oc-ice-sff-12g</t>
  </si>
  <si>
    <t>Card màn hình GIGABYTE GeForce RTX 5070 GAMING OC 12G (GV-N5070GAMING OC-12GD)</t>
  </si>
  <si>
    <t>https://gearvn.com/products/card-man-hinh-gigabyte-geforce-rtx-5070-gaming-oc-12g</t>
  </si>
  <si>
    <t>Card màn hình GIGABYTE GeForce RTX 5070 Ti WINDFORCE OC SFF 16G (GV-N507TWF3OC-16GD)</t>
  </si>
  <si>
    <t>https://gearvn.com/products/card-man-hinh-gigabyte-geforce-rtx-5070-ti-windforce-oc-sff-16g</t>
  </si>
  <si>
    <t>Card màn hình GIGABYTE GeForce RTX 5070 Ti AERO OC 16G (GV-N507TAERO OC-16GD)</t>
  </si>
  <si>
    <t>https://gearvn.com/products/card-man-hinh-gigabyte-geforce-rtx-5070-ti-aero-oc-16g</t>
  </si>
  <si>
    <t>Card màn hình GIGABYTE GeForce RTX 5070 Ti EAGLE OC SFF 16G (GV-N507TEAGLE OC-16GD)</t>
  </si>
  <si>
    <t>https://gearvn.com/products/card-man-hinh-gigabyte-geforce-rtx-5070-ti-eagle-oc-sff-16g</t>
  </si>
  <si>
    <t>Card màn hình GIGABYTE GeForce RTX 5070 Ti GAMING OC 16G (GV-N507TGAMING OC-16GD)</t>
  </si>
  <si>
    <t>https://gearvn.com/products/card-man-hinh-gigabyte-geforce-rtx-5070-ti-gaming-oc-16g</t>
  </si>
  <si>
    <t>Card màn hình GIGABYTE AORUS GeForce RTX 5070 Ti MASTER 16G (GV-N507TAORUS M-16GD)</t>
  </si>
  <si>
    <t>https://gearvn.com/products/card-man-hinh-gigabyte-aorus-geforce-rtx-5070-ti-master-16g</t>
  </si>
  <si>
    <t>Card màn hình GIGABYTE GeForce RTX 5080 WINDFORCE OC SFF 16G (GV-N5080WF3OC-16GD)</t>
  </si>
  <si>
    <t>https://gearvn.com/products/card-man-hinh-gigabyte-geforce-rtx-5080-windforce-oc-sff-16g</t>
  </si>
  <si>
    <t>Card màn hình GIGABYTE GeForce RTX 5080 AERO OC SFF 16G (GV-N5080AERO OC-16GD)</t>
  </si>
  <si>
    <t>https://gearvn.com/products/card-man-hinh-gigabyte-geforce-rtx-5080-aero-oc-sff-16g</t>
  </si>
  <si>
    <t>Card màn hình GIGABYTE GeForce RTX 5080 GAMING OC 16G (GV-N5080GAMING OC-16GD)</t>
  </si>
  <si>
    <t>https://gearvn.com/products/card-man-hinh-gigabyte-geforce-rtx-5080-gaming-oc-16g</t>
  </si>
  <si>
    <t>Card màn hình GIGABYTE AORUS GeForce RTX 5080 MASTER 16G (GV-N5080AORUS M-16GD)</t>
  </si>
  <si>
    <t>https://gearvn.com/products/card-man-hinh-gigabyte-aorus-geforce-rtx-5080-master-16g</t>
  </si>
  <si>
    <t>Card màn hình GIGABYTE AORUS GeForce RTX 5080 MASTER ICE 16G (GV-N5080AORUSM ICE-16GD)</t>
  </si>
  <si>
    <t>https://gearvn.com/products/card-man-hinh-gigabyte-aorus-geforce-rtx-5080-master-ice-16g</t>
  </si>
  <si>
    <t>Card màn hình GIGABYTE AORUS GeForce RTX 5080 XTREME WATERFORCE WB 16G (GV-N5080AORUSX WB-16GD)</t>
  </si>
  <si>
    <t>https://gearvn.com/products/card-man-hinh-gigabyte-aorus-geforce-rtx-5080-xtreme-waterforce-wb-16g</t>
  </si>
  <si>
    <t>Card màn hình GIGABYTE AORUS GeForce RTX 5080 XTREME WATERFORCE 16G (GV-N5080AORUSX W-16GD)</t>
  </si>
  <si>
    <t>https://gearvn.com/products/card-man-hinh-gigabyte-aorus-geforce-rtx-5080-xtreme-waterforce-16g</t>
  </si>
  <si>
    <t>Card màn hình GIGABYTE GeForce RTX 5090 GAMING OC 32G (GV-N5090GAMING OC-32GD)</t>
  </si>
  <si>
    <t>https://gearvn.com/products/card-man-hinh-gigabyte-geforce-rtx-5090-gaming-oc-32g</t>
  </si>
  <si>
    <t>Card màn hình GIGABYTE AORUS GeForce RTX 5090 MASTER 32G (GV-N5090AORUS M-32GD)</t>
  </si>
  <si>
    <t>https://gearvn.com/products/card-man-hinh-gigabyte-aorus-geforce-rtx-5090-master-32g</t>
  </si>
  <si>
    <t>Card màn hình GIGABYTE AORUS GeForce RTX 5090 MASTER ICE 32G (GV-N5090AORUSM ICE-32GD)</t>
  </si>
  <si>
    <t>https://gearvn.com/products/card-man-hinh-gigabyte-aorus-geforce-rtx-5090-master-ice-32g</t>
  </si>
  <si>
    <t>Card màn hình GIGABYTE AORUS GeForce RTX 5090 XTREME WATERFORCE WB 32G (GV-N5090AORUSX WB-32GD)</t>
  </si>
  <si>
    <t>https://gearvn.com/products/card-man-hinh-gigabyte-aorus-geforce-rtx-5090-xtreme-waterforce-wb-32g</t>
  </si>
  <si>
    <t>Card màn hình GIGABYTE AORUS GeForce RTX 5090 XTREME WATERFORCE 32G (GV-N5090AORUSX W-32GD)</t>
  </si>
  <si>
    <t>https://gearvn.com/products/card-man-hinh-gigabyte-aorus-geforce-rtx-5090-xtreme-waterforce-32g</t>
  </si>
  <si>
    <t>Card màn hình MSI GeForce RTX 5070 12G VENTUS 2X OC WHITE</t>
  </si>
  <si>
    <t>https://gearvn.com/products/card-man-hinh-msi-geforce-rtx-5070-12g-ventus-2x-oc-white</t>
  </si>
  <si>
    <t>Card màn hình MSI GeForce RTX 5070 12G VENTUS 2X OC</t>
  </si>
  <si>
    <t>https://gearvn.com/products/card-man-hinh-msi-geforce-rtx-5070-12g-ventus-2x-oc</t>
  </si>
  <si>
    <t>Card màn hình MSI GeForce RTX 5070 12G VENTUS 3X OC</t>
  </si>
  <si>
    <t>https://gearvn.com/products/card-man-hinh-msi-geforce-rtx-5070-12g-ventus-3x-oc</t>
  </si>
  <si>
    <t>Card màn hình MSI GeForce RTX 5070 12G INSPIRE 3X OC</t>
  </si>
  <si>
    <t>https://gearvn.com/products/card-man-hinh-msi-geforce-rtx-5070-12g-inspire-3x-oc</t>
  </si>
  <si>
    <t>Card màn hình MSI GeForce RTX 5070 12G GAMING TRIO OC</t>
  </si>
  <si>
    <t>https://gearvn.com/products/card-man-hinh-msi-geforce-rtx-5070-12g-gaming-trio-oc</t>
  </si>
  <si>
    <t>Card màn hình MSI GeForce RTX 5070 12G GAMING TRIO OC WHITE</t>
  </si>
  <si>
    <t>https://gearvn.com/products/card-man-hinh-msi-geforce-rtx-5070-12g-gaming-trio-oc-white</t>
  </si>
  <si>
    <t>Card màn hình MSI GeForce RTX 5070 12G VANGUARD SOC</t>
  </si>
  <si>
    <t>https://gearvn.com/products/card-man-hinh-msi-geforce-rtx-5070-12g-vanguard-soc</t>
  </si>
  <si>
    <t>Card màn hình MSI GeForce RTX 5070 Ti 16G VENTUS 3X OC Plus</t>
  </si>
  <si>
    <t>https://gearvn.com/products/card-man-hinh-msi-geforce-rtx-5070-ti-16g-ventus-3x-oc-plus</t>
  </si>
  <si>
    <t>Card màn hình MSI GeForce RTX 5070 Ti 16G INSPIRE 3X OC PLUS</t>
  </si>
  <si>
    <t>https://gearvn.com/products/card-man-hinh-msi-geforce-rtx-5070-ti-16g-inspire-3x-oc-plus</t>
  </si>
  <si>
    <t>Card màn hình MSI GeForce RTX 5070 Ti 16G GAMING TRIO OC PLUS</t>
  </si>
  <si>
    <t>https://gearvn.com/products/card-man-hinh-msi-geforce-rtx-5070-ti-16g-gaming-trio-oc-plus</t>
  </si>
  <si>
    <t>Card màn hình MSI GeForce RTX 5070 Ti 16G VANGUARD SOC</t>
  </si>
  <si>
    <t>https://gearvn.com/products/card-man-hinh-msi-geforce-rtx-5070-ti-16g-vanguard-soc</t>
  </si>
  <si>
    <t>Card màn hình MSI GeForce RTX 5080 16G INSPIRE 3X OC</t>
  </si>
  <si>
    <t>https://gearvn.com/products/card-man-hinh-msi-geforce-rtx-5080-16g-inspire-3x-oc</t>
  </si>
  <si>
    <t>Card màn hình MSI GeForce RTX 5080 16G GAMING TRIO OC WHITE</t>
  </si>
  <si>
    <t>https://gearvn.com/products/card-man-hinh-msi-geforce-rtx-5080-16g-gaming-trio-oc-white</t>
  </si>
  <si>
    <t>Card màn hình MSI GeForce RTX 5080 16G VANGUARD SOC</t>
  </si>
  <si>
    <t>https://gearvn.com/products/card-man-hinh-msi-geforce-rtx-5080-16g-vanguard-soc</t>
  </si>
  <si>
    <t>Card màn hình MSI GeForce RTX 5080 16G SUPRIM LIQUID SOC</t>
  </si>
  <si>
    <t>https://gearvn.com/products/card-man-hinh-msi-geforce-rtx-5080-16g-suprim-liquid-soc</t>
  </si>
  <si>
    <t>Card màn hình MSI GeForce RTX 5090 32G GAMING TRIO OC</t>
  </si>
  <si>
    <t>https://gearvn.com/products/card-man-hinh-msi-geforce-rtx-5090-32g-gaming-trio-oc</t>
  </si>
  <si>
    <t>Card màn hình MSI GeForce RTX 5090 32G VANGUARD SOC</t>
  </si>
  <si>
    <t>https://gearvn.com/products/card-man-hinh-msi-geforce-rtx-5090-32g-vanguard-soc</t>
  </si>
  <si>
    <t>Card màn hình MSI GeForce RTX 5090 32G SUPRIM SOC</t>
  </si>
  <si>
    <t>https://gearvn.com/products/card-man-hinh-msi-geforce-rtx-5090-32g-suprim-soc</t>
  </si>
  <si>
    <t>Card màn hình MSI GeForce RTX 5090 32G SUPRIM LIQUID SOC</t>
  </si>
  <si>
    <t>https://gearvn.com/products/card-man-hinh-msi-geforce-rtx-5090-32g-suprim-liquid-soc</t>
  </si>
  <si>
    <t>Card màn hình ASUS Prime GeForce RTX 5070 Ti 16GB GDDR7 (PRIME-RTX5070TI-16G)</t>
  </si>
  <si>
    <t>https://gearvn.com/products/card-man-hinh-asus-prime-rtx5070ti-16g</t>
  </si>
  <si>
    <t>Card màn hình ASUS Prime GeForce RTX 5070 Ti 16GB GDDR7 OC Edition (PRIME-RTX5070TI-O16G)</t>
  </si>
  <si>
    <t>https://gearvn.com/products/card-man-hinh-asus-prime-rtx5070ti-o16g</t>
  </si>
  <si>
    <t>Card màn hình ASUS TUF Gaming GeForce RTX 5070 Ti 16GB GDDR7 (TUF-RTX5070TI-16G-GAMING)</t>
  </si>
  <si>
    <t>https://gearvn.com/products/card-man-hinh-asus-tuf-rtx5070ti-16g-gaming</t>
  </si>
  <si>
    <t>Card màn hình ASUS TUF Gaming GeForce RTX 5070 Ti 16GB GDDR7 OC Edition (TUF-RTX5070TI-O16G-GAMING)</t>
  </si>
  <si>
    <t>https://gearvn.com/products/card-man-hinh-asus-tuf-rtx5070ti-o16g-gaming</t>
  </si>
  <si>
    <t>Card màn hình ASUS Prime GeForce RTX 5080 16GB GDDR7 (PRIME-RTX5080-16G)</t>
  </si>
  <si>
    <t>https://gearvn.com/products/card-man-hinh-asus-prime-rtx5080-16g</t>
  </si>
  <si>
    <t>Card màn hình ASUS Prime GeForce RTX 5080 16GB GDDR7 OC Edition (PRIME-RTX5080-O16G)</t>
  </si>
  <si>
    <t>https://gearvn.com/products/card-man-hinh-asus-prime-rtx5080-o16g</t>
  </si>
  <si>
    <t>Card màn hình ASUS TUF Gaming GeForce RTX 5080 16GB GDDR7 (TUF-RTX5080-16G-GAMING)</t>
  </si>
  <si>
    <t>https://gearvn.com/products/card-man-hinh-asus-tuf-rtx5080-16g-gaming</t>
  </si>
  <si>
    <t>Card màn hình ASUS ROG Astral GeForce RTX 5080 16GB GDDR7 (ROG-ASTRAL-RTX5080-16G-GAMING)</t>
  </si>
  <si>
    <t>https://gearvn.com/products/card-man-hinh-asus-rog-astral-rtx5080-16g-gaming</t>
  </si>
  <si>
    <t>Card màn hình ASUS TUF Gaming GeForce RTX 5090 32GB GDDR7 (TUF-RTX5090-32G-GAMING)</t>
  </si>
  <si>
    <t>https://gearvn.com/products/card-man-hinh-asus-tuf-rtx5090-32g-gaming</t>
  </si>
  <si>
    <t>Card màn hình ASUS ROG Astral GeForce RTX 5090 32GB GDDR7 (ROG-ASTRAL-RTX5090-32G-GAMING)</t>
  </si>
  <si>
    <t>https://gearvn.com/products/card-man-hinh-asus-rog-astral-rtx5090-32g-gaming</t>
  </si>
  <si>
    <t>Card màn hình ASUS ROG Astral LC GeForce RTX 5090 32GB GDDR7 (ROG-ASTRAL-LC-RTX5090-32G-GAMING)</t>
  </si>
  <si>
    <t>https://gearvn.com/products/card-man-hinh-asus-rog-astral-lc-rtx5090-32g-gaming</t>
  </si>
  <si>
    <t>Card màn hình ASUS ROG Astral LC GeForce RTX 5090 32GB GDDR7 OC Edition (ROG-ASTRAL-LC-RTX5090-O32G-GAMING)</t>
  </si>
  <si>
    <t>https://gearvn.com/products/card-man-hinh-asus-rog-astral-lc-rtx5090-o32g-gaming</t>
  </si>
  <si>
    <t>Card màn hình GIGABYTE GeForce RTX 3050 WINDFORCE OC V2 8G (GV-N3050WF2OCV2-8GD)</t>
  </si>
  <si>
    <t>https://gearvn.com/products/card-man-hinh-gigabyte-geforce-rtx-3050-windforce-oc-v2-8g-gv-n3050wf2ocv2-8gd</t>
  </si>
  <si>
    <t>Card màn hình SPARKLE Intel Arc B580 TITAN OC 12GB GDDR6</t>
  </si>
  <si>
    <t>https://gearvn.com/products/card-man-hinh-sparkle-intel-arc-b580-titan-oc-12gb-gddr6</t>
  </si>
  <si>
    <t>SPARKLE</t>
  </si>
  <si>
    <t>Card màn hình Zotac GEFORCE RTX 3050 TWIN EDGE OC 6GB GDDR6</t>
  </si>
  <si>
    <t>https://gearvn.com/products/card-man-hinh-zotac-geforce-rtx-3050-twin-edge-oc-6gb-gddr6</t>
  </si>
  <si>
    <t>6GB</t>
  </si>
  <si>
    <t>Card màn hình GIGABYTE GeForce RTX 4070 SUPER WINDFORCE OC 12G (GV-N407SWF3OC-12GD)</t>
  </si>
  <si>
    <t>https://gearvn.com/products/card-man-hinh-gigabyte-geforce-rtx-4070-super-windforce-oc-12g</t>
  </si>
  <si>
    <t>GeForce RTX 4070 SUPER</t>
  </si>
  <si>
    <t>Card màn hình GIGABYTE GeForce RTX 3060 WINDFORCE OC 12G V2 (GV-N3060WF2OC-12GD)</t>
  </si>
  <si>
    <t>https://gearvn.com/products/card-man-hinh-gigabyte-geforce-rtx-3060-windforce-oc-12g-v2-gv-n3060wf2oc-12gd</t>
  </si>
  <si>
    <t>GeForce RTX 3060</t>
  </si>
  <si>
    <t>Card màn hình ASUS Dual Radeon RX 6500 XT V2 OC Edition 4GB GDDR6 (DUAL-RX6500XT-O4G-V2)</t>
  </si>
  <si>
    <t>https://gearvn.com/products/card-man-hinh-asus-dual-radeon-rx6500-xt-v2-oc</t>
  </si>
  <si>
    <t>4GB</t>
  </si>
  <si>
    <t>Card màn hình ASUS Dual GeForce RTX 4060 V2 OC Edition 8GB GDDR6 (DUAL-RTX4060-O8G-V2)</t>
  </si>
  <si>
    <t>https://gearvn.com/products/card-man-hinh-asus-dual-geforce-rtx-4060-v2-oc-edition-8gb-gddr6-dual-rtx4060-o8g-v2</t>
  </si>
  <si>
    <t>Card màn hình ASUS Dual Radeon RX 7600 V2 OC Edition 8GB GDDR6 (DUAL-RX7600-O8G-V2)</t>
  </si>
  <si>
    <t>https://gearvn.com/products/card-man-hinh-asus-dual-rx7600-v2-oc-8gb</t>
  </si>
  <si>
    <t>Card màn hình GIGABYTE AORUS GeForce RTX 4080 SUPER XTREME ICE 16G (GV-N408SAORUSX ICE-16GD)</t>
  </si>
  <si>
    <t>https://gearvn.com/products/card-man-hinh-gigabyte-aorus-geforce-rtx-4080-super-xtreme-ice-16g</t>
  </si>
  <si>
    <t>GeForce RTX 4080 SUPER XT</t>
  </si>
  <si>
    <t>Card màn hình ASUS Dual GeForce RTX 3050 6GB GDDR6 (DUAl-RTX3050-6G)</t>
  </si>
  <si>
    <t>https://gearvn.com/products/card-man-hinh-asus-dual-geforce-rtx-3050-6gb-gddr6-dual-rtx3050-6g</t>
  </si>
  <si>
    <t>Card màn hình ASUS Dual GeForce RTX 3050 OC Edition 6GB (DUAl-RTX3050-O6G)</t>
  </si>
  <si>
    <t>https://gearvn.com/products/card-man-hinh-asus-dual-geforce-rtx-3050-oc-edition-6gb-dual-rtx3050-o6g</t>
  </si>
  <si>
    <t>Card màn hình MSI GeForce RTX 3050 VENTUS 2X 6G OC</t>
  </si>
  <si>
    <t>https://gearvn.com/products/card-man-hinh-msi-geforce-rtx-3050-ventus-2x-6g-oc</t>
  </si>
  <si>
    <t>Card màn hình ASUS Dual GeForce GTX 1650 OC Edition 4GB GDDR6 EVO (DUAL-GTX1650-O4GD6-P-EVO)</t>
  </si>
  <si>
    <t>https://gearvn.com/products/card-man-hinh-asus-dual-geforce-gtx-1650-oc-edition-4gb-gddr6-evo-dual-gtx1650-o4gd6-p-evo</t>
  </si>
  <si>
    <t>GeForce GTX 1650</t>
  </si>
  <si>
    <t>Card màn hình MSI GeForce RTX 4060 VENTUS 2X WHITE 8G OC</t>
  </si>
  <si>
    <t>https://gearvn.com/products/card-man-hinh-msi-geforce-rtx-4060-ventus-2x-white-8g-oc</t>
  </si>
  <si>
    <t>Card màn hình MSI GeForce RTX 3050 VENTUS 2X XS 8G OC</t>
  </si>
  <si>
    <t>https://gearvn.com/products/card-man-hinh-msi-geforce-rtx-3050-ventus-2x-xs-8g-oc</t>
  </si>
  <si>
    <t>Card màn hình MSI GeForce RTX 4060 VENTUS 2X BLACK 8G OC</t>
  </si>
  <si>
    <t>https://gearvn.com/products/card-man-hinh-msi-geforce-rtx-4060-ventus-2x-black-8g-oc</t>
  </si>
  <si>
    <t>Card màn hình MSI GeForce RTX 3060 Ventus 2X OC 12G</t>
  </si>
  <si>
    <t>https://gearvn.com/products/card-man-hinh-msi-geforce-rtx-3060-ventus-2x-oc-12g</t>
  </si>
  <si>
    <t>Card màn hình ASUS Dual GeForce RTX 3060 OC Edition 12GB V2 (DUAL-RTX3060-O12G-V2)</t>
  </si>
  <si>
    <t>https://gearvn.com/products/asus-dual-geforce-rtx-3060-o12g</t>
  </si>
  <si>
    <t>MSI GeForce GTX 1650 SUPER GAMING X 4GB</t>
  </si>
  <si>
    <t>https://gearvn.com/products/msi-gtx-1650-super-gaming-x-4gb-gddr6</t>
  </si>
  <si>
    <t>Card màn hình SPARKLE Intel Arc B580 TITAN Nox OC 12GB GDDR6</t>
  </si>
  <si>
    <t>https://gearvn.com/products/card-man-hinh-sparkle-intel-arc-b580-titan-nox-oc-12gb-gddr6</t>
  </si>
  <si>
    <t>Card màn hình GIGABYTE Radeon RX 9070 GAMING OC 16G (GV-R9070GAMING OC-16GD)</t>
  </si>
  <si>
    <t>https://gearvn.com/products/card-man-hinh-gigabyte-radeon-rx-9070-gaming-oc-16g-gv-r9070gaming-oc-16gd</t>
  </si>
  <si>
    <t>Card màn hình ASUS Prime Radeon RX 9070 XT OC Edition 16GB GDDR6 (PRIME-RX9070XT-O16G)</t>
  </si>
  <si>
    <t>https://gearvn.com/products/card-man-hinh-asus-prime-radeon-rx-9070-xt-oc-edition-16gb</t>
  </si>
  <si>
    <t>Card màn hình MSI GeForce RTX 3050 VENTUS 2X E 6G OC</t>
  </si>
  <si>
    <t>https://gearvn.com/products/card-man-hinh-msi-geforce-rtx-3050-ventus-2x-e-6g-oc</t>
  </si>
  <si>
    <t>Card màn hình MSI GeForce RTX 4070 SUPER 12G GAMING SLIM WUKONG EDITION</t>
  </si>
  <si>
    <t>https://gearvn.com/products/card-man-hinh-msi-geforce-rtx-4070-super-12g-gaming-slim-wukong-edition</t>
  </si>
  <si>
    <t>Card màn hình ASUS TUF Gaming GeForce RTX 4090 24GB GDDR6X OG OC Edition (TUF-RTX4090-O24G-OG-GAMING)</t>
  </si>
  <si>
    <t>https://gearvn.com/products/card-man-hinh-asus-tuf-gaming-geforce-rtx-4090-24gb-og-oc</t>
  </si>
  <si>
    <t>24GB</t>
  </si>
  <si>
    <t>Card màn hình ASUS PRIME GeForce RTX 4060 Ti 8GB GDDR6 OC Edition (PRIME-RTX4060TI-O8G)</t>
  </si>
  <si>
    <t>https://gearvn.com/products/card-man-hinh-asus-prime-geforce-rtx-4060-ti-8gb-gddr6-oc-edition-prime-rtx4060ti-o8g</t>
  </si>
  <si>
    <t>Card màn hình ASUS Dual GeForce RTX 4060 Ti EVO OC Edition 16GB GDDR6 (DUAL-RTX4060TI-O16G-EVO)</t>
  </si>
  <si>
    <t>https://gearvn.com/products/card-man-hinh-asus-dual-geforce-rtx-4060-ti-evo-oc-edition-16gb-gddr6-dual-rtx4060ti-o16g-evo</t>
  </si>
  <si>
    <t>Card màn hình ASUS Dual Radeon RX 6600 V3 8GB GDDR6 (DUAL-RX6600-8G-V3)</t>
  </si>
  <si>
    <t>https://gearvn.com/products/card-man-hinh-asus-dual-radeon-rx-6600-v3-8gb</t>
  </si>
  <si>
    <t>Card màn hình MSI GeForce RTX 4060 Ti VENTUS 3X E 8G OC</t>
  </si>
  <si>
    <t>https://gearvn.com/products/card-man-hinh-msi-geforce-rtx-4060-ti-ventus-3x-e-8g-oc</t>
  </si>
  <si>
    <t>Card màn hình ASUS TUF Gaming GeForce RTX 4070 Ti SUPER BTF White OC Edition 16GB GDDR6X (TUF-RTX4070TIS-O16G-BTF-WHITE)</t>
  </si>
  <si>
    <t>https://gearvn.com/products/card-man-hinh-asus-tuf-gaming-geforce-rtx-4070-ti-super-btf-white-oc-edition-16gb</t>
  </si>
  <si>
    <t>GeForce RTX 4070 Ti SUPER</t>
  </si>
  <si>
    <t>Card màn hình GIGABYTE GeForce RTX 3050 WINDFORCE OC 6G (GV-N3050WF2OCV2-6GD)</t>
  </si>
  <si>
    <t>https://gearvn.com/products/card-man-hinh-gigabyte-geforce-rtx-3050-windforce-oc-6g</t>
  </si>
  <si>
    <t>Card màn hình ASUS ProArt GeForce RTX 4070 Ti SUPER 16GB GDDR6X OC Edition (PROART-RTX4070TIS-O16G)</t>
  </si>
  <si>
    <t>https://gearvn.com/products/card-man-hinh-asus-proart-geforce-rtx-4070-ti-super-16gb-gddr6x-oc-edition-proart-rtx4070tis-o16g</t>
  </si>
  <si>
    <t>Card màn hình GIGABYTE GeForce RTX 3050 EAGLE OC 6G (GV-N3050EAGLE OC-6GD)</t>
  </si>
  <si>
    <t>https://gearvn.com/products/card-man-hinh-gigabyte-geforce-rtx-3050-eagle-oc-6g-gv-n3050eagle-oc-6gd</t>
  </si>
  <si>
    <t>Card màn hình MSI GeForce RTX 4070 VENTUS 3X E 12G OC</t>
  </si>
  <si>
    <t>https://gearvn.com/products/card-man-hinh-msi-geforce-rtx-4070-ventus-3x-e-12g-oc</t>
  </si>
  <si>
    <t>Card màn hình GIGABYTE GeForce RTX 4070 Ti GAMING OC V2 12GB (GV-N407TGAMING OCV2-12GD)</t>
  </si>
  <si>
    <t>https://gearvn.com/products/card-man-hinh-gigabyte-geforce-rtx-4070-ti-gaming-oc-v2-12gb-gv-n407tgaming-ocv2-12gd</t>
  </si>
  <si>
    <t>Card màn hình MSI GeForce RTX 4070 SUPER 12G VENTUS 2X OC</t>
  </si>
  <si>
    <t>https://gearvn.com/products/card-man-hinh-msi-geforce-rtx-4070-super-12g-ventus-2x-oc</t>
  </si>
  <si>
    <t>Card màn hình GIGABYTE GeForce RTX 4070 SUPER EAGLE OC 12G (GV-N407SEAGLE OC-12GD)</t>
  </si>
  <si>
    <t>https://gearvn.com/products/card-man-hinh-gigabyte-geforce-rtx-4070-super-eagle-oc-12g</t>
  </si>
  <si>
    <t>Card màn hình GIGABYTE GeForce RTX 4090 WINDFORCE V2 24G (GV-N4090WF3V2-24GD)</t>
  </si>
  <si>
    <t>https://gearvn.com/products/card-man-hinh-gigabyte-geforce-rtx-4090-windforce-v2-24g-gv-n4090wf3v2-24gd</t>
  </si>
  <si>
    <t>Card màn hình MSI GeForce RTX 4070 GAMING X SLIM 12G</t>
  </si>
  <si>
    <t>https://gearvn.com/products/card-man-hinh-msi-geforce-rtx-4070-gaming-x-slim-12g</t>
  </si>
  <si>
    <t>Card màn hình MSI GeForce RTX 4070 Ti GAMING X SLIM 12G</t>
  </si>
  <si>
    <t>https://gearvn.com/products/card-man-hinh-msi-geforce-rtx-4070-ti-gaming-x-slim-12g</t>
  </si>
  <si>
    <t>Card màn hình Colorful GeForce GTX 1660 SUPER NB 6G V2-V</t>
  </si>
  <si>
    <t>https://gearvn.com/products/card-man-hinh-colorful-geforce-gtx-1660-super-nb-6g-v2-v</t>
  </si>
  <si>
    <t>GeForce GTX 1660 SUPER</t>
  </si>
  <si>
    <t>Card màn hình Colorful GeForce GTX 1650 EX 4GD6-V</t>
  </si>
  <si>
    <t>https://gearvn.com/products/card-man-hinh-colorful-geforce-gtx-1650-ex-4gd6-v</t>
  </si>
  <si>
    <t>Card màn hình GIGABYTE GeForce RTX 4070 AERO OC V2 12GB (GV-N4070AERO OCV2-12GD)</t>
  </si>
  <si>
    <t>https://gearvn.com/products/card-man-hinh-gigabyte-geforce-rtx-4070-aero-oc-v2-12gb-gv-n4070aero-ocv2-12gd</t>
  </si>
  <si>
    <t>Card màn hình Colorful GeForce RTX 4070 Ti NB EX-V 12GB 3 Fan</t>
  </si>
  <si>
    <t>https://gearvn.com/products/card-man-hinh-colorful-geforce-rtx-4070-ti-nb-ex-v-12gb-3-fan</t>
  </si>
  <si>
    <t>Card màn hình GIGABYTE GeForce RTX 4060 WINDFORCE OC 8G</t>
  </si>
  <si>
    <t>https://gearvn.com/products/card-man-hinh-gigabyte-geforce-rtx-4060-windforce-oc-8g</t>
  </si>
  <si>
    <t>Card màn hình ASUS Dual GeForce GTX 1650 4GB GDDR6 EVO (DUAL-GTX1650-4GD6-P-EVO)</t>
  </si>
  <si>
    <t>https://gearvn.com/products/card-man-hinh-asus-dual-geforce-gtx-1650-4gb-evo</t>
  </si>
  <si>
    <t>Card màn hình GIGABYTE GeForce RTX 4060 Ti AERO OC 16G (GV-N406TAERO OC-16GD)</t>
  </si>
  <si>
    <t>https://gearvn.com/products/card-man-hinh-gigabyte-geforce-rtx-4060-ti-aero-oc-16g-gv-n406taero-oc-16gd</t>
  </si>
  <si>
    <t>Card màn hình MSI GeForce GTX 1650 4GB D6 VENTUS XS OCV3</t>
  </si>
  <si>
    <t>https://gearvn.com/products/card-man-hinh-msi-geforce-gtx-1650-d6-ventus-xs-ocv3</t>
  </si>
  <si>
    <t>Card màn hình ASUS TUF Gaming GeForce GTX 1650 V2 OC Edition 4GB GDDR6 (TUF-GTX1650-O4GD6-P-V2-GAMING)</t>
  </si>
  <si>
    <t>https://gearvn.com/products/card-man-hinh-asus-tuf-gaming-geforce-gtx-1650-v2-oc-edition-4gb-gddr6-tuf-gtx1650-o4gd6-p-v2-gaming</t>
  </si>
  <si>
    <t>Card màn hình ASUS ProArt GeForce RTX 4060 OC edition 8GB (PROART-RTX4060-O8G)</t>
  </si>
  <si>
    <t>https://gearvn.com/products/card-man-hinh-asusproart-geforce-rtx-4060-oc-edition-8gb-gddr6-proart-rtx4060-o8g</t>
  </si>
  <si>
    <t>Card màn hình ASUS ROG Strix GeForce RTX 4090 24GB GDDR6X OC EVA-02 Edition</t>
  </si>
  <si>
    <t>https://gearvn.com/products/card-man-hinh-asus-rog-strix-geforce-rtx-4090-24gb-gddr6x-oc-eva-02-edition</t>
  </si>
  <si>
    <t>Card màn hình MSI GeForce RTX 4070 GAMING X SLIM WHITE 12G</t>
  </si>
  <si>
    <t>https://gearvn.com/products/card-man-hinh-msi-geforce-rtx-4070-gaming-x-slim-white-12g</t>
  </si>
  <si>
    <t>Card màn hình ASUS ROG Matrix GeForce RTX 4090 Platinum 24GB GDDR6X</t>
  </si>
  <si>
    <t>https://gearvn.com/products/card-man-hinh-asus-rog-matrix-geforce-rtx-4090-platinum-24gb-gddr6x</t>
  </si>
  <si>
    <t>Card màn hình ASUS ProArt GeForce RTX 4060 Ti OC edition 16GB (PROART-RTX4060TI-O16G)</t>
  </si>
  <si>
    <t>https://gearvn.com/products/card-man-hinh-asus-proart-geforce-rtx-4060-ti-oc-edition-16gb-proart-rtx4060ti-o16g</t>
  </si>
  <si>
    <t>Card màn hình GIGABYTE GeForce RTX 3050 WINDFORCE 8G (GV-N3050WF2-8GD)</t>
  </si>
  <si>
    <t>https://gearvn.com/products/card-man-hinh-gigabyte-geforce-rtx-3050-windforce-8g</t>
  </si>
  <si>
    <t>Card màn hình ASUS ROG Strix LC GeForce RTX 4090 24GB GDDR6X OC Edition (ROG-STRIX-LC-RTX4090-O24G)</t>
  </si>
  <si>
    <t>https://gearvn.com/products/card-man-hinh-asus-rog-strix-lc-geforce-rtx-4090-24gb-gddr6x-oc-edition-rog-strix-lc-rtx4090-o24g</t>
  </si>
  <si>
    <t>Card màn hình GIGABYTE GeForce RTX 4060 EAGLE OC 8G</t>
  </si>
  <si>
    <t>https://gearvn.com/products/card-man-hinh-gigabyte-geforce-rtx-4060-eagle-oc-8g</t>
  </si>
  <si>
    <t>Card màn hình GIGABYTE GeForce RTX 4060 AERO OC 8G</t>
  </si>
  <si>
    <t>https://gearvn.com/products/card-man-hinh-gigabyte-geforce-rtx-4060-aero-oc-8g</t>
  </si>
  <si>
    <t>Card màn hình MSI GeForce GTX 1650 Ventus XS 4GB OC V1 D6</t>
  </si>
  <si>
    <t>https://gearvn.com/products/card-man-hinh-msi-geforce-gtx-1650-ventus-xs-4gb-oc-v1-d6</t>
  </si>
  <si>
    <t>Card màn hình INNO3D GeForce GTX 1660 Super Twin 2X 6GB DDR6 (N166S2-06D6)</t>
  </si>
  <si>
    <t>https://gearvn.com/products/inno3d-geforce-gtx-1660-super-twin-x2-6gb</t>
  </si>
  <si>
    <t>Card màn hình GIGABYTE GeForce GTX 1660 Super Gaming 6G (GV-N166SGAMING-6GD)</t>
  </si>
  <si>
    <t>https://gearvn.com/products/gigabyte-geforce-gtx-1660-super-gaming-6g-gddr6</t>
  </si>
  <si>
    <t>Card màn hình ASUS TUF Gaming GeForce GTX 1660 Super 6GB GDDR6 (TUF-GTX1660S-6G-GAMING)</t>
  </si>
  <si>
    <t>https://gearvn.com/products/asus-tuf-gaming-geforce-gtx-1660-super-6gb-gddr6</t>
  </si>
  <si>
    <t>Card màn hình ASUS TUF Gaming GeForce GTX 1650 4GB D6 (TUF-GTX1650-4GD6-GAMING)</t>
  </si>
  <si>
    <t>https://gearvn.com/products/asus-tuf-gaming-geforce-gtx-1650-4gb-gddr6</t>
  </si>
  <si>
    <t>Card màn hình ASUS TUF Gaming X3 GeForce GTX 1660 Super 6GB (TUF-3-GTX1660S-6G-GAMING)</t>
  </si>
  <si>
    <t>https://gearvn.com/products/vga-asus-tuf3-gtx-1660-super-6gb-gaming</t>
  </si>
  <si>
    <t>Card màn hình MSI GeForce RTX 3060 Ti Ventus 3X 8G OC (LHR)</t>
  </si>
  <si>
    <t>https://gearvn.com/products/msi-geforce-rtx-3060-ti-ventus-3x-oc</t>
  </si>
  <si>
    <t>GeForce RTX 3060 Ti</t>
  </si>
  <si>
    <t>Card màn hình MSI GeForce RTX 3060 Ti Ventus 3X 8G (LHR)</t>
  </si>
  <si>
    <t>https://gearvn.com/products/msi-geforce-rtx-3060-ti-ventus-3x</t>
  </si>
  <si>
    <t>Card màn hình MSI GeForce RTX 3060 Ti Ventus 2X 8G OC (LHR)</t>
  </si>
  <si>
    <t>https://gearvn.com/products/msi-geforce-rtx-3060-ti-ventus-2x-oc</t>
  </si>
  <si>
    <t>Card màn hình MSI GeForce RTX 3060 Gaming X Trio 12G (LHR)</t>
  </si>
  <si>
    <t>https://gearvn.com/products/msi-geforce-rtx-3060-ti-gaming-x-trio</t>
  </si>
  <si>
    <t>Card màn hình MSI GeForce GTX 1660 Super Ventus OC 6GB</t>
  </si>
  <si>
    <t>https://gearvn.com/products/msi-geforce-gtx-1660-super-ventus-oc-6gb</t>
  </si>
  <si>
    <t>Card màn hình MSI GeForce GTX 1660 Super Gaming Z 6GB Plus</t>
  </si>
  <si>
    <t>https://gearvn.com/products/msi-geforce-gtx-1660-super-gaming-z-plus</t>
  </si>
  <si>
    <t>Card màn hình GIGABYTE GeForce RTX 3060 Ti GAMING OC 8G (GV-N306TGAMING-OC-8GD)</t>
  </si>
  <si>
    <t>https://gearvn.com/products/gigabyte-geforce-rtx-3060-ti-gaming-oc-8g</t>
  </si>
  <si>
    <t>Card màn hình GIGABYTE GeForce RTX 3060 Ti EAGLE OC 8G (GV-N306TEAGLE-OC-8GD)</t>
  </si>
  <si>
    <t>https://gearvn.com/products/gigabyte-geforce-rtx-3060-ti-eagle-oc-8g</t>
  </si>
  <si>
    <t>Card màn hình GIGABYTE AORUS GeForce RTX 3060 Ti Master 8G (GV-N306TAORUS-M-8GD)</t>
  </si>
  <si>
    <t>https://gearvn.com/products/card-man-hinh-aorus-geforce-rtx-3060-ti-master-8g</t>
  </si>
  <si>
    <t>Card màn hình GIGABYTE GeForce RTX 3060 Ti GAMING OC PRO 8G (GV-N306TGAMINGOC-PRO-8GD)</t>
  </si>
  <si>
    <t>https://gearvn.com/products/card-man-hinh-aorus-geforce-rtx-3060-ti-gaming-oc-pro-8g</t>
  </si>
  <si>
    <t>Card màn hình ASUS ROG Strix GeForce RTX 3060 Ti Gaming OC Edition 8GB V2 (ROG-STRIX-RTX3060TI-O8G-V2-GAMING)</t>
  </si>
  <si>
    <t>https://gearvn.com/products/asus-rog-strix-geforce-rtx-3060-ti-oc</t>
  </si>
  <si>
    <t>Card màn hình ASUS ROG Strix GeForce RTX 3060 Ti Gaming 8GB V2 (ROG-STRIX-RTX3060TI-8G-V2-GAMING)</t>
  </si>
  <si>
    <t>https://gearvn.com/products/asus-rog-strix-geforce-rtx-3060-ti</t>
  </si>
  <si>
    <t>Card màn hình ASUS KO GeForce RTX 3060 Ti OC Edition 8GB V2 (KO-RTX3060TI-O8G-V2-GAMING)</t>
  </si>
  <si>
    <t>https://gearvn.com/products/asus-ko-geforce-rtx-3060-ti-oc</t>
  </si>
  <si>
    <t>Card màn hình ASUS KO GeForce RTX 3060 Ti 8GB V2 (KO-RTX3060TI-8G-V2-GAMING)</t>
  </si>
  <si>
    <t>https://gearvn.com/products/asus-ko-geforce-rtx-3060-ti</t>
  </si>
  <si>
    <t>Card màn hình ASUS Dual GeForce RTX 3060 Ti OC Edition 8GB V2 (DUAL-RTX3060TI-O8G-V2)</t>
  </si>
  <si>
    <t>https://gearvn.com/products/asus-dual-geforce-rtx-3060-ti-oc</t>
  </si>
  <si>
    <t>Card màn hình ASUS Dual GeForce RTX 3060 Ti 8GB V2 (DUAL-RTX3060TI-8G-V2)</t>
  </si>
  <si>
    <t>https://gearvn.com/products/asus-dual-geforce-rtx-3060-ti</t>
  </si>
  <si>
    <t>Card màn hình GIGABYTE GeForce RTX 3060 GAMING OC 12G (LHR) (GV-N3060GAMING-OC-12GD)</t>
  </si>
  <si>
    <t>https://gearvn.com/products/gigabyte-geforce-rtx-3060-gaming-oc-12g</t>
  </si>
  <si>
    <t>Card màn hình GIGABYTE GeForce RTX 2060 D6 6G (GV-N2060D6-6GD)</t>
  </si>
  <si>
    <t>https://gearvn.com/products/gigabyte-geforce-rtx-2060-d6-6g</t>
  </si>
  <si>
    <t>GeForce RTX 2060</t>
  </si>
  <si>
    <t>Card màn hình ASUS TUF Gaming GeForce GTX 1650 OC 4GB D6 (TUF-GTX1650-O4GD6-GAMING)</t>
  </si>
  <si>
    <t>https://gearvn.com/products/asus-tuf-gaming-geforce-gtx-1650-oc-edition-4gb-gddr6</t>
  </si>
  <si>
    <t>Card màn hình ASUS Phoenix GeForce GTX 1660 6GB</t>
  </si>
  <si>
    <t>https://gearvn.com/products/asus-phoenix-geforce-gtx-1660-6gb-gddr5</t>
  </si>
  <si>
    <t>Card màn hình ASUS TUF Gaming X3 GeForce GTX 1660 Super ZAKU II EDITION 6GB</t>
  </si>
  <si>
    <t>https://gearvn.com/products/asus-gaming-geforce-gtx-1660-super-tuf-3-fan-zaku-a6g</t>
  </si>
  <si>
    <t>Card màn hình MSI GeForce GTX 1650 D6 Ventus XS 4GB</t>
  </si>
  <si>
    <t>https://gearvn.com/products/msi-geforce-gtx-1650-d6-ventus-xs-oc-4gb</t>
  </si>
  <si>
    <t>Card màn hình MSI GeForce GTX 1650 D6 Gaming X 4GB</t>
  </si>
  <si>
    <t>https://gearvn.com/products/msi-geforce-gtx-1650-d6-gaming-x</t>
  </si>
  <si>
    <t>Card màn hình MSI GeForce GTX 1650 D6 Aero ITX 4G OC</t>
  </si>
  <si>
    <t>https://gearvn.com/products/msi-geforce-gtx-1650-d6-aero-itx-oc</t>
  </si>
  <si>
    <t>Card màn hình Leadtek WinFast GTX 1660 Super Hurricane 6G</t>
  </si>
  <si>
    <t>https://gearvn.com/products/leadtek-winfast-gtx-1660-super-hurricane-6g</t>
  </si>
  <si>
    <t>Card màn hình GIGABYTE GeForce GTX 1650 D6 WINDFORCE 4G (GV-N1656WF2-4GD)</t>
  </si>
  <si>
    <t>https://gearvn.com/products/gigabyte-gtx-1650-d6-windforce-4gb</t>
  </si>
  <si>
    <t>Card màn hình GIGABYTE GeForce GTX 1660 Super Mini ITX OC 6G (GV-N166SIXOC-6GD)</t>
  </si>
  <si>
    <t>https://gearvn.com/products/gigabyte-geforce-gtx-1660-super-mini-itx-oc-6g</t>
  </si>
  <si>
    <t>Card màn hình MSI GeForce GTX 1650 D6 Ventus XS 4GB OC V2</t>
  </si>
  <si>
    <t>https://gearvn.com/products/msi-geforce-gtx-1650-d6-ventus-xs-ocv2-4gb</t>
  </si>
  <si>
    <t>Card màn hình ASUS Phoenix GeForce GTX 1660 Super OC edition 6GB (PH-GTX1660S-O6G)</t>
  </si>
  <si>
    <t>https://gearvn.com/products/asus-phoenix-geforce-gtx-1660-super-oc-edition-6gb-gddr6</t>
  </si>
  <si>
    <t>Card màn hình ASUS Phoenix GeForce GTX 1650 OC 4GB GDDR6 (PH-GTX1650-O4GD6)</t>
  </si>
  <si>
    <t>https://gearvn.com/products/asus-phoenix-geforce-gtx-1650-oc-edition-4gb-gddr6</t>
  </si>
  <si>
    <t>Card màn hình ASUS Phoenix GeForce GTX 1650 OC 4GB GDDR5 (PH-GTX1650-O4G)</t>
  </si>
  <si>
    <t>https://gearvn.com/products/asus-phoenix-geforce-gtx-1650-oc-edition-4gb-gddr5</t>
  </si>
  <si>
    <t>Card màn hình ASUS Dual GeForce RTX 2060 OC EVO 6GB GDDR6 (DUAL-RTX2060-O6G-EVO)</t>
  </si>
  <si>
    <t>https://gearvn.com/products/asus-dual-geforce-rtx-2060-oc-edition-evo-6gb-gddr6</t>
  </si>
  <si>
    <t>Card màn hình Leadtek WinFast GeForce GTX 1650 D6 4G</t>
  </si>
  <si>
    <t>https://gearvn.com/products/leadtek-winfast-gtx-1650-d6-4g</t>
  </si>
  <si>
    <t>Card màn hình INNO3D GeForce GTX 1650 Twin X2 OC</t>
  </si>
  <si>
    <t>https://gearvn.com/products/inno3d-geforce-gtx-1650-gddr6-twin-x2-oc</t>
  </si>
  <si>
    <t>Card màn hình GIGABYTE GeForce RTX 3060 Ti EAGLE 8G (GV-N306TEAGLE-8GD)</t>
  </si>
  <si>
    <t>https://gearvn.com/products/gigabyte-geforce-rtx-3060-ti-eagle-8g-rev-2-0-lhr</t>
  </si>
  <si>
    <t>Card màn hình GIGABYTE GeForce GTX 1650 D6 OC Low Profile 4G (GV-N1656OC-4GL)</t>
  </si>
  <si>
    <t>https://gearvn.com/products/gigabyte-geforce-gtx-1650-d6-oc-low-profile-4g</t>
  </si>
  <si>
    <t>Card Màn Hình Gigabyte Aorus GeForce RTX 3080 Ti Master 12G (GV-N308TAORUS-M-12GD)</t>
  </si>
  <si>
    <t>https://gearvn.com/products/gigabyte-aorus-geforce-rtx-3080-ti-master-12g</t>
  </si>
  <si>
    <t>Card màn hình ASUS TUF Gaming GeForce RTX 3060 Ti OC Edition 8GB V2 (TUF-RTX3060TI-O8G-V2-GAMING)</t>
  </si>
  <si>
    <t>https://gearvn.com/products/asus-tuf-gaming-geforce-rtx-3060-ti-v2-o8g-gddr6-lhr</t>
  </si>
  <si>
    <t>Card Màn Hình Asus Rog Strix GeForce RTX 3080 Ti Gaming OC Edition 12GB (Rog-STRIX-RTX3080TI-O12G-GAMING)</t>
  </si>
  <si>
    <t>https://gearvn.com/products/asus-rog-strix-geforce-rtx-3080-ti-o12g-gddr6x</t>
  </si>
  <si>
    <t>Card Màn Hình Asus Rog Strix GeForce RTX 3080 Ti Gaming 12GB (Rog-STRIX-RTX3080TI-12G-GAMING)</t>
  </si>
  <si>
    <t>https://gearvn.com/products/asus-rog-strix-geforce-rtx-3080-ti-12g-gddr6x</t>
  </si>
  <si>
    <t>Card màn hình ASUS Dual GeForce RTX 2060 EVO 6GB GDDR6 (DUAL-RTX2060-6G-EVO)</t>
  </si>
  <si>
    <t>https://gearvn.com/products/asus-dual-geforce-rtx-2060-evo-6gb-gddr6</t>
  </si>
  <si>
    <t>Card Màn Hình MSI GeForce GTX 1660 Ventus XS 6G OC</t>
  </si>
  <si>
    <t>https://gearvn.com/products/msi-gtx-1660-ventus-xs-6g-oc-gddr5</t>
  </si>
  <si>
    <t>Card màn hình MSI RTX 2060 Ventus 6G OC GDDR6</t>
  </si>
  <si>
    <t>https://gearvn.com/products/msi-geforce-rtx-2060-ventus-6g-oc-gddr6</t>
  </si>
  <si>
    <t>Card màn hình MSI GeForce RTX 2060 Gaming Z 6G GDDR6</t>
  </si>
  <si>
    <t>https://gearvn.com/products/msi-geforce-rtx-2060-gaming-z-6g-gddr6</t>
  </si>
  <si>
    <t>Card màn hình GIGABYTE GeForce RTX 2060 OC 6G (GV-N2060OC-6GD)</t>
  </si>
  <si>
    <t>https://gearvn.com/products/gigabyte-geforce-rtx-2060-oc-6g</t>
  </si>
  <si>
    <t>Card màn hình GIGABYTE GeForce RTX 2060 GAMING OC 6G</t>
  </si>
  <si>
    <t>https://gearvn.com/products/gigabyte-geforce-rtx-2060-gaming-oc-6g</t>
  </si>
  <si>
    <t>Card màn hình GIGABYTE Aorus RTX 2060 Xtreme 6G GDDR6</t>
  </si>
  <si>
    <t>https://gearvn.com/products/gigabyte-aorus-geforce-rtx-2060-xtreme-6g</t>
  </si>
  <si>
    <t>Card màn hình EVGA GeForce RTX 2060 XC Ultra Gaming 6GB</t>
  </si>
  <si>
    <t>https://gearvn.com/products/evga-geforce-rtx-2060-xc-ultra-gaming-6gb-gddr6</t>
  </si>
  <si>
    <t>Card màn hình ASUS Dual GeForce RTX 2060 OC Edition 6GB GDDR6</t>
  </si>
  <si>
    <t>https://gearvn.com/products/asus-dual-geforce-rtx-2060-oc-edition-6gb-gddr6</t>
  </si>
  <si>
    <t>Card màn hình ASUS Dual GeForce RTX 2060 ADVANCED 6GB GDDR6</t>
  </si>
  <si>
    <t>https://gearvn.com/products/asus-dual-geforce-rtx-2060-advanced-edition-6gb-gddr6</t>
  </si>
  <si>
    <t>Card màn hình Palit GeForce GTX 1650 GP 4GB D6</t>
  </si>
  <si>
    <t>https://gearvn.com/products/palit-geforce-gtx-1650-gp-4gb-gddr6</t>
  </si>
  <si>
    <t>Card màn hình MSI GeForce RTX 3060 Ti Ventus 2X 8G OCV1 (LHR)</t>
  </si>
  <si>
    <t>https://gearvn.com/products/msi-geforce-rtx-3060-ti-ventus-2x-8g-ocv1-lhr</t>
  </si>
  <si>
    <t>Card màn hình MSI GeForce RTX 3060 Ti Gaming X 8G (LHR)</t>
  </si>
  <si>
    <t>https://gearvn.com/products/msi-geforce-rtx-3060-ti-gaming-x-lhr</t>
  </si>
  <si>
    <t>Card màn hình Manli GeForce GTX 1650 4GB GDDR6</t>
  </si>
  <si>
    <t>https://gearvn.com/products/manli-geforce-gtx-1650-4gb-gddr6</t>
  </si>
  <si>
    <t>Card màn hình GIGABYTE Radeon RX 6600 EAGLE 8G (GV-R66EAGLE-8GD)</t>
  </si>
  <si>
    <t>https://gearvn.com/products/gigabyte-radeon-rx-6600-eagle-8g</t>
  </si>
  <si>
    <t>Card màn hình GIGABYTE GeForce GTX 1650 Mini ITX 4G (GV-N1650IX-4GD)</t>
  </si>
  <si>
    <t>https://gearvn.com/products/gigabyte-geforce-gtx-1650-mini-itx-4g</t>
  </si>
  <si>
    <t>Card màn hình GIGABYTE GeForce GTX 1650 D6 4G 1 Fan (GV-N1656D6-4GD)</t>
  </si>
  <si>
    <t>https://gearvn.com/products/gigabyte-geforce-gtx-1650-d6-4g</t>
  </si>
  <si>
    <t>Card màn hình GIGABYTE AORUS GeForce RTX 3060 Ti Elite 8G (GV-N306TAORUS-E-8GD)</t>
  </si>
  <si>
    <t>https://gearvn.com/products/gigabyte-aorus-geforce-rtx-3060-ti-elite-8g-rev-2-0</t>
  </si>
  <si>
    <t>Card màn hình ASUS Phoenix GeForce GTX 1650 4GB GDDR6 (PH-GTX1650-4GD6)</t>
  </si>
  <si>
    <t>https://gearvn.com/products/asus-phoenix-geforce-gtx-1650-4gb-gddr6-ph-gtx1650-4gd6</t>
  </si>
  <si>
    <t>Card màn hình ASUS Dual GeForce RTX 3060 Ti Mini OC Edition 8GB V2 (DUAL-RTX3060TI-O8G-MINI-V2)</t>
  </si>
  <si>
    <t>https://gearvn.com/products/asus-dual-geforce-rtx-3060-ti-v2-mini-oc-edition-8gb-gddr6-lhr</t>
  </si>
  <si>
    <t>Card màn hình ASUS Dual GeForce RTX 3060 Ti Mini 8GB V2 (DUAL-RTX3060TI-8G-MINI-V2)</t>
  </si>
  <si>
    <t>https://gearvn.com/products/asus-dual-geforce-rtx-3060-ti-v2-mini-8gb-gddr6-lhr</t>
  </si>
  <si>
    <t>Card màn hình Palit GeForce GTX 1650 StormX 4G GDDR5</t>
  </si>
  <si>
    <t>https://gearvn.com/products/palit-geforce-gtx-1650-stormx-gddr5</t>
  </si>
  <si>
    <t>Card màn hình MSI GeForce GTX 1650 4GT Low Profile</t>
  </si>
  <si>
    <t>https://gearvn.com/products/msi-geforce-gtx-1650-4gt-low-profile</t>
  </si>
  <si>
    <t>Card màn hình GIGABYTE GeForce RTX 2060 WINDFORCE OC 12G (GV-N2060WF2OC-12GD)</t>
  </si>
  <si>
    <t>https://gearvn.com/products/gigabyte-geforce-rtx-2060-windforce-oc-12g</t>
  </si>
  <si>
    <t>Card màn hình GIGABYTE GeForce RTX 2060 D6 12G</t>
  </si>
  <si>
    <t>https://gearvn.com/products/gigabyte-geforce-rtx-2060-d6-12g</t>
  </si>
  <si>
    <t>Card Màn Hình Asus Tuf Gaming GeForce GTX 1660 Ti EVO OC 6GB (Tuf-GTX1660TI-O6G-EVO-GAMING)</t>
  </si>
  <si>
    <t>https://gearvn.com/products/asus-tuf-gaming-geforce-gtx-1660-ti-evo-oc-edition-6gb</t>
  </si>
  <si>
    <t>Card màn hình ASUS GeForce GT 730 2G (SL-2GD5-BRK)</t>
  </si>
  <si>
    <t>https://gearvn.com/products/asus-geforce-gt-730-2gb-gt730-sl-2gd5-brk</t>
  </si>
  <si>
    <t>Card màn hình MSI GTX 1650 VENTUS XS 4GB</t>
  </si>
  <si>
    <t>https://gearvn.com/products/geforce-gtx-1650-ventus-xs-4g</t>
  </si>
  <si>
    <t>Card màn hình ASUS TUF Gaming GeForce GTX 1660 Super OC Edition 6GB GDDR6 (TUF-GTX1660S-O6G-GAMING)</t>
  </si>
  <si>
    <t>https://gearvn.com/products/asus-tuf-gaming-geforce-gtx-1660-super-oc-edition-6gb-gddr6</t>
  </si>
  <si>
    <t>Card màn hình MSI GeForce RTX 3060 Ventus 2X 12G (LHR)</t>
  </si>
  <si>
    <t>https://gearvn.com/products/msi-geforce-rtx-3060-ti-ventus-2x</t>
  </si>
  <si>
    <t>Card màn hình GIGABYTE GeForce RTX 3050 EAGLE OC 8G (GV-N3050EAGLE-OC-8GD)</t>
  </si>
  <si>
    <t>https://gearvn.com/products/gigabyte-geforce-rtx-3050-eagle-oc-8g</t>
  </si>
  <si>
    <t>Card màn hình ASUS Dual GeForce RTX 3050 V2 8GB (DUAL-RTX3050-8G-V2)</t>
  </si>
  <si>
    <t>https://gearvn.com/products/asus-dual-geforce-rtx-3050-8gb-v2</t>
  </si>
  <si>
    <t>Card màn hình ASUS Dual GeForce RTX 2060 EVO OC 12GB GDDR6 (DUAL-RTX2060-O12G-EVO)</t>
  </si>
  <si>
    <t>https://gearvn.com/products/asus-dual-geforce-rtx-2060-evo-oc-12gb</t>
  </si>
  <si>
    <t>Card màn hình MSI GeForce GTX 1650 D6 Ventus XS 4GB OC</t>
  </si>
  <si>
    <t>https://gearvn.com/products/msi-gtx-1650-ventus-xs-4gb-gddr6</t>
  </si>
  <si>
    <t>Card màn hình GIGABYTE GeForce GTX 1650 D6 WINDFORCE OC 4G (GV-N1656WF2OC-4GD)</t>
  </si>
  <si>
    <t>https://gearvn.com/products/gigabyte-gtx-1650-winforce-oc-4gb-gddr6</t>
  </si>
  <si>
    <t>Card màn hình GIGABYTE GeForce GTX 1650 D6 OC 4G 1 Fan (GV-N1656OC-4GD)</t>
  </si>
  <si>
    <t>https://gearvn.com/products/gigabyte-gtx-1650-oc-4gb-gddr6</t>
  </si>
  <si>
    <t>Card màn hình ASUS ROG Strix GeForce GTX 1650 OC 4G GDDR5</t>
  </si>
  <si>
    <t>https://gearvn.com/products/rog-strix-geforce-gtx-1650-oc-edition-4gb-gddr5</t>
  </si>
  <si>
    <t>Card màn hình ASUS ROG Strix GeForce GTX 1650 Advanced Edition 4GB GDDR5</t>
  </si>
  <si>
    <t>https://gearvn.com/products/rog-strix-geforce-gtx-1650-advanced-edition-4gb-gddr5</t>
  </si>
  <si>
    <t>Card màn hình MSI GeForce GTX 1650 Ventus XS 4GB OC GDDR5</t>
  </si>
  <si>
    <t>https://gearvn.com/products/msi-gtx-1650-ventus-xs-4g-oc-gddr5</t>
  </si>
  <si>
    <t>Card màn hình MSI GeForce RTX 2060 Ventus XS 6G OC</t>
  </si>
  <si>
    <t>https://gearvn.com/products/msi-geforce-rtx-2060-ventus-xs-6g-oc-gddr6</t>
  </si>
  <si>
    <t>Card màn hình Palit GeForce GT 730 2G</t>
  </si>
  <si>
    <t>https://gearvn.com/products/palit-geforce-gt-730-2g</t>
  </si>
  <si>
    <t>Card màn hình GIGABYTE GeForce GTX 1650 WINDFORCE OC 4GB GDDR5</t>
  </si>
  <si>
    <t>https://gearvn.com/products/gigabyte-geforce-gtx-1650-windforce-oc-4g</t>
  </si>
  <si>
    <t>Card màn hình GIGABYTE GeForce GTX 1650 OC 4G (GV-N1650OC-4GD)</t>
  </si>
  <si>
    <t>https://gearvn.com/products/gigabyte-geforce-gtx-1650-oc-4g</t>
  </si>
  <si>
    <t>Card màn hình GIGABYTE GeForce GTX 1650 Mini ITX OC 4G (GV-N1650IXOC-4GD)</t>
  </si>
  <si>
    <t>https://gearvn.com/products/gigabyte-geforce-gtx-1650-ixoc-4g</t>
  </si>
  <si>
    <t>Card màn hình GIGABYTE GeForce GTX 1650 GAMING OC 4G 2 Fan (GV-N1650GAMING-OC-4GD)</t>
  </si>
  <si>
    <t>https://gearvn.com/products/gigabyte-geforce-gtx-1650-gaming-oc-4g</t>
  </si>
  <si>
    <t>ASUS Phoenix GeForce GTX 1660 OC 6GB</t>
  </si>
  <si>
    <t>https://gearvn.com/products/asus-phoenix-gtx-1660-oc-edition-6gb-gddr5</t>
  </si>
  <si>
    <t>Card màn hình ASUS Dual GeForce GTX 1650 OC 4GB (DUAL-GTX1650-O4G)</t>
  </si>
  <si>
    <t>https://gearvn.com/products/asus-geforce-gtx-1650-4gb-dual-oc</t>
  </si>
  <si>
    <t>Card màn hình ASUS Dual GeForce GTX 1650 V2 4GB GDDR6 (DUAL-GTX1650-4GD6-P-V2)</t>
  </si>
  <si>
    <t>https://gearvn.com/products/asus-dual-geforce-gtx-1650-v2-4gb-gddr6</t>
  </si>
  <si>
    <t>Card màn hình MSI GeForce RTX 2060 Ventus XS 6G OCV1 GDDR6</t>
  </si>
  <si>
    <t>https://gearvn.com/products/msi-geforce-rtx-2060-ventus-xs-6g-ocv1-gddr6</t>
  </si>
  <si>
    <t>Card màn hình GIGABYTE GeForce RTX 2060 GAMING OC PRO 6G</t>
  </si>
  <si>
    <t>https://gearvn.com/products/gigabyte-geforce-rtx-2060-gaming-oc-pro-6g-1</t>
  </si>
  <si>
    <t>Card màn hình GIGABYTE GeForce GTX 1660 Super OC 6G (GV-N166SOC-6GD)</t>
  </si>
  <si>
    <t>https://gearvn.com/products/geforce-gtx-1660-super-oc-6g</t>
  </si>
  <si>
    <t>Card màn hình ASUS TUF GAMING GeForce GTX 1650 4GB</t>
  </si>
  <si>
    <t>https://gearvn.com/products/asus-tuf-gaming-geforce-gtx-1650-4gb</t>
  </si>
  <si>
    <t>Card màn hình MSI GeForce RTX 4090 SUPRIM X 24G</t>
  </si>
  <si>
    <t>https://gearvn.com/products/msi-geforce-rtx-4090-suprim-x-24g</t>
  </si>
  <si>
    <t>Card màn hình MSI GeForce RTX 4090 SUPRIM LIQUID X 24G</t>
  </si>
  <si>
    <t>https://gearvn.com/products/msi-geforce-rtx-4090-suprim-liquid-x-24g</t>
  </si>
  <si>
    <t>Card màn hình MSI GeForce RTX 4090 SUPRIM LIQUID 24G</t>
  </si>
  <si>
    <t>https://gearvn.com/products/msi-geforce-rtx-4090-suprim-liquid-24g</t>
  </si>
  <si>
    <t>Card màn hình MSI GeForce RTX 4090 SUPRIM 24G</t>
  </si>
  <si>
    <t>https://gearvn.com/products/msi-geforce-rtx-4090-suprim-24g</t>
  </si>
  <si>
    <t>Card màn hình MSI GeForce RTX 4090 GAMING X TRIO 24G</t>
  </si>
  <si>
    <t>https://gearvn.com/products/msi-geforce-rtx-4090-gaming-x-trio-24g</t>
  </si>
  <si>
    <t>Card màn hình MSI GeForce RTX 4090 GAMING TRIO 24G</t>
  </si>
  <si>
    <t>https://gearvn.com/products/msi-geforce-rtx-4090-gaming-trio-24g</t>
  </si>
  <si>
    <t>Card màn hình GIGABYTE GeForce RTX 4090 WINDFORCE 24G (GV-N4090WF3-24GD)</t>
  </si>
  <si>
    <t>https://gearvn.com/products/gigabyte-geforce-rtx-4090-windforce-24g</t>
  </si>
  <si>
    <t>Card màn hình GIGABYTE GeForce RTX 4090 GAMING OC 24G (GV-N4090GAMING OC-24GD)</t>
  </si>
  <si>
    <t>https://gearvn.com/products/gigabyte-geforce-rtx-4090-gaming-oc-24g</t>
  </si>
  <si>
    <t>Card màn hình GIGABYTE AORUS GeForce RTX 4090 XTREME WATERFORCE 24G (GV-N4090AORUSX W-24GD)</t>
  </si>
  <si>
    <t>https://gearvn.com/products/gigabyte-aorus-geforce-rtx-4090-xtreme-waterforce-24g</t>
  </si>
  <si>
    <t>Card màn hình GIGABYTE AORUS GeForce RTX 4090 MASTER 24G (GV-N4090AORUS M-24GD)</t>
  </si>
  <si>
    <t>https://gearvn.com/products/gigabyte-aorus-geforce-rtx-4090-master-24g</t>
  </si>
  <si>
    <t>Card màn hình ASUS TUF Gaming GeForce RTX 4090 OC Edition 24GB (TUF-RTX4090-O24G-GAMING)</t>
  </si>
  <si>
    <t>https://gearvn.com/products/asus-tuf-gaming-geforce-rtx-4090-oc-edition-24gb-gddr6x</t>
  </si>
  <si>
    <t>Card màn hình ASUS TUF Gaming GeForce RTX 4090 24GB (TUF-RTX4090-24G-GAMING)</t>
  </si>
  <si>
    <t>https://gearvn.com/products/asus-tuf-gaming-geforce-rtx-4090-24gb-gddr6x</t>
  </si>
  <si>
    <t>Card màn hình ASUS ROG Strix GeForce RTX 4090 OC Edition 24GB (ROG-STRIX-RTX4090-O24G-GAMING)</t>
  </si>
  <si>
    <t>https://gearvn.com/products/asus-rog-strix-geforce-rtx-4090-oc-edition-24gb-gddr6x</t>
  </si>
  <si>
    <t>Card màn hình ASUS ROG Strix GeForce RTX 4090 24GB (ROG-STRIX-RTX4090-24G-GAMING)</t>
  </si>
  <si>
    <t>https://gearvn.com/products/asus-rog-strix-geforce-rtx-4090-24gb-gddr6x</t>
  </si>
  <si>
    <t>Card Màn Hình Gigabyte GeForce GTX 1650 Super Windforce OC 4GB (GV-N165SWF2OC-4GD)</t>
  </si>
  <si>
    <t>https://gearvn.com/products/gigabyte-gtx-1650-super-wf-oc</t>
  </si>
  <si>
    <t>Card Màn Hình Asus Tuf Gaming GeForce GTX 1650 Super OC 4GB (Tuf-GTX1650S-O4G-GAMING)</t>
  </si>
  <si>
    <t>https://gearvn.com/products/asus-gtx-1650-super-4gb-tuf-gaming</t>
  </si>
  <si>
    <t>Card màn hình MSI GeForce RTX 4080 VENTUS 3X OC 16GB</t>
  </si>
  <si>
    <t>https://gearvn.com/products/msi-geforce-rtx-4080-ventus-3x-oc-16gb</t>
  </si>
  <si>
    <t>Card màn hình MSI GeForce RTX 4080 VENTUS 3X 16GB</t>
  </si>
  <si>
    <t>https://gearvn.com/products/msi-geforce-rtx-4080-ventus-3x-16gb</t>
  </si>
  <si>
    <t>Card màn hình MSI GeForce RTX 4080 SUPRIM X 16GB</t>
  </si>
  <si>
    <t>https://gearvn.com/products/msi-geforce-rtx-4080-suprim-x-16gb</t>
  </si>
  <si>
    <t>Card màn hình MSI GeForce RTX 4080 SUPRIM 16GB</t>
  </si>
  <si>
    <t>https://gearvn.com/products/msi-geforce-rtx-4080-suprim-16gb</t>
  </si>
  <si>
    <t>Card màn hình MSI GeForce RTX 4080 GAMING X TRIO 16GB</t>
  </si>
  <si>
    <t>https://gearvn.com/products/msi-geforce-rtx-4080-gaming-x-trio-16gb</t>
  </si>
  <si>
    <t>Card màn hình MSI GeForce RTX 4080 GAMING TRIO 16GB</t>
  </si>
  <si>
    <t>https://gearvn.com/products/msi-geforce-rtx-4080-gaming-trio-16gb</t>
  </si>
  <si>
    <t>Card màn hình GIGABYTE GeForce RTX 4080 GAMING OC 16GB (GV-N4080GAMING OC-16GD)</t>
  </si>
  <si>
    <t>https://gearvn.com/products/gigabyte-geforce-rtx-4090-gaming-oc-16g</t>
  </si>
  <si>
    <t>Card màn hình GIGABYTE GeForce RTX 4080 EAGLE 16GB (GV-N4080EAGLE 16GD)</t>
  </si>
  <si>
    <t>https://gearvn.com/products/gigabyte-geforce-rtx-4090-eagle-16g</t>
  </si>
  <si>
    <t>Card màn hình GIGABYTE GeForce RTX 4080 EAGLE OC 16GB (GV-N4080EAGLE OC-16GD)</t>
  </si>
  <si>
    <t>https://gearvn.com/products/gigabyte-geforce-rtx-4080-eagle-oc-16g</t>
  </si>
  <si>
    <t>Card màn hình GIGABYTE GeForce RTX 4080 AERO OC 16GB (GV-N4080AERO OC-16GD)</t>
  </si>
  <si>
    <t>https://gearvn.com/products/gigabyte-geforce-rtx-4080-aero-oc-16g</t>
  </si>
  <si>
    <t>Card màn hình GIGABYTE AORUS GeForce RTX 4080 XTREME WATERFORCE WB 16GB (GV-N4080AORUSX WB-16GD)</t>
  </si>
  <si>
    <t>https://gearvn.com/products/gigabyte-aorus-geforce-rtx-4080-xtreme-waterforce-wb-16g</t>
  </si>
  <si>
    <t>Card màn hình GIGABYTE AORUS GeForce RTX 4080 XTREME WATERFORCE 16GB (GV-N4080AORUSX W-16GD)</t>
  </si>
  <si>
    <t>https://gearvn.com/products/gigabyte-aorus-geforce-rtx-4080-xtreme-waterforce-16g</t>
  </si>
  <si>
    <t>Card màn hình GIGABYTE AORUS GeForce RTX 4080 MASTER 16GB (GV-N4080AORUS M-16GD)</t>
  </si>
  <si>
    <t>https://gearvn.com/products/gigabyte-aorus-geforce-rtx-4080-master-16g</t>
  </si>
  <si>
    <t>Card màn hình ASUS TUF Gaming GeForce RTX 4080 OC Edition 16GB (TUF-RTX4080-O16G-GAMING)</t>
  </si>
  <si>
    <t>https://gearvn.com/products/asus-tuf-gaming-geforce-rtx-4080-oc-edition-16gb-gddr6x</t>
  </si>
  <si>
    <t>Card màn hình ASUS TUF Gaming GeForce RTX 4080 16GB (TUF-RTX4080-16G-GAMING)</t>
  </si>
  <si>
    <t>https://gearvn.com/products/asus-tuf-gaming-geforce-rtx-4080-16gb-gddr6x</t>
  </si>
  <si>
    <t>Card màn hình ASUS TUF Gaming GeForce RTX 4070 Ti OC Edition 12GB (TUF-RTX4070TI-O12G-GAMING)</t>
  </si>
  <si>
    <t>https://gearvn.com/products/asus-tuf-gaming-geforce-rtx-4070-ti-oc-edition-12gb-gddr6x</t>
  </si>
  <si>
    <t>Card màn hình ASUS TUF Gaming GeForce RTX 4070 Ti 12GB (TUF-RTX4070TI-12G-GAMING)</t>
  </si>
  <si>
    <t>https://gearvn.com/products/asus-tuf-gaming-geforce-rtx-4070-ti-12gb-gddr6x</t>
  </si>
  <si>
    <t>Card màn hình ASUS ROG Strix GeForce RTX 4090 OC White Edition 24GB (ROG-STRIX-RTX4090-O24G-WHITE)</t>
  </si>
  <si>
    <t>https://gearvn.com/products/asus-rog-strix-geforce-rtx-4090-oc-white-edition-24gb-gddr6x</t>
  </si>
  <si>
    <t>Card màn hình ASUS ROG Strix GeForce RTX 4080 OC White Edition 16GB (ROG-STRIX-RTX4080-O16G-WHITE)</t>
  </si>
  <si>
    <t>https://gearvn.com/products/asus-rog-strix-geforce-rtx-4080-oc-white-edition-16gb-gddr6x</t>
  </si>
  <si>
    <t>Card màn hình ASUS ROG Strix GeForce RTX 4080 OC Edition 16GB (ROG-STRIX-RTX4080-O16G-GAMING)</t>
  </si>
  <si>
    <t>https://gearvn.com/products/asus-rog-strix-geforce-rtx-4080-oc-edition-16gb-gddr6x</t>
  </si>
  <si>
    <t>Card màn hình ASUS ROG Strix GeForce RTX 4080 16GB (ROG-STRIX-RTX4080-16G-GAMING)</t>
  </si>
  <si>
    <t>https://gearvn.com/products/asus-rog-strix-geforce-rtx-4080-16gb-gddr6x</t>
  </si>
  <si>
    <t>Card màn hình MSI GeForce RTX 4070 Ti SUPRIM X 12GB</t>
  </si>
  <si>
    <t>https://gearvn.com/products/msi-geforce-rtx-4070-ti-suprim-x-12g</t>
  </si>
  <si>
    <t>Card màn hình MSI GeForce RTX 4070 Ti GAMING X TRIO WHITE 12G</t>
  </si>
  <si>
    <t>https://gearvn.com/products/msi-geforce-rtx-4070-ti-gaming-x-trio-white-12g</t>
  </si>
  <si>
    <t>Card màn hình MSI GeForce RTX 4070 Ti GAMING X TRIO 12GB</t>
  </si>
  <si>
    <t>https://gearvn.com/products/msi-geforce-rtx-4070-ti-gaming-x-trio-12g</t>
  </si>
  <si>
    <t>Card màn hình GIGABYTE GeForce RTX 4070 Ti GAMING OC 12GB (GV-N407TGAMING OC-12GD)</t>
  </si>
  <si>
    <t>https://gearvn.com/products/gigabyte-geforce-rtx-4070-ti-gaming-oc-12g</t>
  </si>
  <si>
    <t>Card màn hình GIGABYTE GeForce RTX 4070 Ti EAGLE OC 12GB (GV-N407TEAGLE OC-12GD)</t>
  </si>
  <si>
    <t>https://gearvn.com/products/gigabyte-geforce-rtx-4070-ti-eagle-oc-12g</t>
  </si>
  <si>
    <t>Card màn hình GIGABYTE GeForce RTX 4070 Ti AERO OC 12GB (GV-N407TAERO OC-12GD)</t>
  </si>
  <si>
    <t>https://gearvn.com/products/gigabyte-geforce-rtx-4070-ti-aero-oc-12g</t>
  </si>
  <si>
    <t>Card màn hình GIGABYTE AORUS GeForce RTX 4070 Ti MASTER 12GB (GV-N407TAORUS M-12GD)</t>
  </si>
  <si>
    <t>https://gearvn.com/products/gigabyte-aorus-geforce-rtx-4070-ti-master-12g</t>
  </si>
  <si>
    <t>Card màn hình GIGABYTE AORUS GeForce RTX 4070 Ti ELITE 12GB (GV-N407TAORUS E-12GD)</t>
  </si>
  <si>
    <t>https://gearvn.com/products/gigabyte-aorus-geforce-rtx-4070-ti-elite-12g</t>
  </si>
  <si>
    <t>Card màn hình ASUS ROG Strix GeForce RTX 4070 Ti OC Edition 12GB (ROG-STRIX-RTX4070TI-O12G-GAMING)</t>
  </si>
  <si>
    <t>https://gearvn.com/products/asus-rog-strix-geforce-rtx-4070ti-oc-edition-12gb-gddr6x</t>
  </si>
  <si>
    <t>Card màn hình ASUS ROG Strix GeForce RTX 4070 Ti 12GB (ROG-STRIX-RTX4070TI-12G-GAMING)</t>
  </si>
  <si>
    <t>https://gearvn.com/products/asus-rog-strix-geforce-rtx-4070ti-12gb-gddr6x</t>
  </si>
  <si>
    <t>Card màn hình MSI GeForce RTX 4070 VENTUS 3X 12GB OC</t>
  </si>
  <si>
    <t>https://gearvn.com/products/msi-geforce-rtx-4070-ventus-3x-12g-oc</t>
  </si>
  <si>
    <t>Card màn hình MSI GeForce RTX 4070 VENTUS 3X 12GB</t>
  </si>
  <si>
    <t>https://gearvn.com/products/msi-geforce-rtx-4070-ventus-3x-12g</t>
  </si>
  <si>
    <t>Card màn hình MSI GeForce RTX 4070 VENTUS 2X 12GB OC</t>
  </si>
  <si>
    <t>https://gearvn.com/products/msi-geforce-rtx-4070-ventus-2x-12g-oc</t>
  </si>
  <si>
    <t>Card màn hình MSI GeForce RTX 4070 Ti SUPRIM 12GB</t>
  </si>
  <si>
    <t>https://gearvn.com/products/msi-geforce-rtx-4070-ti-suprim-12g</t>
  </si>
  <si>
    <t>Card màn hình MSI GeForce RTX 4070 GAMING X TRIO 12GB</t>
  </si>
  <si>
    <t>https://gearvn.com/products/msi-geforce-rtx-4070-gaming-x-trio-12g</t>
  </si>
  <si>
    <t>Card màn hình MSI GeForce RTX 4060 Ti VENTUS 2X BLACK 8G OC</t>
  </si>
  <si>
    <t>https://gearvn.com/products/msi-geforce-rtx-4060-ti-ventus-2x-black-8g-oc</t>
  </si>
  <si>
    <t>Card màn hình GIGABYTE GeForce RTX 4070 WINDFORCE OC 12G (GV-N4070WF3OC-12GD)</t>
  </si>
  <si>
    <t>https://gearvn.com/products/gigabyte-geforce-rtx-4070-windforce-oc-12g</t>
  </si>
  <si>
    <t>Card màn hình GIGABYTE GeForce RTX 4070 GAMING OC 12GB (GV-N4070GAMING OC-12GD)</t>
  </si>
  <si>
    <t>https://gearvn.com/products/gigabyte-geforce-rtx-4070-gaming-oc-12g</t>
  </si>
  <si>
    <t>Card màn hình GIGABYTE GeForce RTX 4070 EAGLE OC 12GB (GV-N4070EAGLE OC-12GD)</t>
  </si>
  <si>
    <t>https://gearvn.com/products/gigabyte-geforce-rtx-4070-eagle-oc-12g</t>
  </si>
  <si>
    <t>Card màn hình GIGABYTE GeForce RTX 4070 AERO OC 12GB (GV-N4070AERO OC-12GD)</t>
  </si>
  <si>
    <t>https://gearvn.com/products/gigabyte-geforce-rtx-4070-aero-oc-12g</t>
  </si>
  <si>
    <t>Card màn hình GIGABYTE GeForce RTX 4060 Ti AERO OC 8G (GV-N406TAERO-OC-8GD)</t>
  </si>
  <si>
    <t>https://gearvn.com/products/gigabyte-geforce-rtx-4060-ti-aero-oc-8g</t>
  </si>
  <si>
    <t>Card màn hình GIGABYTE AORUS GeForce RTX 4070 MASTER 12GB (GV-N4070AORUS M-12GD)</t>
  </si>
  <si>
    <t>https://gearvn.com/products/gigabyte-aorus-geforce-rtx-4070-master-12g</t>
  </si>
  <si>
    <t>Card màn hình ASUS TUF Gaming GeForce RTX 4070 OC Edition 12GB (TUF-RTX4070-O12G-GAMING)</t>
  </si>
  <si>
    <t>https://gearvn.com/products/asus-tuf-gaming-geforce-rtx-4070-oc-edition-12gb-gddr6x</t>
  </si>
  <si>
    <t>Card màn hình ASUS TUF Gaming GeForce RTX 4070 12GB (TUF-RTX4070-12G-GAMING)</t>
  </si>
  <si>
    <t>https://gearvn.com/products/asus-tuf-gaming-geforce-rtx-4070-12gb-gddr6x</t>
  </si>
  <si>
    <t>Card màn hình ASUS ROG Strix GeForce RTX 4070 OC Edition 12GB (ROG-STRIX-RTX4070-O12G-GAMING)</t>
  </si>
  <si>
    <t>https://gearvn.com/products/asus-rog-strix-geforce-rtx-4070-oc-edition-12g-gddr6x</t>
  </si>
  <si>
    <t>Card màn hình ASUS ROG Strix GeForce RTX 4070 12GB (ROG-STRIX-RTX4070-12G-GAMING)</t>
  </si>
  <si>
    <t>https://gearvn.com/products/asus-rog-strix-geforce-rtx-4070-12gb-gddr6x</t>
  </si>
  <si>
    <t>Card màn hình ASUS PROART GeForce RTX 4080 OC Edition 16GB (PROART-RTX4080-O16G)</t>
  </si>
  <si>
    <t>https://gearvn.com/products/asus-proart-geforce-rtx-4080-oc-edition-16gb-gddr6x</t>
  </si>
  <si>
    <t>Card màn hình ASUS PROART GeForce RTX 4080 16GB (PROART-RTX4080-16G)</t>
  </si>
  <si>
    <t>https://gearvn.com/products/asus-proart-geforce-rtx-4080-16gb-gddr6x</t>
  </si>
  <si>
    <t>Card màn hình ASUS PROART GeForce RTX 4070 Ti OC Edition 12GB (PROART-RTX4070TI-O12G)</t>
  </si>
  <si>
    <t>https://gearvn.com/products/asus-proart-geforce-rtx-4070-ti-oc-edition-12gb-gddr6x</t>
  </si>
  <si>
    <t>Card màn hình ASUS PROART GeForce RTX 4070 Ti 12GB (PROART-RTX4070TI-12G)</t>
  </si>
  <si>
    <t>https://gearvn.com/products/asus-proart-geforce-rtx-4070-ti-12gb-gddr6x</t>
  </si>
  <si>
    <t>Card màn hình ASUS Dual GeForce RTX 4070 White OC Edition 12GB (DUAL-RTX4070-O12G-WHITE)</t>
  </si>
  <si>
    <t>https://gearvn.com/products/asus-dual-geforce-rtx-4070-white-oc-edition-12gb-gddr6x</t>
  </si>
  <si>
    <t>Card màn hình ASUS Dual GeForce RTX 4070 White 12GB (DUAL-RTX4070-12G-WHITE)</t>
  </si>
  <si>
    <t>https://gearvn.com/products/asus-dual-geforce-rtx-4070-white-edition-12gb-gddr6x</t>
  </si>
  <si>
    <t>Card màn hình ASUS Dual GeForce RTX 4070 OC Edition 12GB (DUAL-RTX4070-O12G)</t>
  </si>
  <si>
    <t>https://gearvn.com/products/asus-dual-geforce-rtx-4070-oc-edition-12gb-gddr6x</t>
  </si>
  <si>
    <t>Card màn hình ASUS Dual GeForce RTX 4070 12GB (DUAL-RTX4070-12G)</t>
  </si>
  <si>
    <t>https://gearvn.com/products/asus-dual-geforce-rtx-4070-12gb-gddr6x</t>
  </si>
  <si>
    <t>Tin Học Ngôi Sao</t>
  </si>
  <si>
    <t>Card màn hình NVIDIA GeForce RTX 3050 Inno3D Twin X2 | 6GB GDDR6, 2304 CUDA, 450W</t>
  </si>
  <si>
    <t>https://tinhocngoisao.com/products/card-man-hinh-vga-inno3d-geforce-rtx-3050-twin-x2-6gb</t>
  </si>
  <si>
    <t>Card màn hình NVIDIA GeForce RTX 3050 Colorful V4-4 | 6GB GDDR6, 2304 CUDA, 450W</t>
  </si>
  <si>
    <t>https://tinhocngoisao.com/products/card-man-hinh-colorful-rtx-3050-6gb-v4-v</t>
  </si>
  <si>
    <t>Card màn hình NVIDIA GeForce RTX 3050 Gigabyte WindForce OC | 8GB GDDR6, 2560 CUDA, 450W</t>
  </si>
  <si>
    <t>https://tinhocngoisao.com/products/card-man-hinh-vga-gigabyte-geforce-rtx-3050-windforce-oc-v2-8g</t>
  </si>
  <si>
    <t>Card màn hình NVIDIA GeForce GT 730 ASUS | 2GB GDDR5, 384 CUDA, 300W</t>
  </si>
  <si>
    <t>https://tinhocngoisao.com/products/vga-asus-geforce-gt-730-2gb-ddr5-gt730-sl-2gd5-brk</t>
  </si>
  <si>
    <t>Card màn hình NVIDIA GeForce RTX 3050 ASUS Dual OC | 6GB GDDR6, 2304 CUDA, 450W</t>
  </si>
  <si>
    <t>https://tinhocngoisao.com/products/card-man-hinh-vga-asus-dual-geforce-rtx-3050-oc-edition-6gb-gddr6-90yv0k60-m0na00</t>
  </si>
  <si>
    <t>Card màn hình INNO3D GeForce GT 1030 | 2GB GDDR5, 384 CUDA, 300W</t>
  </si>
  <si>
    <t>https://tinhocngoisao.com/products/card-man-hinh-inno3d-geforce-gt-1030-2gb-gddr5-384-cuda-300w</t>
  </si>
  <si>
    <t>GeForce GT 1030</t>
  </si>
  <si>
    <t>Card màn hình Gigabyte RTX 3060 GAMING OC 8GB (GV-N3060GAMING OC-8GD)</t>
  </si>
  <si>
    <t>https://tinhocngoisao.com/products/vga-gigabyte-geforce-rtx-3060-gaming-oc-8gb-gv-n3060gaming-oc-8gd</t>
  </si>
  <si>
    <t>Card màn hình NVIDIA GeForce RTX 3050 Gigabyte WindForce OC | 6GB GDDR6, 2304 CUDA, 300W</t>
  </si>
  <si>
    <t>https://tinhocngoisao.com/products/card-man-hinh-vga-gigabyte-geforce-rtx-3050-windforce-oc-v2-6g</t>
  </si>
  <si>
    <t>Card màn hình NVIDIA GeForce RTX 5060 MSI SHADOW 2X OC | 8GB GDDR7, 3840 CUDA, 550W</t>
  </si>
  <si>
    <t>https://tinhocngoisao.com/products/card-man-hinh-msi-geforce-rtx-5060-8g-shadow-2x-oc</t>
  </si>
  <si>
    <t>Card màn hình NVIDIA GeForce RTX 5060 ASUS Dual OC | 8GB GDDR7, 3840 CUDA, 550W</t>
  </si>
  <si>
    <t>https://tinhocngoisao.com/products/card-man-hinh-asus-dual-geforce-rtx-5060-8gb-gddr7</t>
  </si>
  <si>
    <t>Card màn hình AMD Radeon RX 7600 ASUS Dual EVO OC | 8GB GDDR6, 2048 SP, 550W</t>
  </si>
  <si>
    <t>https://tinhocngoisao.com/products/card-man-hinh-asus-dual-radeon-rx-7600-evo-oc-edition-8gb-gddr6</t>
  </si>
  <si>
    <t>Card màn hình NVIDIA GeForce RTX 3050 ASUS Dual | 8GB GDDR6, 2560 CUDA, 450W</t>
  </si>
  <si>
    <t>https://tinhocngoisao.com/products/vga-asus-geforce-rtx-3050-dual-8gb-gddr6-128bit-2-fan-v2-dual-rtx3050-8g-v2</t>
  </si>
  <si>
    <t>Card màn hình NVIDIA GeForce RTX 3050 ZOTAC Twin Edge OC | 6GB GDDR6, 2560 CUDA, 450W</t>
  </si>
  <si>
    <t>https://tinhocngoisao.com/products/card-man-hinh-vga-zotac-gaming-geforce-rtx-3050-6gb-gddr6-twin-edge-oc</t>
  </si>
  <si>
    <t>Card màn hình ASUS Dual GeForce RTX™ 5060 Ti 8GB GDDR7 OC Edition</t>
  </si>
  <si>
    <t>https://tinhocngoisao.com/products/card-man-hinh-asus-dual-geforce-rtx-5060-ti-8gb-gddr7-oc-edition</t>
  </si>
  <si>
    <t>Card màn hình ASUS GT 1030 2GB GDDR5 Silent BRK (GT 1030-SL-2GB-BRK)</t>
  </si>
  <si>
    <t>https://tinhocngoisao.com/products/vga-asus-gt-1030-2g-gddr5-silent-brk-chinh-hang-gt1030-sl-2g-brk</t>
  </si>
  <si>
    <t>Card màn hình NVIDIA GeForce RTX 5060 MSI VENTUS 2X OC | 8GB GDDR7, 3840 CUDA, 550W</t>
  </si>
  <si>
    <t>https://tinhocngoisao.com/products/card-man-hinh-msi-geforce-rtx-5060-8g-ventus-2x-oc</t>
  </si>
  <si>
    <t>Card màn hình NVIDIA GeForce RTX 5070 Colorful Gaming 12GB-V | 12GB GDDR7, 6144 CUDA, 3 Fan, 650W</t>
  </si>
  <si>
    <t>https://tinhocngoisao.com/products/card-man-hinh-nvidia-geforce-rtx-5070-colorful-gaming-12gb-v-12gb-gddr7-6144-cuda-3-fan-650w</t>
  </si>
  <si>
    <t>Card màn hình NVIDIA GeForce RTX 5060 Palit Infinity 2 OC | 8GB GDDR7, 3840 CUDA</t>
  </si>
  <si>
    <t>https://tinhocngoisao.com/products/card-man-hinh-nvidia-geforce-rtx-5060-palit-infinity-2-oc-8gb-gddr7-3840-cuda</t>
  </si>
  <si>
    <t>Card màn hình NVIDIA GeForce RTX 3050 ASUS Dual | 6GB GDDR6, 2304 CUDA, 450W</t>
  </si>
  <si>
    <t>https://tinhocngoisao.com/products/card-man-hinh-vga-asus-dual-geforce-rtx-3050-6gb-gddr6-90yv0k61-m1na00</t>
  </si>
  <si>
    <t>Card màn hình ASRock AMD Radeon™ RX 9060 XT Challenger 16GB OC</t>
  </si>
  <si>
    <t>https://tinhocngoisao.com/products/card-man-hinh-asrock-amd-radeon-rx-9060-xt-challenger-16gb-oc</t>
  </si>
  <si>
    <t>Card màn hình Asus Dual RTX 5050 8GB (Dual-Rtx5050-8G)</t>
  </si>
  <si>
    <t>https://tinhocngoisao.com/products/card-man-hinh-asus-dual-rtx-5050-8gb-dual-rtx5050-8g</t>
  </si>
  <si>
    <t>Card màn hình AMD Radeon RX 7600 Gigabyte GAMING OC | 8GB GDDR6, 2048 SP, 550W</t>
  </si>
  <si>
    <t>https://tinhocngoisao.com/products/card-man-hinh-vga-gigabyte-radeon-rx-7600-gaming-oc-8g</t>
  </si>
  <si>
    <t>Card màn hình ARK RX550 4GB</t>
  </si>
  <si>
    <t>https://tinhocngoisao.com/products/card-man-hinh-vga-ark-rx550-4gb</t>
  </si>
  <si>
    <t>Card màn hình NVIDIA GeForce RTX 5060 Colorful iGame Ultra W DUO OC | 8GB GDDR7, 3840 CUDA, 550W</t>
  </si>
  <si>
    <t>https://tinhocngoisao.com/products/card-man-hinh-colorful-igame-geforce-rtx-5060-ultra-w-duo-oc-8gb-v</t>
  </si>
  <si>
    <t>Card màn hình NVIDIA GeForce GTX 1650 Unika Super Sniper V2 | 4GB GDDR6, 896 CUDA, 300W</t>
  </si>
  <si>
    <t>https://tinhocngoisao.com/products/card-man-hinh-nvidia-geforce-gtx-1650-unika-super-sniper-v2-4gb-gddr6-896-cuda-300w</t>
  </si>
  <si>
    <t>Card màn hình NVIDIA GeForce RTX 5050 Zotac Twin Edge OC (ZT-B50500H-10M) | 8GB GDDR6, 2560 CUDA, 550W</t>
  </si>
  <si>
    <t>https://tinhocngoisao.com/products/card-man-hinh-nvidia-geforce-rtx-5050-zotac-twin-edge-oc-zt-b50500h-10m-8gb-gddr6-2560-cuda-550w</t>
  </si>
  <si>
    <t>Card màn hình NVIDIA GeForce GT 1030 UNIKA 4GD4 V3 | 4GB DDR4, 64-bit, 1 Fan</t>
  </si>
  <si>
    <t>https://tinhocngoisao.com/products/card-man-hinh-nvidia-geforce-gt-1030-unika-4gd4-v3-4gb-ddr4-64-bit-1-fan</t>
  </si>
  <si>
    <t>Card màn hình Gigabyte RTX 5070 12G WINDFORCE OC SFF</t>
  </si>
  <si>
    <t>https://tinhocngoisao.com/products/card-man-hinh-vga-gigabyte-geforce-rtx-5070-windforce-oc-sff-12g</t>
  </si>
  <si>
    <t>Card màn hình NVIDIA GeForce RTX 2060 Unika Blizzard | 6GB GDDR6, 1920 CUDA, 500W</t>
  </si>
  <si>
    <t>https://tinhocngoisao.com/products/card-man-hinh-unika-blizzard-2060-6g</t>
  </si>
  <si>
    <t>Card màn hình Colorful GeForce RTX 5070 Ti Battle AX | 16GB GDDR7, 8960 CUDA, 750W</t>
  </si>
  <si>
    <t>https://tinhocngoisao.com/products/card-man-hinh-colorful-geforce-rtx-5070-ti-battle-ax-16gb-gddr7-8960-cuda-750w</t>
  </si>
  <si>
    <t>Card màn hình NVIDIA GeForce RTX 5060 Ti ZOTAC Twin Edge | 16GB GDDR7, 4608 CUDA, 600W</t>
  </si>
  <si>
    <t>https://tinhocngoisao.com/products/card-man-hinh-zotac-gaming-geforce-rtx-5060-ti-16gb-twin-edge</t>
  </si>
  <si>
    <t>Card màn hình NVIDIA GeForce RTX 3050 MSI Ventus 2X E OC | 6GB GDDR6, 2560 CUDA, 300W</t>
  </si>
  <si>
    <t>https://tinhocngoisao.com/products/card-man-hinh-vga-msi-geforce-rtx-3050-ventus-2x-e-6g-oc</t>
  </si>
  <si>
    <t>Card màn hình NVIDIA GeForce RTX 5060 Gigabyte WINDFORCE OC | 8GB GDDR7, 3840 CUDA, 450W</t>
  </si>
  <si>
    <t>https://tinhocngoisao.com/products/card-man-hinh-gigabyte-geforce-rtx-5060-windforce-oc-8g</t>
  </si>
  <si>
    <t>Card màn hình NVIDIA GeForce RTX 5060 Ti ASUS Dual OC | 16GB GDDR7, 4608 CUDA, 550W</t>
  </si>
  <si>
    <t>https://tinhocngoisao.com/products/card-man-hinh-asus-dual-geforce-rtx-5060-ti-16gb-gddr7-oc-edition</t>
  </si>
  <si>
    <t>Card màn hình NVIDIA GeForce RTX 5060 Colorful Gaming DUO | 8GB GDDR7, 3840 CUDA, 550W</t>
  </si>
  <si>
    <t>https://tinhocngoisao.com/products/card-man-hinh-colorful-rtx5060-gaming-duo-8gb-v</t>
  </si>
  <si>
    <t>Card màn hình AMD Radeon RX560 T-WOLF | 4GB GDDR5, 1024 SP, 850W</t>
  </si>
  <si>
    <t>https://tinhocngoisao.com/products/card-man-hinh-amd-t-wolf-tw-rx560-4g-d5-pnb-686875645-dual</t>
  </si>
  <si>
    <t>Card màn hình NVIDIA GeForce RTX 5060 Ti MSI VENTUS 2X PLUS | 8GB GDDR7, 4608 CUDA, 600W</t>
  </si>
  <si>
    <t>https://tinhocngoisao.com/products/card-man-hinh-msi-geforce-rtx-5060-ti-8g-ventus-2x-plus</t>
  </si>
  <si>
    <t>Card màn hình AMD Radeon RX 9060 XT Gigabyte Gaming OC | 16GB GDDR6, 2048 SP, 550W</t>
  </si>
  <si>
    <t>https://tinhocngoisao.com/products/card-man-hinh-gigabyte-radeon-rx-9060-xt-gaming-oc-16gb</t>
  </si>
  <si>
    <t>Card màn hình (AMD) UNIKA Blizzards White RX 7600 8GD6 V2 | 8GB GDDR6, 128-bit, 3 Fan, Trắng</t>
  </si>
  <si>
    <t>https://tinhocngoisao.com/products/card-man-hinh-amd-unika-blizzards-white-rx-7600-8gd6-v2-8gb-gddr6-128-bit-3-fan-trang</t>
  </si>
  <si>
    <t>Card màn hình NVIDIA GeForce RTX 5060 Ti Palit Dual | 8GB GDDR7, 4608 CUDA</t>
  </si>
  <si>
    <t>https://tinhocngoisao.com/products/card-man-hinh-nvidia-geforce-rtx-5060-ti-palit-dual-8gb-gddr7-4608-cuda</t>
  </si>
  <si>
    <t>Card màn hình (AMD) ASUS DUAL RX 9060XT (DUAL-RX9060XT-16G) | 16GB GDDR6, 2048 Stream</t>
  </si>
  <si>
    <t>https://tinhocngoisao.com/products/card-man-hinh-amd-asus-dual-rx-9060xt-dual-rx9060xt-16g-16gb-gddr6-2048-stream</t>
  </si>
  <si>
    <t>Card màn hình Radeon RX 9060 XT Gigabyte Gaming OC | 8GB GDDR6, 2048, 450W</t>
  </si>
  <si>
    <t>https://tinhocngoisao.com/products/card-man-hinh-amd-gigabyte-rx-9060xt-gaming-oc-8gb</t>
  </si>
  <si>
    <t>Card màn hình NVIDIA GeForce RTX 5070 Ti Palit GamingPro-S | 16GB GDDR7, 8960 CUDA</t>
  </si>
  <si>
    <t>https://tinhocngoisao.com/products/card-man-hinh-nvidia-geforce-rtx-5070-ti-palit-gamingpro-s-16gb-gddr7-8960-cuda</t>
  </si>
  <si>
    <t>Card màn hình NVIDIA GeForce RTX 5060 Gigabyte WINDFORCE MAX OC 8G (GV-N5060WF2MAX OC-8GD) | 8GB GDDR7, 3840 CUDA</t>
  </si>
  <si>
    <t>https://tinhocngoisao.com/products/card-man-hinh-nvidia-geforce-rtx-5060-gigabyte-windforce-max-oc-8g-gv-n5060wf2max-oc-8gd-8gb-gddr7-3840-cuda</t>
  </si>
  <si>
    <t>Card màn hình NVIDIA GeForce RTX 5070 Palit Infinity 3 | 12GB GDDR7, 6144 CUDA</t>
  </si>
  <si>
    <t>https://tinhocngoisao.com/products/card-man-hinh-nvidia-geforce-rtx-5070-palit-infinity-3-12gb-gddr7-6144-cuda</t>
  </si>
  <si>
    <t>Card màn hình NVIDIA GeForce RTX 3050 MSI Ventus 2X XS OC | 8GB GDDR6, 2560 CUDA, 500W</t>
  </si>
  <si>
    <t>https://tinhocngoisao.com/products/card-man-hinh-vga-msi-geforce-rtx-3050-ventus-2x-xs-8g-oc</t>
  </si>
  <si>
    <t>Card màn hình (AMD) ASRock RX 9070 XT Challenger 16GB OC | 16GB GDDR7, OC Edition</t>
  </si>
  <si>
    <t>https://tinhocngoisao.com/products/card-man-hinh-amd-asrock-rx-9070-xt-challenger-16gb-oc-16gb-gddr7-oc-edition</t>
  </si>
  <si>
    <t>Card màn hình NVIDIA GeForce RTX 5070 Palit White OC | 12GB GDDR7, 6144 CUDA</t>
  </si>
  <si>
    <t>https://tinhocngoisao.com/products/card-man-hinh-nvidia-geforce-rtx-5070-palit-white-oc-12gb-gddr7-6144-cuda</t>
  </si>
  <si>
    <t>Card màn hình NVIDIA GeForce RTX 5050 MSI Shadow 2X OC | 8GB GDDR6, 2560 CUDA, 550W</t>
  </si>
  <si>
    <t>https://tinhocngoisao.com/products/card-man-hinh-msi-rtx-5050-shadow-2x-oc-8g</t>
  </si>
  <si>
    <t>Card màn hình NVIDIA GeForce RTX 5080 Zotac SOLID CORE OC (ZT-B50800J2-10P) | 16GB GDDR7, 10752 CUDA, 850W</t>
  </si>
  <si>
    <t>https://tinhocngoisao.com/products/card-man-hinh-nvidia-geforce-rtx-5080-zotac-solid-core-oc-zt-b50800j2-10p-16gb-gddr7-10752-cuda-850w</t>
  </si>
  <si>
    <t>Card màn hình Gigabyte RTX 5070 12G EAGLE OC SFF</t>
  </si>
  <si>
    <t>https://tinhocngoisao.com/products/card-man-hinh-vga-gigabyte-geforce-rtx-5070-eagle-oc-sff-12g</t>
  </si>
  <si>
    <t>Card màn hình AMD Radeon RX 580 T-WOLF | 8GB GDDR5, 2304 SP, 500W</t>
  </si>
  <si>
    <t>https://tinhocngoisao.com/products/card-man-hinh-vga-t-wolf-rx-580-8gb-gddr5-v2</t>
  </si>
  <si>
    <t>Card màn hình (AMD) ARK Radeon RX 550 1 Fan | 8GB GDDR5, 128-bit, 640 SP, 400W</t>
  </si>
  <si>
    <t>https://tinhocngoisao.com/products/card-man-hinh-amd-ark-radeon-rx-550-1-fan-8gb-gddr5-128-bit-640-sp-400w</t>
  </si>
  <si>
    <t>Card màn hình NVIDIA GeForce GT 710 Asus EVO | 2GB GDDR5, 192 CUDA, 300W</t>
  </si>
  <si>
    <t>https://tinhocngoisao.com/products/card-man-hinh-asus-710-2gb-ddr5-brk-evo</t>
  </si>
  <si>
    <t>Card màn hình MSI RTX 5060 Ti Shadow 2X OC | 8GB GDDR7</t>
  </si>
  <si>
    <t>https://tinhocngoisao.com/products/card-man-hinh-msi-rtx-5060-ti-shadow-2x-oc-8gb-gddr7</t>
  </si>
  <si>
    <t>Card màn hình ARKTEK GTX 1660 Super 6GB</t>
  </si>
  <si>
    <t>https://tinhocngoisao.com/products/card-man-hinh-vga-arktek-gtx-1660-super-6gb</t>
  </si>
  <si>
    <t>Card màn hình NVIDIA GeForce RTX 5060 Ti INNO3D Twin X2 | 16GB GDDR7, 4608 CUDA, 650W</t>
  </si>
  <si>
    <t>https://tinhocngoisao.com/products/card-man-hinh-inno3d-rtx-5060-ti-twin-x2-16gb</t>
  </si>
  <si>
    <t>Card màn hình NVIDIA GeForce RTX 5080 Zotac SOLID CORE (ZT-B50800D2-10P) | 16GB GDDR7, 10752 CUDA, 850W</t>
  </si>
  <si>
    <t>https://tinhocngoisao.com/products/card-man-hinh-nvidia-geforce-rtx-5080-zotac-solid-core-zt-b50800d2-10p-16gb-gddr7-10752-cuda-850w</t>
  </si>
  <si>
    <t>Card màn hình AMD Radeon RX 9060 XT ASUS Prime OC | 16GB GDDR6, 2048 SP, 550W</t>
  </si>
  <si>
    <t>https://tinhocngoisao.com/products/card-man-hinh-asus-prime-radeon-rx-9060-xt-16gb-gddr6-oc-edition-prime-rx9060xt-o16g</t>
  </si>
  <si>
    <t>Card màn hình NVIDIA GeForce RTX 5070 ASUS Dual OC | 12GB GDDR7, 6144 CUDA, 650W</t>
  </si>
  <si>
    <t>https://tinhocngoisao.com/products/card-man-hinh-asus-dual-geforce-rtx-5070-oc-edition-12gb-gddr7-dual-r</t>
  </si>
  <si>
    <t>Card màn hình NVIDIA GeForce RTX 5060 Ti Colorful Gaming DUO | 16GB GDDR7, 4608 CUDA, 600W</t>
  </si>
  <si>
    <t>https://tinhocngoisao.com/products/card-man-hinh-colorful-geforce-rtx-5060-ti-gaming-duo-16gb-v</t>
  </si>
  <si>
    <t>Card màn hình NVIDIA GeForce RTX 5060 MSI VENTUS 2X WHITE OC | 8GB GDDR7, 3840 CUDA, 550W</t>
  </si>
  <si>
    <t>https://tinhocngoisao.com/products/card-man-hinh-msi-geforce-rtx-5060-8g-ventus-2x-oc-white</t>
  </si>
  <si>
    <t>Card màn hình NVIDIA RTX A1000 Qleadtek Quadro RTX A1000 | 8GB GDDR6, 2304 CUDA,</t>
  </si>
  <si>
    <t>https://tinhocngoisao.com/products/card-man-hinh-vga-qleadtek-quadro-rtx-a1000-8gb-gddr6</t>
  </si>
  <si>
    <t>Card màn hình NVIDIA GeForce RTX 5080 Gigabyte WINDFORCE OC SFF OC | 16GB GDDR7, 10752 CUDA, 850W</t>
  </si>
  <si>
    <t>https://tinhocngoisao.com/products/card-man-hinh-vga-gigabyte-geforce-rtx-5080-windforce-oc-sff-16g</t>
  </si>
  <si>
    <t>Card màn hình NVIDIA GeForce RTX 2060 Super T-WOLF | 8GB GDDR6, 2176 CUDA, 550W</t>
  </si>
  <si>
    <t>https://tinhocngoisao.com/products/card-man-hinh-t-wolf-rtx-2060-super-8gb-ddr6</t>
  </si>
  <si>
    <t>Card màn hình NVIDIA GeForce RTX 5060 Ti Colorful iGame Ultra White OC | 16GB GDDR7, 4608 CUDA, 650W</t>
  </si>
  <si>
    <t>https://tinhocngoisao.com/products/card-man-hinh-vga-colorful-igame-rtx-5060-ti-ultra-white-oc-16gb-v</t>
  </si>
  <si>
    <t>Card màn hình NVIDIA GeForce RTX 5060 Ti Gigabyte WINDFORCE OC | 8GB GDDR7, 4608 CUDA, 650W</t>
  </si>
  <si>
    <t>https://tinhocngoisao.com/products/card-man-hinh-gigabyte-geforce-rtx-5060-ti-windforce-oc-8g</t>
  </si>
  <si>
    <t>Card màn hình NVIDIA GeForce RTX 5060 Ti MSI VENTUS 2X PLUS OC | 8GB GDDR7, 4608 CUDA, 600W</t>
  </si>
  <si>
    <t>https://tinhocngoisao.com/products/card-man-hinh-msi-geforce-rtx-5060-ti-8g-ventus-2x-oc-plus</t>
  </si>
  <si>
    <t>Card màn hình INNO3D RTX™ 5080 X3</t>
  </si>
  <si>
    <t>https://tinhocngoisao.com/products/card-man-hinh-vga-inno3d-geforce-rtx-5080-x3</t>
  </si>
  <si>
    <t>Card màn hình AMD Radeon RX 6900 XT ASUS TUF Gaming TOP Edition | 16GB GDDR6, 5120 SP, 850W</t>
  </si>
  <si>
    <t>https://tinhocngoisao.com/products/vga-asus-rx6900xt-16gb-gddr6-tuf-gaming-radeon-top-edition-3fan-tuf-rx6900xt-t16g-gaming</t>
  </si>
  <si>
    <t>Card màn hình AMD Sapphire NITRO + RX7900XTX Gaming OC Vapor-X 24G 3 Fan</t>
  </si>
  <si>
    <t>https://tinhocngoisao.com/products/card-man-hinh-amd-sapphire-nitro-rx7900xtx-gaming-oc-vapor-x-24g-3-fan</t>
  </si>
  <si>
    <t>Card màn hình AMD Radeon RX 9070 XT ASUS Prime OC | 16GB GDDR6, 4096 SP, 750W</t>
  </si>
  <si>
    <t>https://tinhocngoisao.com/products/card-man-hinh-vga-asus-prime-radeon-rx-9070-xt-oc-edition-16gb-gddr6</t>
  </si>
  <si>
    <t>Card màn hình NVIDIA GeForce RTX 5070 Colorful iGame Ultra W OC | 12GB GDDR7, 6144 CUDA, 650W</t>
  </si>
  <si>
    <t>https://tinhocngoisao.com/products/card-man-hinh-vga-igame-geforce-rtx-5070-ultra-w-oc-12gb</t>
  </si>
  <si>
    <t>Card màn hình Gigabyte GeForce RTX 5070 Ti Eagle Ice SFF OC Ice | 16GB GDDR7, 8960 CUDA, PCIe 5.0, 3 Fan</t>
  </si>
  <si>
    <t>https://tinhocngoisao.com/products/card-man-hinh-gigabyte-geforce-rtx-5070-ti-eagle-ice-sff-oc-ice-16gb-gddr7-8960-cuda-pcie-5-0-3-fan</t>
  </si>
  <si>
    <t>Card màn hình NVIDIA GeForce RTX 5060 Ti Colorful Battle AX Duo | 16GB GDDR7, 4608 CUDA, 600W</t>
  </si>
  <si>
    <t>https://tinhocngoisao.com/products/card-man-hinh-colorful-rtx-5060-ti-battle-ax-duo-16gb-v</t>
  </si>
  <si>
    <t>Card màn hình NVIDIA GeForce RTX 5070 Gigabyte GAMING OC | 12GB GDDR7, 6144 CUDA, 750W</t>
  </si>
  <si>
    <t>https://tinhocngoisao.com/products/card-man-hinh-vga-gigabyte-geforce-rtx-5070-gaming-oc-12g</t>
  </si>
  <si>
    <t>Card màn hình NVIDIA GeForce RTX 5060 Ti INNO3D Twin X2 OC | 8GB GDDR7, 4608 CUDA, 650W</t>
  </si>
  <si>
    <t>https://tinhocngoisao.com/products/card-man-hinh-inno3d-geforce-rtx-5060-ti-8gb-twin-x2-oc</t>
  </si>
  <si>
    <t>Card màn hình NVIDIA GeForce RTX 5060 Ti Colorful iGame Mini W OC 8GB-V | 8GB GDDR7, 4608 CUDA, 1 Fan, Trắng</t>
  </si>
  <si>
    <t>https://tinhocngoisao.com/products/card-man-hinh-nvidia-geforce-rtx-5060-ti-colorful-igame-mini-w-oc-8gb-v-8gb-gddr7-4608-cuda-1-fan-trang</t>
  </si>
  <si>
    <t>Card màn hình NVIDIA GeForce RTX 5060 Colorful iGame Ultra W OC | 8GB GDDR7, 3840 CUDA, 550W</t>
  </si>
  <si>
    <t>https://tinhocngoisao.com/products/card-man-hinh-colorful-igame-geforce-rtx-5060-ultra-w-oc-8gb-v</t>
  </si>
  <si>
    <t>Card màn hình NVIDIA GeForce GTX 1060 T-Wolf | 3GB GDDR5, 1152 CUDA, 400W</t>
  </si>
  <si>
    <t>https://tinhocngoisao.com/products/card-man-hinh-vga-t-wolf-gtx-1060-3gb-gddr5</t>
  </si>
  <si>
    <t>Card màn hình NVIDIA GeForce RTX 5060 Zotac LOW PROFILE (ZT-B50600L-10L) | 8GB GDDR7, 3840 CUDA</t>
  </si>
  <si>
    <t>https://tinhocngoisao.com/products/card-man-hinh-nvidia-geforce-rtx-5060-zotac-low-profile-zt-b50600l-10l-8gb-gddr7-3840-cuda</t>
  </si>
  <si>
    <t>Card màn hình NVIDIA GeForce RTX 5060 MSI INSPIRE 2X OC | 8GB GDDR7, 3840 CUDA, 550W</t>
  </si>
  <si>
    <t>https://tinhocngoisao.com/products/card-man-hinh-msi-geforce-rtx-5060-8g-inspire-2x-oc</t>
  </si>
  <si>
    <t>Card màn hình NVIDIA GeForce RTX 5060 Ti Gigabyte WINDFORCE OC | 16GB GDDR7, 4608 CUDA, 650W</t>
  </si>
  <si>
    <t>https://tinhocngoisao.com/products/card-man-hinh-gigabyte-geforce-rtx-5060-ti-windforce-oc-16g</t>
  </si>
  <si>
    <t>Card màn hình (NVIDIA) Leadtek RTX 4000 Ada | 20GB GDDR6, 6144 CUDA</t>
  </si>
  <si>
    <t>https://tinhocngoisao.com/products/card-man-hinh-nvidia-leadtek-rtx-4000-ada-20gb-gddr6-6144-cuda</t>
  </si>
  <si>
    <t>Card màn hình AMD Radeon RX 9060 XT SAPPHIRE NITRO+ Gaming OC | 16GB GDDR6, 2048 SP, 550W</t>
  </si>
  <si>
    <t>https://tinhocngoisao.com/products/card-man-hinh-sapphire-nitro-amd-radeon-rx-9060-xt-gaming-oc-16gb</t>
  </si>
  <si>
    <t>Card màn hình AMD Radeon RX 9070 XT ASUS RX 9070 Prime OC | 16GB GDDR6, 5384 SP, 650W</t>
  </si>
  <si>
    <t>https://tinhocngoisao.com/products/card-man-hinh-vga-asus-prime-radeon-rx-9070-oc-edition-16gb-gddr6</t>
  </si>
  <si>
    <t>Card màn hình NVIDIA GeForce RTX 5070 ZOTAC SOLID OC | 12GB GDDR7, 6144 CUDA, 650W</t>
  </si>
  <si>
    <t>https://tinhocngoisao.com/products/card-man-hinh-vga-zotac-gaming-geforce-rtx-5070-solid-oc</t>
  </si>
  <si>
    <t>Card màn hình NVIDIA GeForce RTX 5080 INNO3D X3 OC | 16GB GDDR7, 10752 CUDA, 850W</t>
  </si>
  <si>
    <t>https://tinhocngoisao.com/products/card-man-hinh-vga-inno3d-geforce-rtx-5080-x3-oc-white</t>
  </si>
  <si>
    <t>Card màn hình ASUS ProArt GeForce RTX 5080 OC 16GB GDDR7 (PROART-RTX5080-O16G) | 16GB GDDR7, OC Edition, 10752 CUDA</t>
  </si>
  <si>
    <t>https://tinhocngoisao.com/products/card-man-hinh-asus-proart-geforce-rtx-5080-oc-16gb-gddr7-proart-rtx5080-o16g-16gb-gddr7-oc-edition-10752-cuda</t>
  </si>
  <si>
    <t>Card màn hình NVIDIA GeForce RTX 5070 Ti ASUS TUF Gaming OC | 16GB GDDR7, 8960 CUDA, 850W</t>
  </si>
  <si>
    <t>https://tinhocngoisao.com/products/card-man-hinh-vga-asus-tuf-gaming-geforce-rtx-5070-ti-16gb-gddr7-oc-edition</t>
  </si>
  <si>
    <t>Card màn hình AMD Radeon RX 7600 SAPPHIRE PULSE OC | 8GB GDDR6, 2048 SP, 550W</t>
  </si>
  <si>
    <t>https://tinhocngoisao.com/products/card-man-hinh-vga-sapphire-pulse-amd-radeon-rx-7600-8gb-gaming-oc-8gb</t>
  </si>
  <si>
    <t>Card màn hình NVIDIA GeForce GTX 1050 Unika Blizzard | 4GB GDDR5, 640 CUDA, 300W</t>
  </si>
  <si>
    <t>https://tinhocngoisao.com/products/card-man-hinh-unika-blizzard-1050-4g</t>
  </si>
  <si>
    <t>Card màn hình NVIDIA GeForce RTX 5060 MSI GAMING OC | 8GB GDDR7, 3840 CUDA, 550W</t>
  </si>
  <si>
    <t>https://tinhocngoisao.com/products/card-man-hinh-msi-geforce-rtx-5060-8g-gaming-oc</t>
  </si>
  <si>
    <t>Card màn hình AMD Radeon RX 6900 XT ASUS TUF Gaming OC | 16GB GDDR6, 5120 SP, 850W</t>
  </si>
  <si>
    <t>https://tinhocngoisao.com/products/vga-radeon-rx6900xt-16g-gddr6-asus-tuf-gaming-oc-tuf-rx6900xt-o16g-gaming</t>
  </si>
  <si>
    <t>Card màn hình MSI RTX 5080 16G VENTUS 3X OC WHITE</t>
  </si>
  <si>
    <t>https://tinhocngoisao.com/products/card-man-hinh-vga-msi-geforce-rtx-5080-16g-ventus-3x-oc-white</t>
  </si>
  <si>
    <t>Card màn hình AMD Radeon RX 9060 XT ASRock Steel Legend OC | 16GB GDDR6, 2048 SP, 750W</t>
  </si>
  <si>
    <t>https://tinhocngoisao.com/products/card-man-hinh-asrock-amd-radeon-rx-9060-xt-steel-legend-16gb-oc-rx9060xt-sl-16go</t>
  </si>
  <si>
    <t>Card màn hình NVIDIA GeForce RTX 5070 INNO3D TWIN X2 OC WHITE OC | 12GB GDDR7, 6144 CUDA, 650W</t>
  </si>
  <si>
    <t>https://tinhocngoisao.com/products/card-man-hinh-vga-inno3d-geforce-rtx-5070-twin-x2-oc-white</t>
  </si>
  <si>
    <t>Card màn hình NVIDIA GeForce RTX 5080 PNY Triple Fan | 16GB GDDR7, 10752 CUDA, 850W</t>
  </si>
  <si>
    <t>https://tinhocngoisao.com/products/card-man-hinh-vga-pny-geforce-rtx-5080-triple-fan</t>
  </si>
  <si>
    <t>Card màn hình NVIDIA GeForce RTX 5080 ASUS ROG Astral OC | 16GB GDDR7, 10752 CUDA, 850W</t>
  </si>
  <si>
    <t>https://tinhocngoisao.com/products/card-man-hinh-vga-asus-rog-astral-geforce-rtx-5080-16gb-gddr7-oc-edition</t>
  </si>
  <si>
    <t>Card màn hình NVIDIA GeForce RTX 5060 INNO3D TWIN X2 | 8GB GDDR7, 3840 CUDA, 550W</t>
  </si>
  <si>
    <t>https://tinhocngoisao.com/products/card-man-hinh-inno3d-geforce-rtx-5060-twin-x2</t>
  </si>
  <si>
    <t>Card màn hình NVIDIA GeForce RTX 5060 Ti ASUS PRIME OC | 16GB GDDR7, 4608 CUDA, 550W</t>
  </si>
  <si>
    <t>https://tinhocngoisao.com/products/card-man-hinh-asus-prime-geforce-rtx-5060-ti-16gb-gddr7-oc-edition</t>
  </si>
  <si>
    <t>Card màn hình NVIDIA GeForce RTX 5060 Ti PNY EPIC-X RGB OC | 16 GB GDDR7, 4608 CUDA, 600W</t>
  </si>
  <si>
    <t>https://tinhocngoisao.com/products/card-man-hinh-pny-geforce-rtx-5060-ti-16gb-epic-x-rgb-overclocked-triple-fan</t>
  </si>
  <si>
    <t>Card màn hình NVIDIA GeForce RTX 5060 Ti Colorful iGame Mini OC 8GB-V | 8GB GDDR7, 4608 CUDA, 1 Fan, Đen</t>
  </si>
  <si>
    <t>https://tinhocngoisao.com/products/card-man-hinh-nvidia-geforce-rtx-5060-ti-colorful-igame-mini-oc-8gb-v-8gb-gddr7-4608-cuda-1-fan-den</t>
  </si>
  <si>
    <t>Card màn hình NVIDIA T1000 Quadro T1000 | 4GB GDDR6, 896 CUDA,</t>
  </si>
  <si>
    <t>https://tinhocngoisao.com/products/vga-nvidia-quadro-leadtek-t1000-4g-1fan-gddr6-mdpxa-upc-812674023076</t>
  </si>
  <si>
    <t>Nvidia</t>
  </si>
  <si>
    <t>Card màn hình MSI RTX™ 5080 16G INSPIRE 3X OC</t>
  </si>
  <si>
    <t>https://tinhocngoisao.com/products/card-man-hinh-vga-msi-geforce-rtx-5080-16g-inspire-3x-oc</t>
  </si>
  <si>
    <t>Card màn hình AMD Radeon RX 9070 XT ASRock Steel Legend | 16GB GDDR6, 4096 SP, 800W</t>
  </si>
  <si>
    <t>https://tinhocngoisao.com/products/card-man-hinh-vga-asrock-amd-radeon-rx-9070-xt-steel-legend-16gb</t>
  </si>
  <si>
    <t>Card màn hình NVIDIA RTX A400 Qleadtek Quadro | 4GB GDDR6, 768 CUDA</t>
  </si>
  <si>
    <t>https://tinhocngoisao.com/products/card-man-hinh-nvidia-rtx-a400-qleadtek-quadro-4gb-gddr6-768-cuda</t>
  </si>
  <si>
    <t>Card màn hình NVIDIA GeForce RTX 5070 MSI VANGUARD SOC | 12GB GDDR7, 6144 CUDA, 650W</t>
  </si>
  <si>
    <t>https://tinhocngoisao.com/products/card-man-hinh-vga-msi-geforce-rtx-5070-12g-vanguard-soc</t>
  </si>
  <si>
    <t>Card màn hình NVIDIA GeForce RTX 5060 Ti MSI VENTUS 2X PLUS OC | 16GB GDDR7, 4608 CUDA, 600W</t>
  </si>
  <si>
    <t>https://tinhocngoisao.com/products/card-man-hinh-msi-geforce-rtx-5060-ti-16g-ventus-2x-oc-plus</t>
  </si>
  <si>
    <t>Card màn hình NVIDIA GeForce RTX 5060 INNO3D TWIN X2 OC | 8GB GDDR7, 3840 CUDA, 550W</t>
  </si>
  <si>
    <t>https://tinhocngoisao.com/products/card-man-hinh-vga-inno3d-geforce-rtx-5060-twin-x2-oc</t>
  </si>
  <si>
    <t>Card màn hình ASUS PRIME RTX™ 5080 16GB GDDR7 OC Edition</t>
  </si>
  <si>
    <t>https://tinhocngoisao.com/products/card-man-hinh-vga-asus-prime-geforce-rtx-5080-16gb-gddr7-oc-edition</t>
  </si>
  <si>
    <t>Card màn hình NVIDIA GeForce RTX 5060 Gigabyte WINDFORCE | 8GB GDDR7, 3840 CUDA, 450W</t>
  </si>
  <si>
    <t>https://tinhocngoisao.com/products/card-man-hinh-gigabyte-geforce-rtx-5060-windforce-8g-gv-n5060wf2-8gd</t>
  </si>
  <si>
    <t>Card màn hình NVIDIA GeForce RTX 5070 Gigabyte WINDFORCE SFF | 12GB GDDR7, 6144 CUDA, 750W</t>
  </si>
  <si>
    <t>https://tinhocngoisao.com/products/card-man-hinh-vga-gigabyte-geforce-rtx-5070-windforce-sff-12g-1</t>
  </si>
  <si>
    <t>Card màn hình MSI GeForce RTX™ 5060 8G GAMING TRIO OC</t>
  </si>
  <si>
    <t>https://tinhocngoisao.com/products/card-man-hinh-msi-geforce-rtx-5060-8g-gaming-trio-oc</t>
  </si>
  <si>
    <t>Card màn hình AMD Radeon RX 9070 XT ASRock Taichi OC | 16GB GDDR6, 4096 SP, 850W</t>
  </si>
  <si>
    <t>https://tinhocngoisao.com/products/card-man-hinh-asrock-amd-radeon-rx-9070-xt-taichi-16gb-oc</t>
  </si>
  <si>
    <t>Card màn hình NVIDIA GeForce RTX 5060 Ti Colorful iGame Ultra W OC | 8GB GDDR7, 4608 CUDA, 600W</t>
  </si>
  <si>
    <t>https://tinhocngoisao.com/products/card-man-hinh-colorful-igame-geforce-rtx-5060-ti-ultra-w-oc-8gb-v</t>
  </si>
  <si>
    <t>Card màn hình NVIDIA GeForce RTX 5060 Ti MSI INSPIRE 2X OC | 8GB GDDR7, 4608 CUDA, 550W</t>
  </si>
  <si>
    <t>https://tinhocngoisao.com/products/card-man-hinh-msi-geforce-rtx-5060-ti-8g-inspire-2x-oc</t>
  </si>
  <si>
    <t>Card màn hình AMD Radeon RX 9070 Gigabyte RX 9070 Gaming OC | 16GB GDDR6, 5384 SP, 750W</t>
  </si>
  <si>
    <t>https://tinhocngoisao.com/products/card-man-hinh-vga-gigabyte-radeon-rx-9070-gaming-oc-16gb-gddr6</t>
  </si>
  <si>
    <t>Card màn hình NVIDIA GeForce RTX 5060 Ti Colorful iGame Ultra W DUO OC | 8GB GDDR7, 4608 CUDA, 600W</t>
  </si>
  <si>
    <t>https://tinhocngoisao.com/products/card-man-hinh-colorful-igame-geforce-rtx-5060-ti-ultra-w-duo-oc-8gb-v</t>
  </si>
  <si>
    <t>Card màn hình NVIDIA GeForce RTX 4070 Colorful Neptune OC | 12GB GDDR6, 5888 CUDA, 750W</t>
  </si>
  <si>
    <t>https://tinhocngoisao.com/products/card-man-hinh-vga-colorful-igame-geforce-rtx-4070-neptune-oc-v</t>
  </si>
  <si>
    <t>Card màn hình NVIDIA GeForce RTX 5070 Ti ZOTAC AMP Extreme INFINITY | 16GB GDDR7, 8960 CUDA, 750W</t>
  </si>
  <si>
    <t>https://tinhocngoisao.com/products/card-man-hinh-vga-zotac-gaming-geforce-rtx-5070-ti-amp-extreme-infinity</t>
  </si>
  <si>
    <t>Card màn hình NVIDIA GeForce RTX 5060 Ti ZOTAC Twin Edge | 8GB GDDR7, 4608 CUDA, 600W</t>
  </si>
  <si>
    <t>https://tinhocngoisao.com/products/card-man-hinh-zotac-gaming-geforce-rtx-5060-ti-8gb-twin-edge-oc</t>
  </si>
  <si>
    <t>Card màn hình NVIDIA GeForce RTX 5080 ASUS TUF Gaming OC | 16GB GDDR7, 10752 CUDA, 850W</t>
  </si>
  <si>
    <t>https://tinhocngoisao.com/products/card-man-hinh-vga-asus-tuf-gaming-geforce-rtx-5080-16gb-gddr7-oc-edition</t>
  </si>
  <si>
    <t>Card màn hình NVIDIA GeForce RTX 5080 ZOTAC AMP Extreme INFINITY | 16GB GDDR7, 10752 CUDA, 850W</t>
  </si>
  <si>
    <t>https://tinhocngoisao.com/products/card-man-hinh-vga-zotac-gaming-geforce-rtx-5080-amp-extreme-infinity-1</t>
  </si>
  <si>
    <t>Card màn hình NVIDIA GeForce RTX 4060 MSI Ventus 2X Black OC | 8GB GDDR6, 3072 CUDA, 550W</t>
  </si>
  <si>
    <t>https://tinhocngoisao.com/products/card-man-hinh-vga-msi-geforce-rtx-4060-ventus-2x-black-8gb-oc</t>
  </si>
  <si>
    <t>Card màn hình NVIDIA GeForce RTX 4060 Colorful DUO | 8GB GDDR6, 3072 CUDA, 550W</t>
  </si>
  <si>
    <t>https://tinhocngoisao.com/products/card-man-hinh-colorful-geforce-rtx-4060-duo-8gb-v3</t>
  </si>
  <si>
    <t>Card màn hình AMD Radeon RX 560 Unika Blizzard White | 4GB GDDR5, 896 SP, 400W</t>
  </si>
  <si>
    <t>https://tinhocngoisao.com/products/card-man-hinh-amd-unika-blizzard-white-rx560-4g-2-fan</t>
  </si>
  <si>
    <t>Card màn hình NVIDIA GeForce GTX 1050 Ti Unika Blizzard | 4GB GDDR5, 768 CUDA, 300W</t>
  </si>
  <si>
    <t>https://tinhocngoisao.com/products/card-man-hinh-unika-blizzard-1050ti-4g</t>
  </si>
  <si>
    <t>Card màn hình NVIDIA GeForce RTX 5070 Ti Gigabyte WINDFORCE OC SFF OC | 16GB GDDR7, 8960 CUDA, 750W</t>
  </si>
  <si>
    <t>https://tinhocngoisao.com/products/card-man-hinh-vga-gigabyte-geforce-rtx-5070-ti-windforce-oc-sff-16g</t>
  </si>
  <si>
    <t>Card màn hình NVIDIA GeForce RTX 5070 Ti ASUS TUF OC White Gaming | 16GB GDDR7, White Edition (TUF-RTX5070TI-O16G-WHITE-GAMING)</t>
  </si>
  <si>
    <t>https://tinhocngoisao.com/products/card-man-hinh-nvidia-geforce-rtx-5070-ti-asus-tuf-oc-white-gaming-16gb-gddr7-white-edition-tuf-rtx5070ti-o16g-white-gaming</t>
  </si>
  <si>
    <t>Card màn hình NVIDIA GeForce GTX 1660 Super Unika Blizzard | 6GB GDDR6, 1408 CUDA, 450W</t>
  </si>
  <si>
    <t>https://tinhocngoisao.com/products/card-man-hinh-unika-blizzard-1660s-6g</t>
  </si>
  <si>
    <t>Card màn hình NVIDIA GeForce RTX 3060 SimorChip (SMCRTX306012GD6) | 12GB GDDR6, 3584 CUDA, PCIe 4.0</t>
  </si>
  <si>
    <t>https://tinhocngoisao.com/products/card-man-hinh-nvidia-geforce-rtx-3060-simorchip-smcrtx306012gd6-12gb-gddr6-3584-cuda-pcie-4-0</t>
  </si>
  <si>
    <t>Card màn hình AMD Radeon RX 550 T-WOLF RX 550 | 4GB GDDR5, 512 SP, 350W</t>
  </si>
  <si>
    <t>https://tinhocngoisao.com/products/card-man-hinh-vga-t-wolf-rx-550-4gb-gddr5</t>
  </si>
  <si>
    <t>01/06/2026 13:33:18</t>
  </si>
  <si>
    <t>Card màn hình Zotac GeForce RTX 5060 Ti 8GB Moon White OC</t>
  </si>
  <si>
    <t>https://gearvn.com/products/card-man-hinh-zotac-geforce-rtx-5060-ti-8gb-moon-white-oc</t>
  </si>
  <si>
    <t>Card màn hình NVIDIA GeForce RTX 5070 Ti INNO3D iCHILL X3 OC | 16GB GDDR7, 8960 CUDA, 800W</t>
  </si>
  <si>
    <t>https://tinhocngoisao.com/products/card-man-hinh-inno3d-geforce-rtx-5070-ti-ichill-x3-16gb-gddr7</t>
  </si>
  <si>
    <t>Card màn hình NVIDIA GeForce GT 1030 UNIKA 4GD4 V3 | 4GB GDDR4, 64-bit, 1 Fan</t>
  </si>
  <si>
    <t>https://tinhocngoisao.com/products/card-man-hinh-nvidia-geforce-gt-1030-unika-4gd4-v3-4gb-gddr4-64-bit-1-fan</t>
  </si>
  <si>
    <t>Card màn hình (NVIDIA) T-Wolf GeForce GTX 1050 Ti V2 (Pnb 686871045) | 4GB GDDR5, 768 CUDA</t>
  </si>
  <si>
    <t>https://tinhocngoisao.com/products/card-man-hinh-nvidia-t-wolf-geforce-gtx-1050-ti-v2-pnb-686871045-4gb-gddr5-768-cuda</t>
  </si>
  <si>
    <t>Card màn hình Gigabyte GeForce RTX 5060 Ti WINDFORCE MAX OC 8G (GV-N506TWF2MAX OC-8GD) | 8GB GDDR7, 4608 CUDA</t>
  </si>
  <si>
    <t>https://tinhocngoisao.com/products/card-man-hinh-gigabyte-geforce-rtx-5060-ti-windforce-max-oc-8g-gv-n506twf2max-oc-8gd-8gb-gddr7-4608-cuda</t>
  </si>
  <si>
    <t>Card màn hình NVIDIA GeForce RTX 5070 MSI VENTUS 2X OC | 12GB GDDR7, 6144 CUDA, 650W</t>
  </si>
  <si>
    <t>https://tinhocngoisao.com/products/card-man-hinh-vga-msi-geforce-rtx-5070-12g-ventus-2x-oc</t>
  </si>
  <si>
    <t>01/06/2026 18:23:14</t>
  </si>
  <si>
    <t>ASUS</t>
  </si>
  <si>
    <t>GeForce RTX 4090</t>
  </si>
  <si>
    <t>GPU brand text</t>
  </si>
  <si>
    <t>GPU brand</t>
  </si>
  <si>
    <t>Chipset text</t>
  </si>
  <si>
    <t>Chipset</t>
  </si>
  <si>
    <t>Video memory text</t>
  </si>
  <si>
    <t>Video memory</t>
  </si>
  <si>
    <t>MSI</t>
  </si>
  <si>
    <t>ZOTAC</t>
  </si>
  <si>
    <t>ZT-B50700J-10P</t>
  </si>
  <si>
    <t>Gigabyte</t>
  </si>
  <si>
    <t>Colorful</t>
  </si>
  <si>
    <t>GeForce RTX 5090</t>
  </si>
  <si>
    <t>16G</t>
  </si>
  <si>
    <t>GeForce RTX 5060</t>
  </si>
  <si>
    <t>12G</t>
  </si>
  <si>
    <t>INNO3D</t>
  </si>
  <si>
    <t>32G</t>
  </si>
  <si>
    <t>Leadtek</t>
  </si>
  <si>
    <t>ZT-B50700FQ-10P</t>
  </si>
  <si>
    <t>EVGA</t>
  </si>
  <si>
    <t>8G</t>
  </si>
  <si>
    <t>Palit</t>
  </si>
  <si>
    <t>GeForce RTX 3050</t>
  </si>
  <si>
    <t>Manli</t>
  </si>
  <si>
    <t>ASRock</t>
  </si>
  <si>
    <t>RX 6500 XT</t>
  </si>
  <si>
    <t>6G</t>
  </si>
  <si>
    <t>ARK</t>
  </si>
  <si>
    <t>GeForce RTX 4060</t>
  </si>
  <si>
    <t>24G</t>
  </si>
  <si>
    <t>Unika</t>
  </si>
  <si>
    <t>RX 7600</t>
  </si>
  <si>
    <t>4G</t>
  </si>
  <si>
    <t>T-WOLF</t>
  </si>
  <si>
    <t>GeForce RTX 4080 SUPER</t>
  </si>
  <si>
    <t>2G</t>
  </si>
  <si>
    <t>2GB</t>
  </si>
  <si>
    <t>Sapphire</t>
  </si>
  <si>
    <t>3GB</t>
  </si>
  <si>
    <t>PNY</t>
  </si>
  <si>
    <t>RX 9070</t>
  </si>
  <si>
    <t>20GB</t>
  </si>
  <si>
    <t>SimorChip</t>
  </si>
  <si>
    <t>16 GB</t>
  </si>
  <si>
    <t>RX 6600</t>
  </si>
  <si>
    <t>GeForce RTX 4070</t>
  </si>
  <si>
    <t>GeForce GTX 1660</t>
  </si>
  <si>
    <t xml:space="preserve"> GTX 1660 Super</t>
  </si>
  <si>
    <t>GeForce RTX 3080 Ti</t>
  </si>
  <si>
    <t>RTX 2060</t>
  </si>
  <si>
    <t>GeForce GT 730</t>
  </si>
  <si>
    <t>GTX 1650</t>
  </si>
  <si>
    <t>GeForce RTX 4080</t>
  </si>
  <si>
    <t>RTX 3060</t>
  </si>
  <si>
    <t>GeForce RTX™ 5060 Ti</t>
  </si>
  <si>
    <t>GT 1030</t>
  </si>
  <si>
    <t>RX 9060 XT</t>
  </si>
  <si>
    <t>RTX 5050</t>
  </si>
  <si>
    <t>RX550</t>
  </si>
  <si>
    <t>RX 550</t>
  </si>
  <si>
    <t>RTX 5070</t>
  </si>
  <si>
    <t>RX560</t>
  </si>
  <si>
    <t>RX 560</t>
  </si>
  <si>
    <t>RX 9060XT</t>
  </si>
  <si>
    <t>RX 580</t>
  </si>
  <si>
    <t>GeForce GT 710</t>
  </si>
  <si>
    <t>RTX 5060 Ti</t>
  </si>
  <si>
    <t>RTX A1000</t>
  </si>
  <si>
    <t>RTX™ 5080</t>
  </si>
  <si>
    <t>RTX 5080</t>
  </si>
  <si>
    <t>RX 6900 XT</t>
  </si>
  <si>
    <t>RX7900XTX</t>
  </si>
  <si>
    <t>RX 7900XTX</t>
  </si>
  <si>
    <t>GeForce GTX 1060</t>
  </si>
  <si>
    <t>RTX 4000</t>
  </si>
  <si>
    <t>GeForce GTX 1050</t>
  </si>
  <si>
    <t>NVIDIA T1000</t>
  </si>
  <si>
    <t>RTX A400</t>
  </si>
  <si>
    <t>GeForce RTX™ 5060</t>
  </si>
  <si>
    <t>Intel Arc B580</t>
  </si>
  <si>
    <t>GeForce RTX 4080 SUPER XTREME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</si>
</sst>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PU_Lookup_Data" displayName="GPU_Lookup_Data" ref="A1:I1623">
  <autoFilter ref="A1:I1623" xr:uid="{00000000-0009-0000-0100-000001000000}">
    <filterColumn colId="5">
      <filters>
        <filter val="01/06/2026 18:23:14"/>
      </filters>
    </filterColumn>
  </autoFilter>
  <tableColumns count="9">
    <tableColumn id="1" xr3:uid="{00000000-0010-0000-0000-000001000000}" name="source"/>
    <tableColumn id="2" xr3:uid="{00000000-0010-0000-0000-000002000000}" name="raw_name"/>
    <tableColumn id="3" xr3:uid="{00000000-0010-0000-0000-000003000000}" name="original_price"/>
    <tableColumn id="4" xr3:uid="{00000000-0010-0000-0000-000004000000}" name="discount_price"/>
    <tableColumn id="5" xr3:uid="{00000000-0010-0000-0000-000005000000}" name="url"/>
    <tableColumn id="6" xr3:uid="{00000000-0010-0000-0000-000006000000}" name="crawled_date"/>
    <tableColumn id="7" xr3:uid="{00000000-0010-0000-0000-000007000000}" name="brand"/>
    <tableColumn id="8" xr3:uid="{00000000-0010-0000-0000-000008000000}" name="chipset"/>
    <tableColumn id="9" xr3:uid="{00000000-0010-0000-0000-000009000000}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PU_brand" displayName="GPU_brand" ref="A1:B19">
  <autoFilter ref="A1:B19" xr:uid="{00000000-0009-0000-0100-000002000000}"/>
  <tableColumns count="2">
    <tableColumn id="1" xr3:uid="{00000000-0010-0000-0100-000001000000}" name="GPU brand text"/>
    <tableColumn id="2" xr3:uid="{00000000-0010-0000-0100-000002000000}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ipset_Table" displayName="Chipset_Table" ref="D1:E59">
  <autoFilter ref="D1:E59" xr:uid="{00000000-0009-0000-0100-000003000000}"/>
  <tableColumns count="2">
    <tableColumn id="4" xr3:uid="{00000000-0010-0000-0200-000004000000}" name="Chipset text"/>
    <tableColumn id="5" xr3:uid="{00000000-0010-0000-0200-000005000000}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RAM_table" displayName="VRAM_table" ref="G1:H21">
  <autoFilter ref="G1:H21" xr:uid="{00000000-0009-0000-0100-000004000000}"/>
  <tableColumns count="2">
    <tableColumn id="7" xr3:uid="{00000000-0010-0000-0300-000007000000}" name="Video memory text"/>
    <tableColumn id="8" xr3:uid="{00000000-0010-0000-0300-000008000000}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tinhocngoisao.com/products/card-man-hinh-vga-ark-rx550-4gb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23"/>
  <sheetViews>
    <sheetView tabSelected="1" topLeftCell="B1" workbookViewId="0">
      <selection activeCell="H1086" sqref="H1086"/>
    </sheetView>
  </sheetViews>
  <sheetFormatPr defaultRowHeight="14.5" x14ac:dyDescent="0.35"/>
  <cols>
    <col min="2" max="2" width="128.26953125" bestFit="1" customWidth="1"/>
    <col min="7" max="7" width="14.453125" customWidth="1"/>
    <col min="8" max="8" width="23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idden="1" x14ac:dyDescent="0.35">
      <c r="A2" t="s">
        <v>9</v>
      </c>
      <c r="B2" t="s">
        <v>10</v>
      </c>
      <c r="C2">
        <v>21990000</v>
      </c>
      <c r="D2">
        <v>21490000</v>
      </c>
      <c r="E2" t="s">
        <v>11</v>
      </c>
      <c r="F2" t="s">
        <v>12</v>
      </c>
      <c r="G2" t="str">
        <f>_xlfn.TEXTJOIN(",",TRUE,_xlfn._xlws.FILTER(GPU_brand[GPU brand], (GPU_brand[GPU brand text]&lt;&gt;"") * ISNUMBER(SEARCH(GPU_brand[GPU brand text], B2)), ""))</f>
        <v>ZOTAC</v>
      </c>
      <c r="H2" t="s">
        <v>13</v>
      </c>
      <c r="I2" t="str">
        <f>_xlfn.TEXTJOIN(",",TRUE,_xlfn._xlws.FILTER(VRAM_table[Video memory], (VRAM_table[Video memory text]&lt;&gt;"") * ISNUMBER(SEARCH(VRAM_table[Video memory text], B2)), ""))</f>
        <v>12GB</v>
      </c>
    </row>
    <row r="3" spans="1:9" hidden="1" x14ac:dyDescent="0.35">
      <c r="A3" t="s">
        <v>9</v>
      </c>
      <c r="B3" t="s">
        <v>14</v>
      </c>
      <c r="C3">
        <v>32990000</v>
      </c>
      <c r="D3">
        <v>31990000</v>
      </c>
      <c r="E3" t="s">
        <v>15</v>
      </c>
      <c r="F3" t="s">
        <v>12</v>
      </c>
      <c r="G3" t="str">
        <f>_xlfn.TEXTJOIN(",",TRUE,_xlfn._xlws.FILTER(GPU_brand[GPU brand], (GPU_brand[GPU brand text]&lt;&gt;"") * ISNUMBER(SEARCH(GPU_brand[GPU brand text], B3)), ""))</f>
        <v>MSI</v>
      </c>
      <c r="H3" t="s">
        <v>16</v>
      </c>
      <c r="I3" t="s">
        <v>17</v>
      </c>
    </row>
    <row r="4" spans="1:9" hidden="1" x14ac:dyDescent="0.35">
      <c r="A4" t="s">
        <v>9</v>
      </c>
      <c r="B4" t="s">
        <v>18</v>
      </c>
      <c r="C4">
        <v>209990000</v>
      </c>
      <c r="D4">
        <v>199990000</v>
      </c>
      <c r="E4" t="s">
        <v>19</v>
      </c>
      <c r="F4" t="s">
        <v>12</v>
      </c>
      <c r="G4" t="str">
        <f>_xlfn.TEXTJOIN(",",TRUE,_xlfn._xlws.FILTER(GPU_brand[GPU brand], (GPU_brand[GPU brand text]&lt;&gt;"") * ISNUMBER(SEARCH(GPU_brand[GPU brand text], B4)), ""))</f>
        <v>MSI</v>
      </c>
      <c r="H4" t="str">
        <f>_xlfn.TEXTJOIN(",",TRUE,_xlfn._xlws.FILTER(Chipset_Table[Chipset], (Chipset_Table[Chipset text]&lt;&gt;"") * ISNUMBER(SEARCH(Chipset_Table[Chipset text], B4)), ""))</f>
        <v>GeForce RTX 5090</v>
      </c>
      <c r="I4" t="s">
        <v>20</v>
      </c>
    </row>
    <row r="5" spans="1:9" hidden="1" x14ac:dyDescent="0.35">
      <c r="A5" t="s">
        <v>9</v>
      </c>
      <c r="B5" t="s">
        <v>21</v>
      </c>
      <c r="C5">
        <v>11990000</v>
      </c>
      <c r="D5">
        <v>11490000</v>
      </c>
      <c r="E5" t="s">
        <v>22</v>
      </c>
      <c r="F5" t="s">
        <v>12</v>
      </c>
      <c r="G5" t="str">
        <f>_xlfn.TEXTJOIN(",",TRUE,_xlfn._xlws.FILTER(GPU_brand[GPU brand], (GPU_brand[GPU brand text]&lt;&gt;"") * ISNUMBER(SEARCH(GPU_brand[GPU brand text], B5)), ""))</f>
        <v>Gigabyte</v>
      </c>
      <c r="H5" t="str">
        <f>_xlfn.TEXTJOIN(",",TRUE,_xlfn._xlws.FILTER(Chipset_Table[Chipset], (Chipset_Table[Chipset text]&lt;&gt;"") * ISNUMBER(SEARCH(Chipset_Table[Chipset text], B5)), ""))</f>
        <v>GeForce RTX 5060</v>
      </c>
      <c r="I5" t="s">
        <v>23</v>
      </c>
    </row>
    <row r="6" spans="1:9" hidden="1" x14ac:dyDescent="0.35">
      <c r="A6" t="s">
        <v>9</v>
      </c>
      <c r="B6" t="s">
        <v>24</v>
      </c>
      <c r="C6">
        <v>9490000</v>
      </c>
      <c r="D6">
        <v>8990000</v>
      </c>
      <c r="E6" t="s">
        <v>25</v>
      </c>
      <c r="F6" t="s">
        <v>12</v>
      </c>
      <c r="G6" t="str">
        <f>_xlfn.TEXTJOIN(",",TRUE,_xlfn._xlws.FILTER(GPU_brand[GPU brand], (GPU_brand[GPU brand text]&lt;&gt;"") * ISNUMBER(SEARCH(GPU_brand[GPU brand text], B6)), ""))</f>
        <v>ZOTAC</v>
      </c>
      <c r="H6" t="s">
        <v>26</v>
      </c>
      <c r="I6" t="s">
        <v>23</v>
      </c>
    </row>
    <row r="7" spans="1:9" hidden="1" x14ac:dyDescent="0.35">
      <c r="A7" t="s">
        <v>9</v>
      </c>
      <c r="B7" t="s">
        <v>27</v>
      </c>
      <c r="C7">
        <v>33990000</v>
      </c>
      <c r="D7">
        <v>32990000</v>
      </c>
      <c r="E7" t="s">
        <v>28</v>
      </c>
      <c r="F7" t="s">
        <v>12</v>
      </c>
      <c r="G7" t="str">
        <f>_xlfn.TEXTJOIN(",",TRUE,_xlfn._xlws.FILTER(GPU_brand[GPU brand], (GPU_brand[GPU brand text]&lt;&gt;"") * ISNUMBER(SEARCH(GPU_brand[GPU brand text], B7)), ""))</f>
        <v>MSI</v>
      </c>
      <c r="H7" t="s">
        <v>16</v>
      </c>
      <c r="I7" t="s">
        <v>17</v>
      </c>
    </row>
    <row r="8" spans="1:9" hidden="1" x14ac:dyDescent="0.35">
      <c r="A8" t="s">
        <v>9</v>
      </c>
      <c r="B8" t="s">
        <v>29</v>
      </c>
      <c r="C8">
        <v>16990000</v>
      </c>
      <c r="D8">
        <v>15990000</v>
      </c>
      <c r="E8" t="s">
        <v>30</v>
      </c>
      <c r="F8" t="s">
        <v>12</v>
      </c>
      <c r="G8" t="str">
        <f>_xlfn.TEXTJOIN(",",TRUE,_xlfn._xlws.FILTER(GPU_brand[GPU brand], (GPU_brand[GPU brand text]&lt;&gt;"") * ISNUMBER(SEARCH(GPU_brand[GPU brand text], B8)), ""))</f>
        <v>ZOTAC</v>
      </c>
      <c r="H8" t="s">
        <v>31</v>
      </c>
      <c r="I8" t="s">
        <v>17</v>
      </c>
    </row>
    <row r="9" spans="1:9" hidden="1" x14ac:dyDescent="0.35">
      <c r="A9" t="s">
        <v>9</v>
      </c>
      <c r="B9" t="s">
        <v>32</v>
      </c>
      <c r="C9">
        <v>11990000</v>
      </c>
      <c r="D9">
        <v>11490000</v>
      </c>
      <c r="E9" t="s">
        <v>33</v>
      </c>
      <c r="F9" t="s">
        <v>12</v>
      </c>
      <c r="G9" t="str">
        <f>_xlfn.TEXTJOIN(",",TRUE,_xlfn._xlws.FILTER(GPU_brand[GPU brand], (GPU_brand[GPU brand text]&lt;&gt;"") * ISNUMBER(SEARCH(GPU_brand[GPU brand text], B9)), ""))</f>
        <v>MSI</v>
      </c>
      <c r="H9" t="str">
        <f>_xlfn.TEXTJOIN(",",TRUE,_xlfn._xlws.FILTER(Chipset_Table[Chipset], (Chipset_Table[Chipset text]&lt;&gt;"") * ISNUMBER(SEARCH(Chipset_Table[Chipset text], B9)), ""))</f>
        <v>GeForce RTX 5060</v>
      </c>
      <c r="I9" t="s">
        <v>23</v>
      </c>
    </row>
    <row r="10" spans="1:9" hidden="1" x14ac:dyDescent="0.35">
      <c r="A10" t="s">
        <v>9</v>
      </c>
      <c r="B10" t="s">
        <v>34</v>
      </c>
      <c r="C10">
        <v>11690000</v>
      </c>
      <c r="D10">
        <v>9990000</v>
      </c>
      <c r="E10" t="s">
        <v>35</v>
      </c>
      <c r="F10" t="s">
        <v>12</v>
      </c>
      <c r="G10" t="str">
        <f>_xlfn.TEXTJOIN(",",TRUE,_xlfn._xlws.FILTER(GPU_brand[GPU brand], (GPU_brand[GPU brand text]&lt;&gt;"") * ISNUMBER(SEARCH(GPU_brand[GPU brand text], B10)), ""))</f>
        <v>Gigabyte</v>
      </c>
      <c r="H10" t="str">
        <f>_xlfn.TEXTJOIN(",",TRUE,_xlfn._xlws.FILTER(Chipset_Table[Chipset], (Chipset_Table[Chipset text]&lt;&gt;"") * ISNUMBER(SEARCH(Chipset_Table[Chipset text], B10)), ""))</f>
        <v>GeForce RTX 5060</v>
      </c>
      <c r="I10" t="s">
        <v>23</v>
      </c>
    </row>
    <row r="11" spans="1:9" hidden="1" x14ac:dyDescent="0.35">
      <c r="A11" t="s">
        <v>9</v>
      </c>
      <c r="B11" t="s">
        <v>36</v>
      </c>
      <c r="C11">
        <v>21490000</v>
      </c>
      <c r="D11">
        <v>19990000</v>
      </c>
      <c r="E11" t="s">
        <v>37</v>
      </c>
      <c r="F11" t="s">
        <v>12</v>
      </c>
      <c r="G11" t="str">
        <f>_xlfn.TEXTJOIN(",",TRUE,_xlfn._xlws.FILTER(GPU_brand[GPU brand], (GPU_brand[GPU brand text]&lt;&gt;"") * ISNUMBER(SEARCH(GPU_brand[GPU brand text], B11)), ""))</f>
        <v>ASUS</v>
      </c>
      <c r="H11" t="s">
        <v>31</v>
      </c>
      <c r="I11" t="s">
        <v>17</v>
      </c>
    </row>
    <row r="12" spans="1:9" hidden="1" x14ac:dyDescent="0.35">
      <c r="A12" t="s">
        <v>9</v>
      </c>
      <c r="B12" t="s">
        <v>38</v>
      </c>
      <c r="C12">
        <v>53990000</v>
      </c>
      <c r="D12">
        <v>49990000</v>
      </c>
      <c r="E12" t="s">
        <v>39</v>
      </c>
      <c r="F12" t="s">
        <v>12</v>
      </c>
      <c r="G12" t="str">
        <f>_xlfn.TEXTJOIN(",",TRUE,_xlfn._xlws.FILTER(GPU_brand[GPU brand], (GPU_brand[GPU brand text]&lt;&gt;"") * ISNUMBER(SEARCH(GPU_brand[GPU brand text], B12)), ""))</f>
        <v>MSI</v>
      </c>
      <c r="H12" t="s">
        <v>40</v>
      </c>
      <c r="I12" t="s">
        <v>17</v>
      </c>
    </row>
    <row r="13" spans="1:9" hidden="1" x14ac:dyDescent="0.35">
      <c r="A13" t="s">
        <v>9</v>
      </c>
      <c r="B13" t="s">
        <v>41</v>
      </c>
      <c r="C13">
        <v>39990000</v>
      </c>
      <c r="D13">
        <v>38990000</v>
      </c>
      <c r="E13" t="s">
        <v>42</v>
      </c>
      <c r="F13" t="s">
        <v>12</v>
      </c>
      <c r="G13" t="str">
        <f>_xlfn.TEXTJOIN(",",TRUE,_xlfn._xlws.FILTER(GPU_brand[GPU brand], (GPU_brand[GPU brand text]&lt;&gt;"") * ISNUMBER(SEARCH(GPU_brand[GPU brand text], B13)), ""))</f>
        <v>MSI</v>
      </c>
      <c r="H13" t="s">
        <v>40</v>
      </c>
      <c r="I13" t="s">
        <v>17</v>
      </c>
    </row>
    <row r="14" spans="1:9" hidden="1" x14ac:dyDescent="0.35">
      <c r="A14" t="s">
        <v>9</v>
      </c>
      <c r="B14" t="s">
        <v>43</v>
      </c>
      <c r="C14">
        <v>25490000</v>
      </c>
      <c r="D14">
        <v>22990000</v>
      </c>
      <c r="E14" t="s">
        <v>44</v>
      </c>
      <c r="F14" t="s">
        <v>12</v>
      </c>
      <c r="G14" t="str">
        <f>_xlfn.TEXTJOIN(",",TRUE,_xlfn._xlws.FILTER(GPU_brand[GPU brand], (GPU_brand[GPU brand text]&lt;&gt;"") * ISNUMBER(SEARCH(GPU_brand[GPU brand text], B14)), ""))</f>
        <v>Gigabyte</v>
      </c>
      <c r="H14" t="s">
        <v>13</v>
      </c>
      <c r="I14" t="s">
        <v>45</v>
      </c>
    </row>
    <row r="15" spans="1:9" hidden="1" x14ac:dyDescent="0.35">
      <c r="A15" t="s">
        <v>9</v>
      </c>
      <c r="B15" t="s">
        <v>46</v>
      </c>
      <c r="C15">
        <v>32990000</v>
      </c>
      <c r="D15">
        <v>31490000</v>
      </c>
      <c r="E15" t="s">
        <v>47</v>
      </c>
      <c r="F15" t="s">
        <v>12</v>
      </c>
      <c r="G15" t="str">
        <f>_xlfn.TEXTJOIN(",",TRUE,_xlfn._xlws.FILTER(GPU_brand[GPU brand], (GPU_brand[GPU brand text]&lt;&gt;"") * ISNUMBER(SEARCH(GPU_brand[GPU brand text], B15)), ""))</f>
        <v>Gigabyte</v>
      </c>
      <c r="H15" t="s">
        <v>16</v>
      </c>
      <c r="I15" t="s">
        <v>17</v>
      </c>
    </row>
    <row r="16" spans="1:9" hidden="1" x14ac:dyDescent="0.35">
      <c r="A16" t="s">
        <v>9</v>
      </c>
      <c r="B16" t="s">
        <v>48</v>
      </c>
      <c r="C16">
        <v>54990000</v>
      </c>
      <c r="D16">
        <v>49990000</v>
      </c>
      <c r="E16" t="s">
        <v>49</v>
      </c>
      <c r="F16" t="s">
        <v>12</v>
      </c>
      <c r="G16" t="str">
        <f>_xlfn.TEXTJOIN(",",TRUE,_xlfn._xlws.FILTER(GPU_brand[GPU brand], (GPU_brand[GPU brand text]&lt;&gt;"") * ISNUMBER(SEARCH(GPU_brand[GPU brand text], B16)), ""))</f>
        <v>MSI</v>
      </c>
      <c r="H16" t="s">
        <v>40</v>
      </c>
      <c r="I16" t="s">
        <v>17</v>
      </c>
    </row>
    <row r="17" spans="1:9" hidden="1" x14ac:dyDescent="0.35">
      <c r="A17" t="s">
        <v>9</v>
      </c>
      <c r="B17" t="s">
        <v>50</v>
      </c>
      <c r="C17">
        <v>0</v>
      </c>
      <c r="D17">
        <v>44690000</v>
      </c>
      <c r="E17" t="s">
        <v>51</v>
      </c>
      <c r="F17" t="s">
        <v>12</v>
      </c>
      <c r="G17" t="str">
        <f>_xlfn.TEXTJOIN(",",TRUE,_xlfn._xlws.FILTER(GPU_brand[GPU brand], (GPU_brand[GPU brand text]&lt;&gt;"") * ISNUMBER(SEARCH(GPU_brand[GPU brand text], B17)), ""))</f>
        <v>MSI</v>
      </c>
      <c r="H17" t="s">
        <v>40</v>
      </c>
      <c r="I17" t="s">
        <v>17</v>
      </c>
    </row>
    <row r="18" spans="1:9" hidden="1" x14ac:dyDescent="0.35">
      <c r="A18" t="s">
        <v>9</v>
      </c>
      <c r="B18" t="s">
        <v>52</v>
      </c>
      <c r="C18">
        <v>49990000</v>
      </c>
      <c r="D18">
        <v>46990000</v>
      </c>
      <c r="E18" t="s">
        <v>53</v>
      </c>
      <c r="F18" t="s">
        <v>12</v>
      </c>
      <c r="G18" t="str">
        <f>_xlfn.TEXTJOIN(",",TRUE,_xlfn._xlws.FILTER(GPU_brand[GPU brand], (GPU_brand[GPU brand text]&lt;&gt;"") * ISNUMBER(SEARCH(GPU_brand[GPU brand text], B18)), ""))</f>
        <v>ASUS</v>
      </c>
      <c r="H18" t="s">
        <v>40</v>
      </c>
      <c r="I18" t="s">
        <v>17</v>
      </c>
    </row>
    <row r="19" spans="1:9" hidden="1" x14ac:dyDescent="0.35">
      <c r="A19" t="s">
        <v>9</v>
      </c>
      <c r="B19" t="s">
        <v>54</v>
      </c>
      <c r="C19">
        <v>59990000</v>
      </c>
      <c r="D19">
        <v>57990000</v>
      </c>
      <c r="E19" t="s">
        <v>55</v>
      </c>
      <c r="F19" t="s">
        <v>12</v>
      </c>
      <c r="G19" t="str">
        <f>_xlfn.TEXTJOIN(",",TRUE,_xlfn._xlws.FILTER(GPU_brand[GPU brand], (GPU_brand[GPU brand text]&lt;&gt;"") * ISNUMBER(SEARCH(GPU_brand[GPU brand text], B19)), ""))</f>
        <v>ASUS</v>
      </c>
      <c r="H19" t="s">
        <v>40</v>
      </c>
      <c r="I19" t="s">
        <v>17</v>
      </c>
    </row>
    <row r="20" spans="1:9" hidden="1" x14ac:dyDescent="0.35">
      <c r="A20" t="s">
        <v>9</v>
      </c>
      <c r="B20" t="s">
        <v>56</v>
      </c>
      <c r="C20">
        <v>129990000</v>
      </c>
      <c r="D20">
        <v>124990000</v>
      </c>
      <c r="E20" t="s">
        <v>57</v>
      </c>
      <c r="F20" t="s">
        <v>12</v>
      </c>
      <c r="G20" t="str">
        <f>_xlfn.TEXTJOIN(",",TRUE,_xlfn._xlws.FILTER(GPU_brand[GPU brand], (GPU_brand[GPU brand text]&lt;&gt;"") * ISNUMBER(SEARCH(GPU_brand[GPU brand text], B20)), ""))</f>
        <v>ASUS</v>
      </c>
      <c r="H20" t="str">
        <f>_xlfn.TEXTJOIN(",",TRUE,_xlfn._xlws.FILTER(Chipset_Table[Chipset], (Chipset_Table[Chipset text]&lt;&gt;"") * ISNUMBER(SEARCH(Chipset_Table[Chipset text], B20)), ""))</f>
        <v>GeForce RTX 5090</v>
      </c>
      <c r="I20" t="s">
        <v>20</v>
      </c>
    </row>
    <row r="21" spans="1:9" hidden="1" x14ac:dyDescent="0.35">
      <c r="A21" t="s">
        <v>9</v>
      </c>
      <c r="B21" t="s">
        <v>58</v>
      </c>
      <c r="C21">
        <v>135000000</v>
      </c>
      <c r="D21">
        <v>134990000</v>
      </c>
      <c r="E21" t="s">
        <v>59</v>
      </c>
      <c r="F21" t="s">
        <v>12</v>
      </c>
      <c r="G21" t="str">
        <f>_xlfn.TEXTJOIN(",",TRUE,_xlfn._xlws.FILTER(GPU_brand[GPU brand], (GPU_brand[GPU brand text]&lt;&gt;"") * ISNUMBER(SEARCH(GPU_brand[GPU brand text], B21)), ""))</f>
        <v>ASUS</v>
      </c>
      <c r="H21" t="str">
        <f>_xlfn.TEXTJOIN(",",TRUE,_xlfn._xlws.FILTER(Chipset_Table[Chipset], (Chipset_Table[Chipset text]&lt;&gt;"") * ISNUMBER(SEARCH(Chipset_Table[Chipset text], B21)), ""))</f>
        <v>GeForce RTX 5090</v>
      </c>
      <c r="I21" t="s">
        <v>20</v>
      </c>
    </row>
    <row r="22" spans="1:9" hidden="1" x14ac:dyDescent="0.35">
      <c r="A22" t="s">
        <v>9</v>
      </c>
      <c r="B22" t="s">
        <v>60</v>
      </c>
      <c r="C22">
        <v>13490000</v>
      </c>
      <c r="D22">
        <v>12990000</v>
      </c>
      <c r="E22" t="s">
        <v>61</v>
      </c>
      <c r="F22" t="s">
        <v>12</v>
      </c>
      <c r="G22" t="str">
        <f>_xlfn.TEXTJOIN(",",TRUE,_xlfn._xlws.FILTER(GPU_brand[GPU brand], (GPU_brand[GPU brand text]&lt;&gt;"") * ISNUMBER(SEARCH(GPU_brand[GPU brand text], B22)), ""))</f>
        <v>MSI</v>
      </c>
      <c r="H22" t="s">
        <v>31</v>
      </c>
      <c r="I22" t="s">
        <v>23</v>
      </c>
    </row>
    <row r="23" spans="1:9" hidden="1" x14ac:dyDescent="0.35">
      <c r="A23" t="s">
        <v>9</v>
      </c>
      <c r="B23" t="s">
        <v>62</v>
      </c>
      <c r="C23">
        <v>13490000</v>
      </c>
      <c r="D23">
        <v>12490000</v>
      </c>
      <c r="E23" t="s">
        <v>63</v>
      </c>
      <c r="F23" t="s">
        <v>12</v>
      </c>
      <c r="G23" t="str">
        <f>_xlfn.TEXTJOIN(",",TRUE,_xlfn._xlws.FILTER(GPU_brand[GPU brand], (GPU_brand[GPU brand text]&lt;&gt;"") * ISNUMBER(SEARCH(GPU_brand[GPU brand text], B23)), ""))</f>
        <v>ZOTAC</v>
      </c>
      <c r="H23" t="s">
        <v>31</v>
      </c>
      <c r="I23" t="s">
        <v>23</v>
      </c>
    </row>
    <row r="24" spans="1:9" hidden="1" x14ac:dyDescent="0.35">
      <c r="A24" t="s">
        <v>9</v>
      </c>
      <c r="B24" t="s">
        <v>64</v>
      </c>
      <c r="C24">
        <v>15990000</v>
      </c>
      <c r="D24">
        <v>14990000</v>
      </c>
      <c r="E24" t="s">
        <v>65</v>
      </c>
      <c r="F24" t="s">
        <v>12</v>
      </c>
      <c r="G24" t="str">
        <f>_xlfn.TEXTJOIN(",",TRUE,_xlfn._xlws.FILTER(GPU_brand[GPU brand], (GPU_brand[GPU brand text]&lt;&gt;"") * ISNUMBER(SEARCH(GPU_brand[GPU brand text], B24)), ""))</f>
        <v>ZOTAC</v>
      </c>
      <c r="H24" t="s">
        <v>31</v>
      </c>
      <c r="I24" t="s">
        <v>17</v>
      </c>
    </row>
    <row r="25" spans="1:9" hidden="1" x14ac:dyDescent="0.35">
      <c r="A25" t="s">
        <v>9</v>
      </c>
      <c r="B25" t="s">
        <v>66</v>
      </c>
      <c r="C25">
        <v>19990000</v>
      </c>
      <c r="D25">
        <v>18990000</v>
      </c>
      <c r="E25" t="s">
        <v>67</v>
      </c>
      <c r="F25" t="s">
        <v>12</v>
      </c>
      <c r="G25" t="str">
        <f>_xlfn.TEXTJOIN(",",TRUE,_xlfn._xlws.FILTER(GPU_brand[GPU brand], (GPU_brand[GPU brand text]&lt;&gt;"") * ISNUMBER(SEARCH(GPU_brand[GPU brand text], B25)), ""))</f>
        <v>ZOTAC</v>
      </c>
      <c r="H25" t="s">
        <v>13</v>
      </c>
      <c r="I25" t="str">
        <f>_xlfn.TEXTJOIN(",",TRUE,_xlfn._xlws.FILTER(VRAM_table[Video memory], (VRAM_table[Video memory text]&lt;&gt;"") * ISNUMBER(SEARCH(VRAM_table[Video memory text], B25)), ""))</f>
        <v>12GB</v>
      </c>
    </row>
    <row r="26" spans="1:9" hidden="1" x14ac:dyDescent="0.35">
      <c r="A26" t="s">
        <v>9</v>
      </c>
      <c r="B26" t="s">
        <v>68</v>
      </c>
      <c r="C26">
        <v>28490000</v>
      </c>
      <c r="D26">
        <v>27990000</v>
      </c>
      <c r="E26" t="s">
        <v>69</v>
      </c>
      <c r="F26" t="s">
        <v>12</v>
      </c>
      <c r="G26" t="str">
        <f>_xlfn.TEXTJOIN(",",TRUE,_xlfn._xlws.FILTER(GPU_brand[GPU brand], (GPU_brand[GPU brand text]&lt;&gt;"") * ISNUMBER(SEARCH(GPU_brand[GPU brand text], B26)), ""))</f>
        <v>MSI</v>
      </c>
      <c r="H26" t="s">
        <v>16</v>
      </c>
      <c r="I26" t="s">
        <v>17</v>
      </c>
    </row>
    <row r="27" spans="1:9" hidden="1" x14ac:dyDescent="0.35">
      <c r="A27" t="s">
        <v>9</v>
      </c>
      <c r="B27" t="s">
        <v>70</v>
      </c>
      <c r="C27">
        <v>0</v>
      </c>
      <c r="D27">
        <v>188000000</v>
      </c>
      <c r="E27" t="s">
        <v>71</v>
      </c>
      <c r="F27" t="s">
        <v>12</v>
      </c>
      <c r="G27" t="str">
        <f>_xlfn.TEXTJOIN(",",TRUE,_xlfn._xlws.FILTER(GPU_brand[GPU brand], (GPU_brand[GPU brand text]&lt;&gt;"") * ISNUMBER(SEARCH(GPU_brand[GPU brand text], B27)), ""))</f>
        <v>ASUS</v>
      </c>
      <c r="H27" t="str">
        <f>_xlfn.TEXTJOIN(",",TRUE,_xlfn._xlws.FILTER(Chipset_Table[Chipset], (Chipset_Table[Chipset text]&lt;&gt;"") * ISNUMBER(SEARCH(Chipset_Table[Chipset text], B27)), ""))</f>
        <v>GeForce RTX 5090</v>
      </c>
      <c r="I27" t="s">
        <v>20</v>
      </c>
    </row>
    <row r="28" spans="1:9" hidden="1" x14ac:dyDescent="0.35">
      <c r="A28" t="s">
        <v>9</v>
      </c>
      <c r="B28" t="s">
        <v>72</v>
      </c>
      <c r="C28">
        <v>20990000</v>
      </c>
      <c r="D28">
        <v>20490000</v>
      </c>
      <c r="E28" t="s">
        <v>73</v>
      </c>
      <c r="F28" t="s">
        <v>12</v>
      </c>
      <c r="G28" t="str">
        <f>_xlfn.TEXTJOIN(",",TRUE,_xlfn._xlws.FILTER(GPU_brand[GPU brand], (GPU_brand[GPU brand text]&lt;&gt;"") * ISNUMBER(SEARCH(GPU_brand[GPU brand text], B28)), ""))</f>
        <v>ASUS</v>
      </c>
      <c r="H28" t="s">
        <v>13</v>
      </c>
      <c r="I28" t="s">
        <v>45</v>
      </c>
    </row>
    <row r="29" spans="1:9" hidden="1" x14ac:dyDescent="0.35">
      <c r="A29" t="s">
        <v>9</v>
      </c>
      <c r="B29" t="s">
        <v>74</v>
      </c>
      <c r="C29">
        <v>14990000</v>
      </c>
      <c r="D29">
        <v>14490000</v>
      </c>
      <c r="E29" t="s">
        <v>75</v>
      </c>
      <c r="F29" t="s">
        <v>12</v>
      </c>
      <c r="G29" t="str">
        <f>_xlfn.TEXTJOIN(",",TRUE,_xlfn._xlws.FILTER(GPU_brand[GPU brand], (GPU_brand[GPU brand text]&lt;&gt;"") * ISNUMBER(SEARCH(GPU_brand[GPU brand text], B29)), ""))</f>
        <v>MSI</v>
      </c>
      <c r="H29" t="s">
        <v>31</v>
      </c>
      <c r="I29" t="s">
        <v>17</v>
      </c>
    </row>
    <row r="30" spans="1:9" hidden="1" x14ac:dyDescent="0.35">
      <c r="A30" t="s">
        <v>9</v>
      </c>
      <c r="B30" t="s">
        <v>76</v>
      </c>
      <c r="C30">
        <v>104990000</v>
      </c>
      <c r="D30">
        <v>103990000</v>
      </c>
      <c r="E30" t="s">
        <v>77</v>
      </c>
      <c r="F30" t="s">
        <v>12</v>
      </c>
      <c r="G30" t="str">
        <f>_xlfn.TEXTJOIN(",",TRUE,_xlfn._xlws.FILTER(GPU_brand[GPU brand], (GPU_brand[GPU brand text]&lt;&gt;"") * ISNUMBER(SEARCH(GPU_brand[GPU brand text], B30)), ""))</f>
        <v>ASUS</v>
      </c>
      <c r="H30" t="str">
        <f>_xlfn.TEXTJOIN(",",TRUE,_xlfn._xlws.FILTER(Chipset_Table[Chipset], (Chipset_Table[Chipset text]&lt;&gt;"") * ISNUMBER(SEARCH(Chipset_Table[Chipset text], B30)), ""))</f>
        <v>GeForce RTX 5090</v>
      </c>
      <c r="I30" t="s">
        <v>20</v>
      </c>
    </row>
    <row r="31" spans="1:9" hidden="1" x14ac:dyDescent="0.35">
      <c r="A31" t="s">
        <v>9</v>
      </c>
      <c r="B31" t="s">
        <v>78</v>
      </c>
      <c r="C31">
        <v>0</v>
      </c>
      <c r="D31">
        <v>32990000</v>
      </c>
      <c r="E31" t="s">
        <v>79</v>
      </c>
      <c r="F31" t="s">
        <v>12</v>
      </c>
      <c r="G31" t="str">
        <f>_xlfn.TEXTJOIN(",",TRUE,_xlfn._xlws.FILTER(GPU_brand[GPU brand], (GPU_brand[GPU brand text]&lt;&gt;"") * ISNUMBER(SEARCH(GPU_brand[GPU brand text], B31)), ""))</f>
        <v>MSI</v>
      </c>
      <c r="H31" t="s">
        <v>16</v>
      </c>
      <c r="I31" t="s">
        <v>17</v>
      </c>
    </row>
    <row r="32" spans="1:9" hidden="1" x14ac:dyDescent="0.35">
      <c r="A32" t="s">
        <v>9</v>
      </c>
      <c r="B32" t="s">
        <v>80</v>
      </c>
      <c r="C32">
        <v>0</v>
      </c>
      <c r="D32">
        <v>54120000</v>
      </c>
      <c r="E32" t="s">
        <v>81</v>
      </c>
      <c r="F32" t="s">
        <v>12</v>
      </c>
      <c r="G32" t="str">
        <f>_xlfn.TEXTJOIN(",",TRUE,_xlfn._xlws.FILTER(GPU_brand[GPU brand], (GPU_brand[GPU brand text]&lt;&gt;"") * ISNUMBER(SEARCH(GPU_brand[GPU brand text], B32)), ""))</f>
        <v>ASUS</v>
      </c>
      <c r="H32" t="s">
        <v>40</v>
      </c>
      <c r="I32" t="s">
        <v>17</v>
      </c>
    </row>
    <row r="33" spans="1:9" hidden="1" x14ac:dyDescent="0.35">
      <c r="A33" t="s">
        <v>9</v>
      </c>
      <c r="B33" t="s">
        <v>82</v>
      </c>
      <c r="C33">
        <v>54990000</v>
      </c>
      <c r="D33">
        <v>53990000</v>
      </c>
      <c r="E33" t="s">
        <v>83</v>
      </c>
      <c r="F33" t="s">
        <v>12</v>
      </c>
      <c r="G33" t="str">
        <f>_xlfn.TEXTJOIN(",",TRUE,_xlfn._xlws.FILTER(GPU_brand[GPU brand], (GPU_brand[GPU brand text]&lt;&gt;"") * ISNUMBER(SEARCH(GPU_brand[GPU brand text], B33)), ""))</f>
        <v>ASUS</v>
      </c>
      <c r="H33" t="s">
        <v>40</v>
      </c>
      <c r="I33" t="s">
        <v>17</v>
      </c>
    </row>
    <row r="34" spans="1:9" hidden="1" x14ac:dyDescent="0.35">
      <c r="A34" t="s">
        <v>9</v>
      </c>
      <c r="B34" t="s">
        <v>84</v>
      </c>
      <c r="C34">
        <v>114990000</v>
      </c>
      <c r="D34">
        <v>102990000</v>
      </c>
      <c r="E34" t="s">
        <v>85</v>
      </c>
      <c r="F34" t="s">
        <v>12</v>
      </c>
      <c r="G34" t="str">
        <f>_xlfn.TEXTJOIN(",",TRUE,_xlfn._xlws.FILTER(GPU_brand[GPU brand], (GPU_brand[GPU brand text]&lt;&gt;"") * ISNUMBER(SEARCH(GPU_brand[GPU brand text], B34)), ""))</f>
        <v>ASUS</v>
      </c>
      <c r="H34" t="str">
        <f>_xlfn.TEXTJOIN(",",TRUE,_xlfn._xlws.FILTER(Chipset_Table[Chipset], (Chipset_Table[Chipset text]&lt;&gt;"") * ISNUMBER(SEARCH(Chipset_Table[Chipset text], B34)), ""))</f>
        <v>GeForce RTX 5090</v>
      </c>
      <c r="I34" t="s">
        <v>20</v>
      </c>
    </row>
    <row r="35" spans="1:9" hidden="1" x14ac:dyDescent="0.35">
      <c r="A35" t="s">
        <v>9</v>
      </c>
      <c r="B35" t="s">
        <v>86</v>
      </c>
      <c r="C35">
        <v>10990000</v>
      </c>
      <c r="D35">
        <v>9790000</v>
      </c>
      <c r="E35" t="s">
        <v>87</v>
      </c>
      <c r="F35" t="s">
        <v>12</v>
      </c>
      <c r="G35" t="str">
        <f>_xlfn.TEXTJOIN(",",TRUE,_xlfn._xlws.FILTER(GPU_brand[GPU brand], (GPU_brand[GPU brand text]&lt;&gt;"") * ISNUMBER(SEARCH(GPU_brand[GPU brand text], B35)), ""))</f>
        <v>ASUS</v>
      </c>
      <c r="H35" t="str">
        <f>_xlfn.TEXTJOIN(",",TRUE,_xlfn._xlws.FILTER(Chipset_Table[Chipset], (Chipset_Table[Chipset text]&lt;&gt;"") * ISNUMBER(SEARCH(Chipset_Table[Chipset text], B35)), ""))</f>
        <v>GeForce RTX 5060</v>
      </c>
      <c r="I35" t="s">
        <v>23</v>
      </c>
    </row>
    <row r="36" spans="1:9" hidden="1" x14ac:dyDescent="0.35">
      <c r="A36" t="s">
        <v>9</v>
      </c>
      <c r="B36" t="s">
        <v>88</v>
      </c>
      <c r="C36">
        <v>8290000</v>
      </c>
      <c r="D36">
        <v>7890000</v>
      </c>
      <c r="E36" t="s">
        <v>89</v>
      </c>
      <c r="F36" t="s">
        <v>12</v>
      </c>
      <c r="G36" t="str">
        <f>_xlfn.TEXTJOIN(",",TRUE,_xlfn._xlws.FILTER(GPU_brand[GPU brand], (GPU_brand[GPU brand text]&lt;&gt;"") * ISNUMBER(SEARCH(GPU_brand[GPU brand text], B36)), ""))</f>
        <v>ASUS</v>
      </c>
      <c r="H36" t="s">
        <v>26</v>
      </c>
      <c r="I36" t="s">
        <v>23</v>
      </c>
    </row>
    <row r="37" spans="1:9" hidden="1" x14ac:dyDescent="0.35">
      <c r="A37" t="s">
        <v>9</v>
      </c>
      <c r="B37" t="s">
        <v>90</v>
      </c>
      <c r="C37">
        <v>9590000</v>
      </c>
      <c r="D37">
        <v>9390000</v>
      </c>
      <c r="E37" t="s">
        <v>91</v>
      </c>
      <c r="F37" t="s">
        <v>12</v>
      </c>
      <c r="G37" t="str">
        <f>_xlfn.TEXTJOIN(",",TRUE,_xlfn._xlws.FILTER(GPU_brand[GPU brand], (GPU_brand[GPU brand text]&lt;&gt;"") * ISNUMBER(SEARCH(GPU_brand[GPU brand text], B37)), ""))</f>
        <v>ASUS</v>
      </c>
      <c r="H37" t="s">
        <v>26</v>
      </c>
      <c r="I37" t="s">
        <v>23</v>
      </c>
    </row>
    <row r="38" spans="1:9" hidden="1" x14ac:dyDescent="0.35">
      <c r="A38" t="s">
        <v>9</v>
      </c>
      <c r="B38" t="s">
        <v>92</v>
      </c>
      <c r="C38">
        <v>31990000</v>
      </c>
      <c r="D38">
        <v>29490000</v>
      </c>
      <c r="E38" t="s">
        <v>93</v>
      </c>
      <c r="F38" t="s">
        <v>12</v>
      </c>
      <c r="G38" t="str">
        <f>_xlfn.TEXTJOIN(",",TRUE,_xlfn._xlws.FILTER(GPU_brand[GPU brand], (GPU_brand[GPU brand text]&lt;&gt;"") * ISNUMBER(SEARCH(GPU_brand[GPU brand text], B38)), ""))</f>
        <v>MSI</v>
      </c>
      <c r="H38" t="s">
        <v>16</v>
      </c>
      <c r="I38" t="s">
        <v>17</v>
      </c>
    </row>
    <row r="39" spans="1:9" hidden="1" x14ac:dyDescent="0.35">
      <c r="A39" t="s">
        <v>9</v>
      </c>
      <c r="B39" t="s">
        <v>94</v>
      </c>
      <c r="C39">
        <v>9890000</v>
      </c>
      <c r="D39">
        <v>8690000</v>
      </c>
      <c r="E39" t="s">
        <v>95</v>
      </c>
      <c r="F39" t="s">
        <v>12</v>
      </c>
      <c r="G39" t="str">
        <f>_xlfn.TEXTJOIN(",",TRUE,_xlfn._xlws.FILTER(GPU_brand[GPU brand], (GPU_brand[GPU brand text]&lt;&gt;"") * ISNUMBER(SEARCH(GPU_brand[GPU brand text], B39)), ""))</f>
        <v>ASUS</v>
      </c>
      <c r="H39" t="s">
        <v>26</v>
      </c>
      <c r="I39" t="s">
        <v>23</v>
      </c>
    </row>
    <row r="40" spans="1:9" hidden="1" x14ac:dyDescent="0.35">
      <c r="A40" t="s">
        <v>9</v>
      </c>
      <c r="B40" t="s">
        <v>96</v>
      </c>
      <c r="C40">
        <v>9290000</v>
      </c>
      <c r="D40">
        <v>7490000</v>
      </c>
      <c r="E40" t="s">
        <v>97</v>
      </c>
      <c r="F40" t="s">
        <v>12</v>
      </c>
      <c r="G40" t="str">
        <f>_xlfn.TEXTJOIN(",",TRUE,_xlfn._xlws.FILTER(GPU_brand[GPU brand], (GPU_brand[GPU brand text]&lt;&gt;"") * ISNUMBER(SEARCH(GPU_brand[GPU brand text], B40)), ""))</f>
        <v>ASUS</v>
      </c>
      <c r="H40" t="s">
        <v>26</v>
      </c>
      <c r="I40" t="s">
        <v>23</v>
      </c>
    </row>
    <row r="41" spans="1:9" hidden="1" x14ac:dyDescent="0.35">
      <c r="A41" t="s">
        <v>9</v>
      </c>
      <c r="B41" t="s">
        <v>98</v>
      </c>
      <c r="C41">
        <v>8690000</v>
      </c>
      <c r="D41">
        <v>8390000</v>
      </c>
      <c r="E41" t="s">
        <v>99</v>
      </c>
      <c r="F41" t="s">
        <v>12</v>
      </c>
      <c r="G41" t="str">
        <f>_xlfn.TEXTJOIN(",",TRUE,_xlfn._xlws.FILTER(GPU_brand[GPU brand], (GPU_brand[GPU brand text]&lt;&gt;"") * ISNUMBER(SEARCH(GPU_brand[GPU brand text], B41)), ""))</f>
        <v>Gigabyte</v>
      </c>
      <c r="H41" t="s">
        <v>26</v>
      </c>
      <c r="I41" t="s">
        <v>23</v>
      </c>
    </row>
    <row r="42" spans="1:9" hidden="1" x14ac:dyDescent="0.35">
      <c r="A42" t="s">
        <v>9</v>
      </c>
      <c r="B42" t="s">
        <v>100</v>
      </c>
      <c r="C42">
        <v>9490000</v>
      </c>
      <c r="D42">
        <v>8890000</v>
      </c>
      <c r="E42" t="s">
        <v>101</v>
      </c>
      <c r="F42" t="s">
        <v>12</v>
      </c>
      <c r="G42" t="str">
        <f>_xlfn.TEXTJOIN(",",TRUE,_xlfn._xlws.FILTER(GPU_brand[GPU brand], (GPU_brand[GPU brand text]&lt;&gt;"") * ISNUMBER(SEARCH(GPU_brand[GPU brand text], B42)), ""))</f>
        <v>Gigabyte</v>
      </c>
      <c r="H42" t="s">
        <v>26</v>
      </c>
      <c r="I42" t="s">
        <v>23</v>
      </c>
    </row>
    <row r="43" spans="1:9" hidden="1" x14ac:dyDescent="0.35">
      <c r="A43" t="s">
        <v>9</v>
      </c>
      <c r="B43" t="s">
        <v>102</v>
      </c>
      <c r="C43">
        <v>7890000</v>
      </c>
      <c r="D43">
        <v>7490000</v>
      </c>
      <c r="E43" t="s">
        <v>103</v>
      </c>
      <c r="F43" t="s">
        <v>12</v>
      </c>
      <c r="G43" t="str">
        <f>_xlfn.TEXTJOIN(",",TRUE,_xlfn._xlws.FILTER(GPU_brand[GPU brand], (GPU_brand[GPU brand text]&lt;&gt;"") * ISNUMBER(SEARCH(GPU_brand[GPU brand text], B43)), ""))</f>
        <v>MSI</v>
      </c>
      <c r="H43" t="s">
        <v>26</v>
      </c>
      <c r="I43" t="s">
        <v>23</v>
      </c>
    </row>
    <row r="44" spans="1:9" hidden="1" x14ac:dyDescent="0.35">
      <c r="A44" t="s">
        <v>9</v>
      </c>
      <c r="B44" t="s">
        <v>104</v>
      </c>
      <c r="C44">
        <v>8590000</v>
      </c>
      <c r="D44">
        <v>8390000</v>
      </c>
      <c r="E44" t="s">
        <v>105</v>
      </c>
      <c r="F44" t="s">
        <v>12</v>
      </c>
      <c r="G44" t="str">
        <f>_xlfn.TEXTJOIN(",",TRUE,_xlfn._xlws.FILTER(GPU_brand[GPU brand], (GPU_brand[GPU brand text]&lt;&gt;"") * ISNUMBER(SEARCH(GPU_brand[GPU brand text], B44)), ""))</f>
        <v>MSI</v>
      </c>
      <c r="H44" t="s">
        <v>26</v>
      </c>
      <c r="I44" t="s">
        <v>23</v>
      </c>
    </row>
    <row r="45" spans="1:9" hidden="1" x14ac:dyDescent="0.35">
      <c r="A45" t="s">
        <v>9</v>
      </c>
      <c r="B45" t="s">
        <v>106</v>
      </c>
      <c r="C45">
        <v>8990000</v>
      </c>
      <c r="D45">
        <v>8790000</v>
      </c>
      <c r="E45" t="s">
        <v>107</v>
      </c>
      <c r="F45" t="s">
        <v>12</v>
      </c>
      <c r="G45" t="str">
        <f>_xlfn.TEXTJOIN(",",TRUE,_xlfn._xlws.FILTER(GPU_brand[GPU brand], (GPU_brand[GPU brand text]&lt;&gt;"") * ISNUMBER(SEARCH(GPU_brand[GPU brand text], B45)), ""))</f>
        <v>MSI</v>
      </c>
      <c r="H45" t="s">
        <v>26</v>
      </c>
      <c r="I45" t="s">
        <v>23</v>
      </c>
    </row>
    <row r="46" spans="1:9" hidden="1" x14ac:dyDescent="0.35">
      <c r="A46" t="s">
        <v>9</v>
      </c>
      <c r="B46" t="s">
        <v>108</v>
      </c>
      <c r="C46">
        <v>11990000</v>
      </c>
      <c r="D46">
        <v>10990000</v>
      </c>
      <c r="E46" t="s">
        <v>109</v>
      </c>
      <c r="F46" t="s">
        <v>12</v>
      </c>
      <c r="G46" t="str">
        <f>_xlfn.TEXTJOIN(",",TRUE,_xlfn._xlws.FILTER(GPU_brand[GPU brand], (GPU_brand[GPU brand text]&lt;&gt;"") * ISNUMBER(SEARCH(GPU_brand[GPU brand text], B46)), ""))</f>
        <v>MSI</v>
      </c>
      <c r="H46" t="str">
        <f>_xlfn.TEXTJOIN(",",TRUE,_xlfn._xlws.FILTER(Chipset_Table[Chipset], (Chipset_Table[Chipset text]&lt;&gt;"") * ISNUMBER(SEARCH(Chipset_Table[Chipset text], B46)), ""))</f>
        <v>GeForce RTX 5060</v>
      </c>
      <c r="I46" t="s">
        <v>23</v>
      </c>
    </row>
    <row r="47" spans="1:9" hidden="1" x14ac:dyDescent="0.35">
      <c r="A47" t="s">
        <v>9</v>
      </c>
      <c r="B47" t="s">
        <v>110</v>
      </c>
      <c r="C47">
        <v>10490000</v>
      </c>
      <c r="D47">
        <v>9890000</v>
      </c>
      <c r="E47" t="s">
        <v>111</v>
      </c>
      <c r="F47" t="s">
        <v>12</v>
      </c>
      <c r="G47" t="str">
        <f>_xlfn.TEXTJOIN(",",TRUE,_xlfn._xlws.FILTER(GPU_brand[GPU brand], (GPU_brand[GPU brand text]&lt;&gt;"") * ISNUMBER(SEARCH(GPU_brand[GPU brand text], B47)), ""))</f>
        <v>MSI</v>
      </c>
      <c r="H47" t="str">
        <f>_xlfn.TEXTJOIN(",",TRUE,_xlfn._xlws.FILTER(Chipset_Table[Chipset], (Chipset_Table[Chipset text]&lt;&gt;"") * ISNUMBER(SEARCH(Chipset_Table[Chipset text], B47)), ""))</f>
        <v>GeForce RTX 5060</v>
      </c>
      <c r="I47" t="s">
        <v>23</v>
      </c>
    </row>
    <row r="48" spans="1:9" hidden="1" x14ac:dyDescent="0.35">
      <c r="A48" t="s">
        <v>9</v>
      </c>
      <c r="B48" t="s">
        <v>112</v>
      </c>
      <c r="C48">
        <v>9990000</v>
      </c>
      <c r="D48">
        <v>9690000</v>
      </c>
      <c r="E48" t="s">
        <v>113</v>
      </c>
      <c r="F48" t="s">
        <v>12</v>
      </c>
      <c r="G48" t="str">
        <f>_xlfn.TEXTJOIN(",",TRUE,_xlfn._xlws.FILTER(GPU_brand[GPU brand], (GPU_brand[GPU brand text]&lt;&gt;"") * ISNUMBER(SEARCH(GPU_brand[GPU brand text], B48)), ""))</f>
        <v>ZOTAC</v>
      </c>
      <c r="H48" t="str">
        <f>_xlfn.TEXTJOIN(",",TRUE,_xlfn._xlws.FILTER(Chipset_Table[Chipset], (Chipset_Table[Chipset text]&lt;&gt;"") * ISNUMBER(SEARCH(Chipset_Table[Chipset text], B48)), ""))</f>
        <v>GeForce RTX 5060</v>
      </c>
      <c r="I48" t="s">
        <v>23</v>
      </c>
    </row>
    <row r="49" spans="1:9" hidden="1" x14ac:dyDescent="0.35">
      <c r="A49" t="s">
        <v>9</v>
      </c>
      <c r="B49" t="s">
        <v>114</v>
      </c>
      <c r="C49">
        <v>20490000</v>
      </c>
      <c r="D49">
        <v>19990000</v>
      </c>
      <c r="E49" t="s">
        <v>115</v>
      </c>
      <c r="F49" t="s">
        <v>12</v>
      </c>
      <c r="G49" t="str">
        <f>_xlfn.TEXTJOIN(",",TRUE,_xlfn._xlws.FILTER(GPU_brand[GPU brand], (GPU_brand[GPU brand text]&lt;&gt;"") * ISNUMBER(SEARCH(GPU_brand[GPU brand text], B49)), ""))</f>
        <v>ASUS</v>
      </c>
      <c r="H49" t="s">
        <v>13</v>
      </c>
      <c r="I49" t="s">
        <v>45</v>
      </c>
    </row>
    <row r="50" spans="1:9" hidden="1" x14ac:dyDescent="0.35">
      <c r="A50" t="s">
        <v>9</v>
      </c>
      <c r="B50" t="s">
        <v>116</v>
      </c>
      <c r="C50">
        <v>33990000</v>
      </c>
      <c r="D50">
        <v>32490000</v>
      </c>
      <c r="E50" t="s">
        <v>117</v>
      </c>
      <c r="F50" t="s">
        <v>12</v>
      </c>
      <c r="G50" t="str">
        <f>_xlfn.TEXTJOIN(",",TRUE,_xlfn._xlws.FILTER(GPU_brand[GPU brand], (GPU_brand[GPU brand text]&lt;&gt;"") * ISNUMBER(SEARCH(GPU_brand[GPU brand text], B50)), ""))</f>
        <v>MSI</v>
      </c>
      <c r="H50" t="s">
        <v>16</v>
      </c>
      <c r="I50" t="s">
        <v>17</v>
      </c>
    </row>
    <row r="51" spans="1:9" hidden="1" x14ac:dyDescent="0.35">
      <c r="A51" t="s">
        <v>9</v>
      </c>
      <c r="B51" t="s">
        <v>118</v>
      </c>
      <c r="C51">
        <v>13490000</v>
      </c>
      <c r="D51">
        <v>12990000</v>
      </c>
      <c r="E51" t="s">
        <v>119</v>
      </c>
      <c r="F51" t="s">
        <v>12</v>
      </c>
      <c r="G51" t="str">
        <f>_xlfn.TEXTJOIN(",",TRUE,_xlfn._xlws.FILTER(GPU_brand[GPU brand], (GPU_brand[GPU brand text]&lt;&gt;"") * ISNUMBER(SEARCH(GPU_brand[GPU brand text], B51)), ""))</f>
        <v>MSI</v>
      </c>
      <c r="H51" t="str">
        <f>_xlfn.TEXTJOIN(",",TRUE,_xlfn._xlws.FILTER(Chipset_Table[Chipset], (Chipset_Table[Chipset text]&lt;&gt;"") * ISNUMBER(SEARCH(Chipset_Table[Chipset text], B51)), ""))</f>
        <v>GeForce RTX 5060</v>
      </c>
      <c r="I51" t="s">
        <v>23</v>
      </c>
    </row>
    <row r="52" spans="1:9" hidden="1" x14ac:dyDescent="0.35">
      <c r="A52" t="s">
        <v>9</v>
      </c>
      <c r="B52" t="s">
        <v>120</v>
      </c>
      <c r="C52">
        <v>13990000</v>
      </c>
      <c r="D52">
        <v>12990000</v>
      </c>
      <c r="E52" t="s">
        <v>121</v>
      </c>
      <c r="F52" t="s">
        <v>12</v>
      </c>
      <c r="G52" t="str">
        <f>_xlfn.TEXTJOIN(",",TRUE,_xlfn._xlws.FILTER(GPU_brand[GPU brand], (GPU_brand[GPU brand text]&lt;&gt;"") * ISNUMBER(SEARCH(GPU_brand[GPU brand text], B52)), ""))</f>
        <v>MSI</v>
      </c>
      <c r="H52" t="str">
        <f>_xlfn.TEXTJOIN(",",TRUE,_xlfn._xlws.FILTER(Chipset_Table[Chipset], (Chipset_Table[Chipset text]&lt;&gt;"") * ISNUMBER(SEARCH(Chipset_Table[Chipset text], B52)), ""))</f>
        <v>GeForce RTX 5060</v>
      </c>
      <c r="I52" t="s">
        <v>23</v>
      </c>
    </row>
    <row r="53" spans="1:9" hidden="1" x14ac:dyDescent="0.35">
      <c r="A53" t="s">
        <v>9</v>
      </c>
      <c r="B53" t="s">
        <v>122</v>
      </c>
      <c r="C53">
        <v>14990000</v>
      </c>
      <c r="D53">
        <v>12990000</v>
      </c>
      <c r="E53" t="s">
        <v>123</v>
      </c>
      <c r="F53" t="s">
        <v>12</v>
      </c>
      <c r="G53" t="str">
        <f>_xlfn.TEXTJOIN(",",TRUE,_xlfn._xlws.FILTER(GPU_brand[GPU brand], (GPU_brand[GPU brand text]&lt;&gt;"") * ISNUMBER(SEARCH(GPU_brand[GPU brand text], B53)), ""))</f>
        <v>MSI</v>
      </c>
      <c r="H53" t="s">
        <v>31</v>
      </c>
      <c r="I53" t="s">
        <v>23</v>
      </c>
    </row>
    <row r="54" spans="1:9" hidden="1" x14ac:dyDescent="0.35">
      <c r="A54" t="s">
        <v>9</v>
      </c>
      <c r="B54" t="s">
        <v>124</v>
      </c>
      <c r="C54">
        <v>11390000</v>
      </c>
      <c r="D54">
        <v>10890000</v>
      </c>
      <c r="E54" t="s">
        <v>125</v>
      </c>
      <c r="F54" t="s">
        <v>12</v>
      </c>
      <c r="G54" t="str">
        <f>_xlfn.TEXTJOIN(",",TRUE,_xlfn._xlws.FILTER(GPU_brand[GPU brand], (GPU_brand[GPU brand text]&lt;&gt;"") * ISNUMBER(SEARCH(GPU_brand[GPU brand text], B54)), ""))</f>
        <v>Gigabyte</v>
      </c>
      <c r="H54" t="str">
        <f>_xlfn.TEXTJOIN(",",TRUE,_xlfn._xlws.FILTER(Chipset_Table[Chipset], (Chipset_Table[Chipset text]&lt;&gt;"") * ISNUMBER(SEARCH(Chipset_Table[Chipset text], B54)), ""))</f>
        <v>GeForce RTX 5060</v>
      </c>
      <c r="I54" t="s">
        <v>23</v>
      </c>
    </row>
    <row r="55" spans="1:9" hidden="1" x14ac:dyDescent="0.35">
      <c r="A55" t="s">
        <v>9</v>
      </c>
      <c r="B55" t="s">
        <v>126</v>
      </c>
      <c r="C55">
        <v>0</v>
      </c>
      <c r="D55">
        <v>9990000</v>
      </c>
      <c r="E55" t="s">
        <v>127</v>
      </c>
      <c r="F55" t="s">
        <v>12</v>
      </c>
      <c r="G55" t="str">
        <f>_xlfn.TEXTJOIN(",",TRUE,_xlfn._xlws.FILTER(GPU_brand[GPU brand], (GPU_brand[GPU brand text]&lt;&gt;"") * ISNUMBER(SEARCH(GPU_brand[GPU brand text], B55)), ""))</f>
        <v>Gigabyte</v>
      </c>
      <c r="H55" t="str">
        <f>_xlfn.TEXTJOIN(",",TRUE,_xlfn._xlws.FILTER(Chipset_Table[Chipset], (Chipset_Table[Chipset text]&lt;&gt;"") * ISNUMBER(SEARCH(Chipset_Table[Chipset text], B55)), ""))</f>
        <v>GeForce RTX 5060</v>
      </c>
      <c r="I55" t="s">
        <v>23</v>
      </c>
    </row>
    <row r="56" spans="1:9" hidden="1" x14ac:dyDescent="0.35">
      <c r="A56" t="s">
        <v>9</v>
      </c>
      <c r="B56" t="s">
        <v>128</v>
      </c>
      <c r="C56">
        <v>10990000</v>
      </c>
      <c r="D56">
        <v>10490000</v>
      </c>
      <c r="E56" t="s">
        <v>129</v>
      </c>
      <c r="F56" t="s">
        <v>12</v>
      </c>
      <c r="G56" t="str">
        <f>_xlfn.TEXTJOIN(",",TRUE,_xlfn._xlws.FILTER(GPU_brand[GPU brand], (GPU_brand[GPU brand text]&lt;&gt;"") * ISNUMBER(SEARCH(GPU_brand[GPU brand text], B56)), ""))</f>
        <v>Gigabyte</v>
      </c>
      <c r="H56" t="str">
        <f>_xlfn.TEXTJOIN(",",TRUE,_xlfn._xlws.FILTER(Chipset_Table[Chipset], (Chipset_Table[Chipset text]&lt;&gt;"") * ISNUMBER(SEARCH(Chipset_Table[Chipset text], B56)), ""))</f>
        <v>GeForce RTX 5060</v>
      </c>
      <c r="I56" t="s">
        <v>23</v>
      </c>
    </row>
    <row r="57" spans="1:9" hidden="1" x14ac:dyDescent="0.35">
      <c r="A57" t="s">
        <v>9</v>
      </c>
      <c r="B57" t="s">
        <v>130</v>
      </c>
      <c r="C57">
        <v>11290000</v>
      </c>
      <c r="D57">
        <v>10690000</v>
      </c>
      <c r="E57" t="s">
        <v>131</v>
      </c>
      <c r="F57" t="s">
        <v>12</v>
      </c>
      <c r="G57" t="str">
        <f>_xlfn.TEXTJOIN(",",TRUE,_xlfn._xlws.FILTER(GPU_brand[GPU brand], (GPU_brand[GPU brand text]&lt;&gt;"") * ISNUMBER(SEARCH(GPU_brand[GPU brand text], B57)), ""))</f>
        <v>ASUS</v>
      </c>
      <c r="H57" t="str">
        <f>_xlfn.TEXTJOIN(",",TRUE,_xlfn._xlws.FILTER(Chipset_Table[Chipset], (Chipset_Table[Chipset text]&lt;&gt;"") * ISNUMBER(SEARCH(Chipset_Table[Chipset text], B57)), ""))</f>
        <v>GeForce RTX 5060</v>
      </c>
      <c r="I57" t="s">
        <v>23</v>
      </c>
    </row>
    <row r="58" spans="1:9" hidden="1" x14ac:dyDescent="0.35">
      <c r="A58" t="s">
        <v>9</v>
      </c>
      <c r="B58" t="s">
        <v>132</v>
      </c>
      <c r="C58">
        <v>12490000</v>
      </c>
      <c r="D58">
        <v>11890000</v>
      </c>
      <c r="E58" t="s">
        <v>133</v>
      </c>
      <c r="F58" t="s">
        <v>12</v>
      </c>
      <c r="G58" t="str">
        <f>_xlfn.TEXTJOIN(",",TRUE,_xlfn._xlws.FILTER(GPU_brand[GPU brand], (GPU_brand[GPU brand text]&lt;&gt;"") * ISNUMBER(SEARCH(GPU_brand[GPU brand text], B58)), ""))</f>
        <v>ASUS</v>
      </c>
      <c r="H58" t="str">
        <f>_xlfn.TEXTJOIN(",",TRUE,_xlfn._xlws.FILTER(Chipset_Table[Chipset], (Chipset_Table[Chipset text]&lt;&gt;"") * ISNUMBER(SEARCH(Chipset_Table[Chipset text], B58)), ""))</f>
        <v>GeForce RTX 5060</v>
      </c>
      <c r="I58" t="s">
        <v>23</v>
      </c>
    </row>
    <row r="59" spans="1:9" hidden="1" x14ac:dyDescent="0.35">
      <c r="A59" t="s">
        <v>9</v>
      </c>
      <c r="B59" t="s">
        <v>134</v>
      </c>
      <c r="C59">
        <v>14990000</v>
      </c>
      <c r="D59">
        <v>12990000</v>
      </c>
      <c r="E59" t="s">
        <v>135</v>
      </c>
      <c r="F59" t="s">
        <v>12</v>
      </c>
      <c r="G59" t="str">
        <f>_xlfn.TEXTJOIN(",",TRUE,_xlfn._xlws.FILTER(GPU_brand[GPU brand], (GPU_brand[GPU brand text]&lt;&gt;"") * ISNUMBER(SEARCH(GPU_brand[GPU brand text], B59)), ""))</f>
        <v>Gigabyte</v>
      </c>
      <c r="H59" t="s">
        <v>31</v>
      </c>
      <c r="I59" t="s">
        <v>23</v>
      </c>
    </row>
    <row r="60" spans="1:9" hidden="1" x14ac:dyDescent="0.35">
      <c r="A60" t="s">
        <v>9</v>
      </c>
      <c r="B60" t="s">
        <v>136</v>
      </c>
      <c r="C60">
        <v>22990000</v>
      </c>
      <c r="D60">
        <v>20990000</v>
      </c>
      <c r="E60" t="s">
        <v>137</v>
      </c>
      <c r="F60" t="s">
        <v>12</v>
      </c>
      <c r="G60" t="str">
        <f>_xlfn.TEXTJOIN(",",TRUE,_xlfn._xlws.FILTER(GPU_brand[GPU brand], (GPU_brand[GPU brand text]&lt;&gt;"") * ISNUMBER(SEARCH(GPU_brand[GPU brand text], B60)), ""))</f>
        <v>MSI</v>
      </c>
      <c r="H60" t="s">
        <v>13</v>
      </c>
      <c r="I60" t="s">
        <v>45</v>
      </c>
    </row>
    <row r="61" spans="1:9" hidden="1" x14ac:dyDescent="0.35">
      <c r="A61" t="s">
        <v>9</v>
      </c>
      <c r="B61" t="s">
        <v>138</v>
      </c>
      <c r="C61">
        <v>16790000</v>
      </c>
      <c r="D61">
        <v>16390000</v>
      </c>
      <c r="E61" t="s">
        <v>139</v>
      </c>
      <c r="F61" t="s">
        <v>12</v>
      </c>
      <c r="G61" t="str">
        <f>_xlfn.TEXTJOIN(",",TRUE,_xlfn._xlws.FILTER(GPU_brand[GPU brand], (GPU_brand[GPU brand text]&lt;&gt;"") * ISNUMBER(SEARCH(GPU_brand[GPU brand text], B61)), ""))</f>
        <v>MSI</v>
      </c>
      <c r="H61" t="s">
        <v>31</v>
      </c>
      <c r="I61" t="s">
        <v>17</v>
      </c>
    </row>
    <row r="62" spans="1:9" hidden="1" x14ac:dyDescent="0.35">
      <c r="A62" t="s">
        <v>9</v>
      </c>
      <c r="B62" t="s">
        <v>140</v>
      </c>
      <c r="C62">
        <v>15990000</v>
      </c>
      <c r="D62">
        <v>14990000</v>
      </c>
      <c r="E62" t="s">
        <v>141</v>
      </c>
      <c r="F62" t="s">
        <v>12</v>
      </c>
      <c r="G62" t="str">
        <f>_xlfn.TEXTJOIN(",",TRUE,_xlfn._xlws.FILTER(GPU_brand[GPU brand], (GPU_brand[GPU brand text]&lt;&gt;"") * ISNUMBER(SEARCH(GPU_brand[GPU brand text], B62)), ""))</f>
        <v>MSI</v>
      </c>
      <c r="H62" t="s">
        <v>31</v>
      </c>
      <c r="I62" t="s">
        <v>17</v>
      </c>
    </row>
    <row r="63" spans="1:9" hidden="1" x14ac:dyDescent="0.35">
      <c r="A63" t="s">
        <v>9</v>
      </c>
      <c r="B63" t="s">
        <v>142</v>
      </c>
      <c r="C63">
        <v>14390000</v>
      </c>
      <c r="D63">
        <v>12990000</v>
      </c>
      <c r="E63" t="s">
        <v>143</v>
      </c>
      <c r="F63" t="s">
        <v>12</v>
      </c>
      <c r="G63" t="str">
        <f>_xlfn.TEXTJOIN(",",TRUE,_xlfn._xlws.FILTER(GPU_brand[GPU brand], (GPU_brand[GPU brand text]&lt;&gt;"") * ISNUMBER(SEARCH(GPU_brand[GPU brand text], B63)), ""))</f>
        <v>MSI</v>
      </c>
      <c r="H63" t="s">
        <v>31</v>
      </c>
      <c r="I63" t="s">
        <v>23</v>
      </c>
    </row>
    <row r="64" spans="1:9" hidden="1" x14ac:dyDescent="0.35">
      <c r="A64" t="s">
        <v>9</v>
      </c>
      <c r="B64" t="s">
        <v>144</v>
      </c>
      <c r="C64">
        <v>19290000</v>
      </c>
      <c r="D64">
        <v>18690000</v>
      </c>
      <c r="E64" t="s">
        <v>145</v>
      </c>
      <c r="F64" t="s">
        <v>12</v>
      </c>
      <c r="G64" t="str">
        <f>_xlfn.TEXTJOIN(",",TRUE,_xlfn._xlws.FILTER(GPU_brand[GPU brand], (GPU_brand[GPU brand text]&lt;&gt;"") * ISNUMBER(SEARCH(GPU_brand[GPU brand text], B64)), ""))</f>
        <v>MSI</v>
      </c>
      <c r="H64" t="s">
        <v>31</v>
      </c>
      <c r="I64" t="s">
        <v>17</v>
      </c>
    </row>
    <row r="65" spans="1:9" hidden="1" x14ac:dyDescent="0.35">
      <c r="A65" t="s">
        <v>9</v>
      </c>
      <c r="B65" t="s">
        <v>146</v>
      </c>
      <c r="C65">
        <v>13290000</v>
      </c>
      <c r="D65">
        <v>12990000</v>
      </c>
      <c r="E65" t="s">
        <v>147</v>
      </c>
      <c r="F65" t="s">
        <v>12</v>
      </c>
      <c r="G65" t="str">
        <f>_xlfn.TEXTJOIN(",",TRUE,_xlfn._xlws.FILTER(GPU_brand[GPU brand], (GPU_brand[GPU brand text]&lt;&gt;"") * ISNUMBER(SEARCH(GPU_brand[GPU brand text], B65)), ""))</f>
        <v>MSI</v>
      </c>
      <c r="H65" t="s">
        <v>31</v>
      </c>
      <c r="I65" t="s">
        <v>23</v>
      </c>
    </row>
    <row r="66" spans="1:9" hidden="1" x14ac:dyDescent="0.35">
      <c r="A66" t="s">
        <v>9</v>
      </c>
      <c r="B66" t="s">
        <v>148</v>
      </c>
      <c r="C66">
        <v>16990000</v>
      </c>
      <c r="D66">
        <v>16290000</v>
      </c>
      <c r="E66" t="s">
        <v>149</v>
      </c>
      <c r="F66" t="s">
        <v>12</v>
      </c>
      <c r="G66" t="str">
        <f>_xlfn.TEXTJOIN(",",TRUE,_xlfn._xlws.FILTER(GPU_brand[GPU brand], (GPU_brand[GPU brand text]&lt;&gt;"") * ISNUMBER(SEARCH(GPU_brand[GPU brand text], B66)), ""))</f>
        <v>MSI</v>
      </c>
      <c r="H66" t="s">
        <v>31</v>
      </c>
      <c r="I66" t="s">
        <v>17</v>
      </c>
    </row>
    <row r="67" spans="1:9" hidden="1" x14ac:dyDescent="0.35">
      <c r="A67" t="s">
        <v>9</v>
      </c>
      <c r="B67" t="s">
        <v>150</v>
      </c>
      <c r="C67">
        <v>18290000</v>
      </c>
      <c r="D67">
        <v>17690000</v>
      </c>
      <c r="E67" t="s">
        <v>151</v>
      </c>
      <c r="F67" t="s">
        <v>12</v>
      </c>
      <c r="G67" t="str">
        <f>_xlfn.TEXTJOIN(",",TRUE,_xlfn._xlws.FILTER(GPU_brand[GPU brand], (GPU_brand[GPU brand text]&lt;&gt;"") * ISNUMBER(SEARCH(GPU_brand[GPU brand text], B67)), ""))</f>
        <v>MSI</v>
      </c>
      <c r="H67" t="s">
        <v>31</v>
      </c>
      <c r="I67" t="s">
        <v>17</v>
      </c>
    </row>
    <row r="68" spans="1:9" hidden="1" x14ac:dyDescent="0.35">
      <c r="A68" t="s">
        <v>9</v>
      </c>
      <c r="B68" t="s">
        <v>152</v>
      </c>
      <c r="C68">
        <v>17890000</v>
      </c>
      <c r="D68">
        <v>17390000</v>
      </c>
      <c r="E68" t="s">
        <v>153</v>
      </c>
      <c r="F68" t="s">
        <v>12</v>
      </c>
      <c r="G68" t="str">
        <f>_xlfn.TEXTJOIN(",",TRUE,_xlfn._xlws.FILTER(GPU_brand[GPU brand], (GPU_brand[GPU brand text]&lt;&gt;"") * ISNUMBER(SEARCH(GPU_brand[GPU brand text], B68)), ""))</f>
        <v>MSI</v>
      </c>
      <c r="H68" t="s">
        <v>31</v>
      </c>
      <c r="I68" t="s">
        <v>17</v>
      </c>
    </row>
    <row r="69" spans="1:9" hidden="1" x14ac:dyDescent="0.35">
      <c r="A69" t="s">
        <v>9</v>
      </c>
      <c r="B69" t="s">
        <v>154</v>
      </c>
      <c r="C69">
        <v>15290000</v>
      </c>
      <c r="D69">
        <v>14890000</v>
      </c>
      <c r="E69" t="s">
        <v>155</v>
      </c>
      <c r="F69" t="s">
        <v>12</v>
      </c>
      <c r="G69" t="str">
        <f>_xlfn.TEXTJOIN(",",TRUE,_xlfn._xlws.FILTER(GPU_brand[GPU brand], (GPU_brand[GPU brand text]&lt;&gt;"") * ISNUMBER(SEARCH(GPU_brand[GPU brand text], B69)), ""))</f>
        <v>MSI</v>
      </c>
      <c r="H69" t="s">
        <v>31</v>
      </c>
      <c r="I69" t="s">
        <v>23</v>
      </c>
    </row>
    <row r="70" spans="1:9" hidden="1" x14ac:dyDescent="0.35">
      <c r="A70" t="s">
        <v>9</v>
      </c>
      <c r="B70" t="s">
        <v>156</v>
      </c>
      <c r="C70">
        <v>17590000</v>
      </c>
      <c r="D70">
        <v>16890000</v>
      </c>
      <c r="E70" t="s">
        <v>157</v>
      </c>
      <c r="F70" t="s">
        <v>12</v>
      </c>
      <c r="G70" t="str">
        <f>_xlfn.TEXTJOIN(",",TRUE,_xlfn._xlws.FILTER(GPU_brand[GPU brand], (GPU_brand[GPU brand text]&lt;&gt;"") * ISNUMBER(SEARCH(GPU_brand[GPU brand text], B70)), ""))</f>
        <v>MSI</v>
      </c>
      <c r="H70" t="s">
        <v>31</v>
      </c>
      <c r="I70" t="s">
        <v>17</v>
      </c>
    </row>
    <row r="71" spans="1:9" hidden="1" x14ac:dyDescent="0.35">
      <c r="A71" t="s">
        <v>9</v>
      </c>
      <c r="B71" t="s">
        <v>158</v>
      </c>
      <c r="C71">
        <v>14990000</v>
      </c>
      <c r="D71">
        <v>14290000</v>
      </c>
      <c r="E71" t="s">
        <v>159</v>
      </c>
      <c r="F71" t="s">
        <v>12</v>
      </c>
      <c r="G71" t="str">
        <f>_xlfn.TEXTJOIN(",",TRUE,_xlfn._xlws.FILTER(GPU_brand[GPU brand], (GPU_brand[GPU brand text]&lt;&gt;"") * ISNUMBER(SEARCH(GPU_brand[GPU brand text], B71)), ""))</f>
        <v>ASUS</v>
      </c>
      <c r="H71" t="s">
        <v>31</v>
      </c>
      <c r="I71" t="s">
        <v>23</v>
      </c>
    </row>
    <row r="72" spans="1:9" hidden="1" x14ac:dyDescent="0.35">
      <c r="A72" t="s">
        <v>9</v>
      </c>
      <c r="B72" t="s">
        <v>160</v>
      </c>
      <c r="C72">
        <v>15190000</v>
      </c>
      <c r="D72">
        <v>14990000</v>
      </c>
      <c r="E72" t="s">
        <v>161</v>
      </c>
      <c r="F72" t="s">
        <v>12</v>
      </c>
      <c r="G72" t="str">
        <f>_xlfn.TEXTJOIN(",",TRUE,_xlfn._xlws.FILTER(GPU_brand[GPU brand], (GPU_brand[GPU brand text]&lt;&gt;"") * ISNUMBER(SEARCH(GPU_brand[GPU brand text], B72)), ""))</f>
        <v>ASUS</v>
      </c>
      <c r="H72" t="s">
        <v>31</v>
      </c>
      <c r="I72" t="s">
        <v>23</v>
      </c>
    </row>
    <row r="73" spans="1:9" hidden="1" x14ac:dyDescent="0.35">
      <c r="A73" t="s">
        <v>9</v>
      </c>
      <c r="B73" t="s">
        <v>162</v>
      </c>
      <c r="C73">
        <v>15490000</v>
      </c>
      <c r="D73">
        <v>15390000</v>
      </c>
      <c r="E73" t="s">
        <v>163</v>
      </c>
      <c r="F73" t="s">
        <v>12</v>
      </c>
      <c r="G73" t="str">
        <f>_xlfn.TEXTJOIN(",",TRUE,_xlfn._xlws.FILTER(GPU_brand[GPU brand], (GPU_brand[GPU brand text]&lt;&gt;"") * ISNUMBER(SEARCH(GPU_brand[GPU brand text], B73)), ""))</f>
        <v>ASUS</v>
      </c>
      <c r="H73" t="s">
        <v>31</v>
      </c>
      <c r="I73" t="s">
        <v>23</v>
      </c>
    </row>
    <row r="74" spans="1:9" hidden="1" x14ac:dyDescent="0.35">
      <c r="A74" t="s">
        <v>9</v>
      </c>
      <c r="B74" t="s">
        <v>164</v>
      </c>
      <c r="C74">
        <v>0</v>
      </c>
      <c r="D74">
        <v>16990000</v>
      </c>
      <c r="E74" t="s">
        <v>165</v>
      </c>
      <c r="F74" t="s">
        <v>12</v>
      </c>
      <c r="G74" t="str">
        <f>_xlfn.TEXTJOIN(",",TRUE,_xlfn._xlws.FILTER(GPU_brand[GPU brand], (GPU_brand[GPU brand text]&lt;&gt;"") * ISNUMBER(SEARCH(GPU_brand[GPU brand text], B74)), ""))</f>
        <v>ASUS</v>
      </c>
      <c r="H74" t="s">
        <v>31</v>
      </c>
      <c r="I74" t="s">
        <v>23</v>
      </c>
    </row>
    <row r="75" spans="1:9" hidden="1" x14ac:dyDescent="0.35">
      <c r="A75" t="s">
        <v>9</v>
      </c>
      <c r="B75" t="s">
        <v>166</v>
      </c>
      <c r="C75">
        <v>0</v>
      </c>
      <c r="D75">
        <v>18990000</v>
      </c>
      <c r="E75" t="s">
        <v>167</v>
      </c>
      <c r="F75" t="s">
        <v>12</v>
      </c>
      <c r="G75" t="str">
        <f>_xlfn.TEXTJOIN(",",TRUE,_xlfn._xlws.FILTER(GPU_brand[GPU brand], (GPU_brand[GPU brand text]&lt;&gt;"") * ISNUMBER(SEARCH(GPU_brand[GPU brand text], B75)), ""))</f>
        <v>ASUS</v>
      </c>
      <c r="H75" t="s">
        <v>31</v>
      </c>
      <c r="I75" t="s">
        <v>17</v>
      </c>
    </row>
    <row r="76" spans="1:9" hidden="1" x14ac:dyDescent="0.35">
      <c r="A76" t="s">
        <v>9</v>
      </c>
      <c r="B76" t="s">
        <v>168</v>
      </c>
      <c r="C76">
        <v>0</v>
      </c>
      <c r="D76">
        <v>19490000</v>
      </c>
      <c r="E76" t="s">
        <v>169</v>
      </c>
      <c r="F76" t="s">
        <v>12</v>
      </c>
      <c r="G76" t="str">
        <f>_xlfn.TEXTJOIN(",",TRUE,_xlfn._xlws.FILTER(GPU_brand[GPU brand], (GPU_brand[GPU brand text]&lt;&gt;"") * ISNUMBER(SEARCH(GPU_brand[GPU brand text], B76)), ""))</f>
        <v>ASUS</v>
      </c>
      <c r="H76" t="s">
        <v>31</v>
      </c>
      <c r="I76" t="s">
        <v>17</v>
      </c>
    </row>
    <row r="77" spans="1:9" hidden="1" x14ac:dyDescent="0.35">
      <c r="A77" t="s">
        <v>9</v>
      </c>
      <c r="B77" t="s">
        <v>170</v>
      </c>
      <c r="C77">
        <v>20490000</v>
      </c>
      <c r="D77">
        <v>20290000</v>
      </c>
      <c r="E77" t="s">
        <v>171</v>
      </c>
      <c r="F77" t="s">
        <v>12</v>
      </c>
      <c r="G77" t="str">
        <f>_xlfn.TEXTJOIN(",",TRUE,_xlfn._xlws.FILTER(GPU_brand[GPU brand], (GPU_brand[GPU brand text]&lt;&gt;"") * ISNUMBER(SEARCH(GPU_brand[GPU brand text], B77)), ""))</f>
        <v>ASUS</v>
      </c>
      <c r="H77" t="s">
        <v>31</v>
      </c>
      <c r="I77" t="s">
        <v>17</v>
      </c>
    </row>
    <row r="78" spans="1:9" hidden="1" x14ac:dyDescent="0.35">
      <c r="A78" t="s">
        <v>9</v>
      </c>
      <c r="B78" t="s">
        <v>172</v>
      </c>
      <c r="C78">
        <v>22390000</v>
      </c>
      <c r="D78">
        <v>18990000</v>
      </c>
      <c r="E78" t="s">
        <v>173</v>
      </c>
      <c r="F78" t="s">
        <v>12</v>
      </c>
      <c r="G78" t="str">
        <f>_xlfn.TEXTJOIN(",",TRUE,_xlfn._xlws.FILTER(GPU_brand[GPU brand], (GPU_brand[GPU brand text]&lt;&gt;"") * ISNUMBER(SEARCH(GPU_brand[GPU brand text], B78)), ""))</f>
        <v>Gigabyte</v>
      </c>
      <c r="H78" t="s">
        <v>31</v>
      </c>
      <c r="I78" t="s">
        <v>17</v>
      </c>
    </row>
    <row r="79" spans="1:9" hidden="1" x14ac:dyDescent="0.35">
      <c r="A79" t="s">
        <v>9</v>
      </c>
      <c r="B79" t="s">
        <v>174</v>
      </c>
      <c r="C79">
        <v>21990000</v>
      </c>
      <c r="D79">
        <v>17490000</v>
      </c>
      <c r="E79" t="s">
        <v>175</v>
      </c>
      <c r="F79" t="s">
        <v>12</v>
      </c>
      <c r="G79" t="str">
        <f>_xlfn.TEXTJOIN(",",TRUE,_xlfn._xlws.FILTER(GPU_brand[GPU brand], (GPU_brand[GPU brand text]&lt;&gt;"") * ISNUMBER(SEARCH(GPU_brand[GPU brand text], B79)), ""))</f>
        <v>Gigabyte</v>
      </c>
      <c r="H79" t="s">
        <v>31</v>
      </c>
      <c r="I79" t="s">
        <v>17</v>
      </c>
    </row>
    <row r="80" spans="1:9" hidden="1" x14ac:dyDescent="0.35">
      <c r="A80" t="s">
        <v>9</v>
      </c>
      <c r="B80" t="s">
        <v>176</v>
      </c>
      <c r="C80">
        <v>17990000</v>
      </c>
      <c r="D80">
        <v>13990000</v>
      </c>
      <c r="E80" t="s">
        <v>177</v>
      </c>
      <c r="F80" t="s">
        <v>12</v>
      </c>
      <c r="G80" t="str">
        <f>_xlfn.TEXTJOIN(",",TRUE,_xlfn._xlws.FILTER(GPU_brand[GPU brand], (GPU_brand[GPU brand text]&lt;&gt;"") * ISNUMBER(SEARCH(GPU_brand[GPU brand text], B80)), ""))</f>
        <v>Gigabyte</v>
      </c>
      <c r="H80" t="s">
        <v>31</v>
      </c>
      <c r="I80" t="s">
        <v>17</v>
      </c>
    </row>
    <row r="81" spans="1:9" hidden="1" x14ac:dyDescent="0.35">
      <c r="A81" t="s">
        <v>9</v>
      </c>
      <c r="B81" t="s">
        <v>178</v>
      </c>
      <c r="C81">
        <v>18990000</v>
      </c>
      <c r="D81">
        <v>14690000</v>
      </c>
      <c r="E81" t="s">
        <v>179</v>
      </c>
      <c r="F81" t="s">
        <v>12</v>
      </c>
      <c r="G81" t="str">
        <f>_xlfn.TEXTJOIN(",",TRUE,_xlfn._xlws.FILTER(GPU_brand[GPU brand], (GPU_brand[GPU brand text]&lt;&gt;"") * ISNUMBER(SEARCH(GPU_brand[GPU brand text], B81)), ""))</f>
        <v>Gigabyte</v>
      </c>
      <c r="H81" t="s">
        <v>31</v>
      </c>
      <c r="I81" t="s">
        <v>17</v>
      </c>
    </row>
    <row r="82" spans="1:9" hidden="1" x14ac:dyDescent="0.35">
      <c r="A82" t="s">
        <v>9</v>
      </c>
      <c r="B82" t="s">
        <v>180</v>
      </c>
      <c r="C82">
        <v>22490000</v>
      </c>
      <c r="D82">
        <v>20490000</v>
      </c>
      <c r="E82" t="s">
        <v>181</v>
      </c>
      <c r="F82" t="s">
        <v>12</v>
      </c>
      <c r="G82" t="str">
        <f>_xlfn.TEXTJOIN(",",TRUE,_xlfn._xlws.FILTER(GPU_brand[GPU brand], (GPU_brand[GPU brand text]&lt;&gt;"") * ISNUMBER(SEARCH(GPU_brand[GPU brand text], B82)), ""))</f>
        <v>Gigabyte</v>
      </c>
      <c r="H82" t="s">
        <v>31</v>
      </c>
      <c r="I82" t="s">
        <v>17</v>
      </c>
    </row>
    <row r="83" spans="1:9" hidden="1" x14ac:dyDescent="0.35">
      <c r="A83" t="s">
        <v>9</v>
      </c>
      <c r="B83" t="s">
        <v>182</v>
      </c>
      <c r="C83">
        <v>20490000</v>
      </c>
      <c r="D83">
        <v>16990000</v>
      </c>
      <c r="E83" t="s">
        <v>183</v>
      </c>
      <c r="F83" t="s">
        <v>12</v>
      </c>
      <c r="G83" t="str">
        <f>_xlfn.TEXTJOIN(",",TRUE,_xlfn._xlws.FILTER(GPU_brand[GPU brand], (GPU_brand[GPU brand text]&lt;&gt;"") * ISNUMBER(SEARCH(GPU_brand[GPU brand text], B83)), ""))</f>
        <v>Gigabyte</v>
      </c>
      <c r="H83" t="s">
        <v>31</v>
      </c>
      <c r="I83" t="s">
        <v>17</v>
      </c>
    </row>
    <row r="84" spans="1:9" hidden="1" x14ac:dyDescent="0.35">
      <c r="A84" t="s">
        <v>9</v>
      </c>
      <c r="B84" t="s">
        <v>184</v>
      </c>
      <c r="C84">
        <v>21990000</v>
      </c>
      <c r="D84">
        <v>19690000</v>
      </c>
      <c r="E84" t="s">
        <v>185</v>
      </c>
      <c r="F84" t="s">
        <v>12</v>
      </c>
      <c r="G84" t="str">
        <f>_xlfn.TEXTJOIN(",",TRUE,_xlfn._xlws.FILTER(GPU_brand[GPU brand], (GPU_brand[GPU brand text]&lt;&gt;"") * ISNUMBER(SEARCH(GPU_brand[GPU brand text], B84)), ""))</f>
        <v>Gigabyte</v>
      </c>
      <c r="H84" t="s">
        <v>31</v>
      </c>
      <c r="I84" t="s">
        <v>17</v>
      </c>
    </row>
    <row r="85" spans="1:9" hidden="1" x14ac:dyDescent="0.35">
      <c r="A85" t="s">
        <v>9</v>
      </c>
      <c r="B85" t="s">
        <v>186</v>
      </c>
      <c r="C85">
        <v>41990000</v>
      </c>
      <c r="D85">
        <v>37490000</v>
      </c>
      <c r="E85" t="s">
        <v>187</v>
      </c>
      <c r="F85" t="s">
        <v>12</v>
      </c>
      <c r="G85" t="str">
        <f>_xlfn.TEXTJOIN(",",TRUE,_xlfn._xlws.FILTER(GPU_brand[GPU brand], (GPU_brand[GPU brand text]&lt;&gt;"") * ISNUMBER(SEARCH(GPU_brand[GPU brand text], B85)), ""))</f>
        <v>MSI</v>
      </c>
      <c r="H85" t="s">
        <v>40</v>
      </c>
      <c r="I85" t="s">
        <v>17</v>
      </c>
    </row>
    <row r="86" spans="1:9" hidden="1" x14ac:dyDescent="0.35">
      <c r="A86" t="s">
        <v>9</v>
      </c>
      <c r="B86" t="s">
        <v>188</v>
      </c>
      <c r="C86">
        <v>44990000</v>
      </c>
      <c r="D86">
        <v>42690000</v>
      </c>
      <c r="E86" t="s">
        <v>189</v>
      </c>
      <c r="F86" t="s">
        <v>12</v>
      </c>
      <c r="G86" t="str">
        <f>_xlfn.TEXTJOIN(",",TRUE,_xlfn._xlws.FILTER(GPU_brand[GPU brand], (GPU_brand[GPU brand text]&lt;&gt;"") * ISNUMBER(SEARCH(GPU_brand[GPU brand text], B86)), ""))</f>
        <v>MSI</v>
      </c>
      <c r="H86" t="s">
        <v>40</v>
      </c>
      <c r="I86" t="s">
        <v>17</v>
      </c>
    </row>
    <row r="87" spans="1:9" hidden="1" x14ac:dyDescent="0.35">
      <c r="A87" t="s">
        <v>9</v>
      </c>
      <c r="B87" t="s">
        <v>190</v>
      </c>
      <c r="C87">
        <v>0</v>
      </c>
      <c r="D87">
        <v>29990000</v>
      </c>
      <c r="E87" t="s">
        <v>191</v>
      </c>
      <c r="F87" t="s">
        <v>12</v>
      </c>
      <c r="G87" t="str">
        <f>_xlfn.TEXTJOIN(",",TRUE,_xlfn._xlws.FILTER(GPU_brand[GPU brand], (GPU_brand[GPU brand text]&lt;&gt;"") * ISNUMBER(SEARCH(GPU_brand[GPU brand text], B87)), ""))</f>
        <v>Colorful</v>
      </c>
      <c r="H87" t="s">
        <v>16</v>
      </c>
      <c r="I87" t="s">
        <v>17</v>
      </c>
    </row>
    <row r="88" spans="1:9" hidden="1" x14ac:dyDescent="0.35">
      <c r="A88" t="s">
        <v>9</v>
      </c>
      <c r="B88" t="s">
        <v>192</v>
      </c>
      <c r="C88">
        <v>99990000</v>
      </c>
      <c r="D88">
        <v>98990000</v>
      </c>
      <c r="E88" t="s">
        <v>193</v>
      </c>
      <c r="F88" t="s">
        <v>12</v>
      </c>
      <c r="G88" t="str">
        <f>_xlfn.TEXTJOIN(",",TRUE,_xlfn._xlws.FILTER(GPU_brand[GPU brand], (GPU_brand[GPU brand text]&lt;&gt;"") * ISNUMBER(SEARCH(GPU_brand[GPU brand text], B88)), ""))</f>
        <v>Gigabyte</v>
      </c>
      <c r="H88" t="str">
        <f>_xlfn.TEXTJOIN(",",TRUE,_xlfn._xlws.FILTER(Chipset_Table[Chipset], (Chipset_Table[Chipset text]&lt;&gt;"") * ISNUMBER(SEARCH(Chipset_Table[Chipset text], B88)), ""))</f>
        <v>GeForce RTX 5090</v>
      </c>
      <c r="I88" t="s">
        <v>20</v>
      </c>
    </row>
    <row r="89" spans="1:9" hidden="1" x14ac:dyDescent="0.35">
      <c r="A89" t="s">
        <v>9</v>
      </c>
      <c r="B89" t="s">
        <v>194</v>
      </c>
      <c r="C89">
        <v>88990000</v>
      </c>
      <c r="D89">
        <v>79990000</v>
      </c>
      <c r="E89" t="s">
        <v>195</v>
      </c>
      <c r="F89" t="s">
        <v>12</v>
      </c>
      <c r="G89" t="str">
        <f>_xlfn.TEXTJOIN(",",TRUE,_xlfn._xlws.FILTER(GPU_brand[GPU brand], (GPU_brand[GPU brand text]&lt;&gt;"") * ISNUMBER(SEARCH(GPU_brand[GPU brand text], B89)), ""))</f>
        <v>MSI</v>
      </c>
      <c r="H89" t="str">
        <f>_xlfn.TEXTJOIN(",",TRUE,_xlfn._xlws.FILTER(Chipset_Table[Chipset], (Chipset_Table[Chipset text]&lt;&gt;"") * ISNUMBER(SEARCH(Chipset_Table[Chipset text], B89)), ""))</f>
        <v>GeForce RTX 5090</v>
      </c>
      <c r="I89" t="s">
        <v>20</v>
      </c>
    </row>
    <row r="90" spans="1:9" hidden="1" x14ac:dyDescent="0.35">
      <c r="A90" t="s">
        <v>9</v>
      </c>
      <c r="B90" t="s">
        <v>196</v>
      </c>
      <c r="C90">
        <v>21490000</v>
      </c>
      <c r="D90">
        <v>19890000</v>
      </c>
      <c r="E90" t="s">
        <v>197</v>
      </c>
      <c r="F90" t="s">
        <v>12</v>
      </c>
      <c r="G90" t="str">
        <f>_xlfn.TEXTJOIN(",",TRUE,_xlfn._xlws.FILTER(GPU_brand[GPU brand], (GPU_brand[GPU brand text]&lt;&gt;"") * ISNUMBER(SEARCH(GPU_brand[GPU brand text], B90)), ""))</f>
        <v>ASUS</v>
      </c>
      <c r="H90" t="s">
        <v>13</v>
      </c>
      <c r="I90" t="s">
        <v>45</v>
      </c>
    </row>
    <row r="91" spans="1:9" hidden="1" x14ac:dyDescent="0.35">
      <c r="A91" t="s">
        <v>9</v>
      </c>
      <c r="B91" t="s">
        <v>198</v>
      </c>
      <c r="C91">
        <v>21690000</v>
      </c>
      <c r="D91">
        <v>20490000</v>
      </c>
      <c r="E91" t="s">
        <v>199</v>
      </c>
      <c r="F91" t="s">
        <v>12</v>
      </c>
      <c r="G91" t="str">
        <f>_xlfn.TEXTJOIN(",",TRUE,_xlfn._xlws.FILTER(GPU_brand[GPU brand], (GPU_brand[GPU brand text]&lt;&gt;"") * ISNUMBER(SEARCH(GPU_brand[GPU brand text], B91)), ""))</f>
        <v>ASUS</v>
      </c>
      <c r="H91" t="s">
        <v>13</v>
      </c>
      <c r="I91" t="s">
        <v>45</v>
      </c>
    </row>
    <row r="92" spans="1:9" hidden="1" x14ac:dyDescent="0.35">
      <c r="A92" t="s">
        <v>9</v>
      </c>
      <c r="B92" t="s">
        <v>200</v>
      </c>
      <c r="C92">
        <v>25490000</v>
      </c>
      <c r="D92">
        <v>22490000</v>
      </c>
      <c r="E92" t="s">
        <v>201</v>
      </c>
      <c r="F92" t="s">
        <v>12</v>
      </c>
      <c r="G92" t="str">
        <f>_xlfn.TEXTJOIN(",",TRUE,_xlfn._xlws.FILTER(GPU_brand[GPU brand], (GPU_brand[GPU brand text]&lt;&gt;"") * ISNUMBER(SEARCH(GPU_brand[GPU brand text], B92)), ""))</f>
        <v>ASUS</v>
      </c>
      <c r="H92" t="s">
        <v>13</v>
      </c>
      <c r="I92" t="s">
        <v>45</v>
      </c>
    </row>
    <row r="93" spans="1:9" hidden="1" x14ac:dyDescent="0.35">
      <c r="A93" t="s">
        <v>9</v>
      </c>
      <c r="B93" t="s">
        <v>202</v>
      </c>
      <c r="C93">
        <v>25990000</v>
      </c>
      <c r="D93">
        <v>24990000</v>
      </c>
      <c r="E93" t="s">
        <v>203</v>
      </c>
      <c r="F93" t="s">
        <v>12</v>
      </c>
      <c r="G93" t="str">
        <f>_xlfn.TEXTJOIN(",",TRUE,_xlfn._xlws.FILTER(GPU_brand[GPU brand], (GPU_brand[GPU brand text]&lt;&gt;"") * ISNUMBER(SEARCH(GPU_brand[GPU brand text], B93)), ""))</f>
        <v>ASUS</v>
      </c>
      <c r="H93" t="s">
        <v>13</v>
      </c>
      <c r="I93" t="s">
        <v>45</v>
      </c>
    </row>
    <row r="94" spans="1:9" hidden="1" x14ac:dyDescent="0.35">
      <c r="A94" t="s">
        <v>9</v>
      </c>
      <c r="B94" t="s">
        <v>204</v>
      </c>
      <c r="C94">
        <v>29490000</v>
      </c>
      <c r="D94">
        <v>25490000</v>
      </c>
      <c r="E94" t="s">
        <v>205</v>
      </c>
      <c r="F94" t="s">
        <v>12</v>
      </c>
      <c r="G94" t="str">
        <f>_xlfn.TEXTJOIN(",",TRUE,_xlfn._xlws.FILTER(GPU_brand[GPU brand], (GPU_brand[GPU brand text]&lt;&gt;"") * ISNUMBER(SEARCH(GPU_brand[GPU brand text], B94)), ""))</f>
        <v>ASUS</v>
      </c>
      <c r="H94" t="s">
        <v>13</v>
      </c>
      <c r="I94" t="s">
        <v>45</v>
      </c>
    </row>
    <row r="95" spans="1:9" hidden="1" x14ac:dyDescent="0.35">
      <c r="A95" t="s">
        <v>9</v>
      </c>
      <c r="B95" t="s">
        <v>206</v>
      </c>
      <c r="C95">
        <v>29990000</v>
      </c>
      <c r="D95">
        <v>26490000</v>
      </c>
      <c r="E95" t="s">
        <v>207</v>
      </c>
      <c r="F95" t="s">
        <v>12</v>
      </c>
      <c r="G95" t="str">
        <f>_xlfn.TEXTJOIN(",",TRUE,_xlfn._xlws.FILTER(GPU_brand[GPU brand], (GPU_brand[GPU brand text]&lt;&gt;"") * ISNUMBER(SEARCH(GPU_brand[GPU brand text], B95)), ""))</f>
        <v>ASUS</v>
      </c>
      <c r="H95" t="s">
        <v>13</v>
      </c>
      <c r="I95" t="s">
        <v>45</v>
      </c>
    </row>
    <row r="96" spans="1:9" hidden="1" x14ac:dyDescent="0.35">
      <c r="A96" t="s">
        <v>9</v>
      </c>
      <c r="B96" t="s">
        <v>208</v>
      </c>
      <c r="C96">
        <v>0</v>
      </c>
      <c r="D96">
        <v>39490000</v>
      </c>
      <c r="E96" t="s">
        <v>209</v>
      </c>
      <c r="F96" t="s">
        <v>12</v>
      </c>
      <c r="G96" t="str">
        <f>_xlfn.TEXTJOIN(",",TRUE,_xlfn._xlws.FILTER(GPU_brand[GPU brand], (GPU_brand[GPU brand text]&lt;&gt;"") * ISNUMBER(SEARCH(GPU_brand[GPU brand text], B96)), ""))</f>
        <v>ASUS</v>
      </c>
      <c r="H96" t="s">
        <v>16</v>
      </c>
      <c r="I96" t="s">
        <v>17</v>
      </c>
    </row>
    <row r="97" spans="1:9" hidden="1" x14ac:dyDescent="0.35">
      <c r="A97" t="s">
        <v>9</v>
      </c>
      <c r="B97" t="s">
        <v>210</v>
      </c>
      <c r="C97">
        <v>0</v>
      </c>
      <c r="D97">
        <v>39990000</v>
      </c>
      <c r="E97" t="s">
        <v>211</v>
      </c>
      <c r="F97" t="s">
        <v>12</v>
      </c>
      <c r="G97" t="str">
        <f>_xlfn.TEXTJOIN(",",TRUE,_xlfn._xlws.FILTER(GPU_brand[GPU brand], (GPU_brand[GPU brand text]&lt;&gt;"") * ISNUMBER(SEARCH(GPU_brand[GPU brand text], B97)), ""))</f>
        <v>ASUS</v>
      </c>
      <c r="H97" t="s">
        <v>16</v>
      </c>
      <c r="I97" t="s">
        <v>17</v>
      </c>
    </row>
    <row r="98" spans="1:9" hidden="1" x14ac:dyDescent="0.35">
      <c r="A98" t="s">
        <v>9</v>
      </c>
      <c r="B98" t="s">
        <v>212</v>
      </c>
      <c r="C98">
        <v>26990000</v>
      </c>
      <c r="D98">
        <v>25990000</v>
      </c>
      <c r="E98" t="s">
        <v>213</v>
      </c>
      <c r="F98" t="s">
        <v>12</v>
      </c>
      <c r="G98" t="str">
        <f>_xlfn.TEXTJOIN(",",TRUE,_xlfn._xlws.FILTER(GPU_brand[GPU brand], (GPU_brand[GPU brand text]&lt;&gt;"") * ISNUMBER(SEARCH(GPU_brand[GPU brand text], B98)), ""))</f>
        <v>Gigabyte</v>
      </c>
      <c r="H98" t="s">
        <v>13</v>
      </c>
      <c r="I98" t="s">
        <v>45</v>
      </c>
    </row>
    <row r="99" spans="1:9" hidden="1" x14ac:dyDescent="0.35">
      <c r="A99" t="s">
        <v>9</v>
      </c>
      <c r="B99" t="s">
        <v>214</v>
      </c>
      <c r="C99">
        <v>25990000</v>
      </c>
      <c r="D99">
        <v>24990000</v>
      </c>
      <c r="E99" t="s">
        <v>215</v>
      </c>
      <c r="F99" t="s">
        <v>12</v>
      </c>
      <c r="G99" t="str">
        <f>_xlfn.TEXTJOIN(",",TRUE,_xlfn._xlws.FILTER(GPU_brand[GPU brand], (GPU_brand[GPU brand text]&lt;&gt;"") * ISNUMBER(SEARCH(GPU_brand[GPU brand text], B99)), ""))</f>
        <v>Gigabyte</v>
      </c>
      <c r="H99" t="s">
        <v>13</v>
      </c>
      <c r="I99" t="s">
        <v>45</v>
      </c>
    </row>
    <row r="100" spans="1:9" hidden="1" x14ac:dyDescent="0.35">
      <c r="A100" t="s">
        <v>9</v>
      </c>
      <c r="B100" t="s">
        <v>216</v>
      </c>
      <c r="C100">
        <v>26490000</v>
      </c>
      <c r="D100">
        <v>25490000</v>
      </c>
      <c r="E100" t="s">
        <v>217</v>
      </c>
      <c r="F100" t="s">
        <v>12</v>
      </c>
      <c r="G100" t="str">
        <f>_xlfn.TEXTJOIN(",",TRUE,_xlfn._xlws.FILTER(GPU_brand[GPU brand], (GPU_brand[GPU brand text]&lt;&gt;"") * ISNUMBER(SEARCH(GPU_brand[GPU brand text], B100)), ""))</f>
        <v>Gigabyte</v>
      </c>
      <c r="H100" t="s">
        <v>13</v>
      </c>
      <c r="I100" t="s">
        <v>45</v>
      </c>
    </row>
    <row r="101" spans="1:9" hidden="1" x14ac:dyDescent="0.35">
      <c r="A101" t="s">
        <v>9</v>
      </c>
      <c r="B101" t="s">
        <v>218</v>
      </c>
      <c r="C101">
        <v>27490000</v>
      </c>
      <c r="D101">
        <v>26990000</v>
      </c>
      <c r="E101" t="s">
        <v>219</v>
      </c>
      <c r="F101" t="s">
        <v>12</v>
      </c>
      <c r="G101" t="str">
        <f>_xlfn.TEXTJOIN(",",TRUE,_xlfn._xlws.FILTER(GPU_brand[GPU brand], (GPU_brand[GPU brand text]&lt;&gt;"") * ISNUMBER(SEARCH(GPU_brand[GPU brand text], B101)), ""))</f>
        <v>Gigabyte</v>
      </c>
      <c r="H101" t="s">
        <v>13</v>
      </c>
      <c r="I101" t="s">
        <v>45</v>
      </c>
    </row>
    <row r="102" spans="1:9" hidden="1" x14ac:dyDescent="0.35">
      <c r="A102" t="s">
        <v>9</v>
      </c>
      <c r="B102" t="s">
        <v>220</v>
      </c>
      <c r="C102">
        <v>35990000</v>
      </c>
      <c r="D102">
        <v>31990000</v>
      </c>
      <c r="E102" t="s">
        <v>221</v>
      </c>
      <c r="F102" t="s">
        <v>12</v>
      </c>
      <c r="G102" t="str">
        <f>_xlfn.TEXTJOIN(",",TRUE,_xlfn._xlws.FILTER(GPU_brand[GPU brand], (GPU_brand[GPU brand text]&lt;&gt;"") * ISNUMBER(SEARCH(GPU_brand[GPU brand text], B102)), ""))</f>
        <v>Gigabyte</v>
      </c>
      <c r="H102" t="s">
        <v>16</v>
      </c>
      <c r="I102" t="s">
        <v>17</v>
      </c>
    </row>
    <row r="103" spans="1:9" hidden="1" x14ac:dyDescent="0.35">
      <c r="A103" t="s">
        <v>9</v>
      </c>
      <c r="B103" t="s">
        <v>222</v>
      </c>
      <c r="C103">
        <v>35790000</v>
      </c>
      <c r="D103">
        <v>33990000</v>
      </c>
      <c r="E103" t="s">
        <v>223</v>
      </c>
      <c r="F103" t="s">
        <v>12</v>
      </c>
      <c r="G103" t="str">
        <f>_xlfn.TEXTJOIN(",",TRUE,_xlfn._xlws.FILTER(GPU_brand[GPU brand], (GPU_brand[GPU brand text]&lt;&gt;"") * ISNUMBER(SEARCH(GPU_brand[GPU brand text], B103)), ""))</f>
        <v>Gigabyte</v>
      </c>
      <c r="H103" t="s">
        <v>16</v>
      </c>
      <c r="I103" t="s">
        <v>17</v>
      </c>
    </row>
    <row r="104" spans="1:9" hidden="1" x14ac:dyDescent="0.35">
      <c r="A104" t="s">
        <v>9</v>
      </c>
      <c r="B104" t="s">
        <v>224</v>
      </c>
      <c r="C104">
        <v>33390000</v>
      </c>
      <c r="D104">
        <v>30990000</v>
      </c>
      <c r="E104" t="s">
        <v>225</v>
      </c>
      <c r="F104" t="s">
        <v>12</v>
      </c>
      <c r="G104" t="str">
        <f>_xlfn.TEXTJOIN(",",TRUE,_xlfn._xlws.FILTER(GPU_brand[GPU brand], (GPU_brand[GPU brand text]&lt;&gt;"") * ISNUMBER(SEARCH(GPU_brand[GPU brand text], B104)), ""))</f>
        <v>Gigabyte</v>
      </c>
      <c r="H104" t="s">
        <v>16</v>
      </c>
      <c r="I104" t="s">
        <v>17</v>
      </c>
    </row>
    <row r="105" spans="1:9" hidden="1" x14ac:dyDescent="0.35">
      <c r="A105" t="s">
        <v>9</v>
      </c>
      <c r="B105" t="s">
        <v>226</v>
      </c>
      <c r="C105">
        <v>0</v>
      </c>
      <c r="D105">
        <v>33990000</v>
      </c>
      <c r="E105" t="s">
        <v>227</v>
      </c>
      <c r="F105" t="s">
        <v>12</v>
      </c>
      <c r="G105" t="str">
        <f>_xlfn.TEXTJOIN(",",TRUE,_xlfn._xlws.FILTER(GPU_brand[GPU brand], (GPU_brand[GPU brand text]&lt;&gt;"") * ISNUMBER(SEARCH(GPU_brand[GPU brand text], B105)), ""))</f>
        <v>Gigabyte</v>
      </c>
      <c r="H105" t="s">
        <v>16</v>
      </c>
      <c r="I105" t="s">
        <v>17</v>
      </c>
    </row>
    <row r="106" spans="1:9" hidden="1" x14ac:dyDescent="0.35">
      <c r="A106" t="s">
        <v>9</v>
      </c>
      <c r="B106" t="s">
        <v>228</v>
      </c>
      <c r="C106">
        <v>0</v>
      </c>
      <c r="D106">
        <v>36490000</v>
      </c>
      <c r="E106" t="s">
        <v>229</v>
      </c>
      <c r="F106" t="s">
        <v>12</v>
      </c>
      <c r="G106" t="str">
        <f>_xlfn.TEXTJOIN(",",TRUE,_xlfn._xlws.FILTER(GPU_brand[GPU brand], (GPU_brand[GPU brand text]&lt;&gt;"") * ISNUMBER(SEARCH(GPU_brand[GPU brand text], B106)), ""))</f>
        <v>Gigabyte</v>
      </c>
      <c r="H106" t="s">
        <v>16</v>
      </c>
      <c r="I106" t="s">
        <v>17</v>
      </c>
    </row>
    <row r="107" spans="1:9" hidden="1" x14ac:dyDescent="0.35">
      <c r="A107" t="s">
        <v>9</v>
      </c>
      <c r="B107" t="s">
        <v>230</v>
      </c>
      <c r="C107">
        <v>45990000</v>
      </c>
      <c r="D107">
        <v>43990000</v>
      </c>
      <c r="E107" t="s">
        <v>231</v>
      </c>
      <c r="F107" t="s">
        <v>12</v>
      </c>
      <c r="G107" t="str">
        <f>_xlfn.TEXTJOIN(",",TRUE,_xlfn._xlws.FILTER(GPU_brand[GPU brand], (GPU_brand[GPU brand text]&lt;&gt;"") * ISNUMBER(SEARCH(GPU_brand[GPU brand text], B107)), ""))</f>
        <v>Gigabyte</v>
      </c>
      <c r="H107" t="s">
        <v>40</v>
      </c>
      <c r="I107" t="s">
        <v>17</v>
      </c>
    </row>
    <row r="108" spans="1:9" hidden="1" x14ac:dyDescent="0.35">
      <c r="A108" t="s">
        <v>9</v>
      </c>
      <c r="B108" t="s">
        <v>232</v>
      </c>
      <c r="C108">
        <v>47990000</v>
      </c>
      <c r="D108">
        <v>44990000</v>
      </c>
      <c r="E108" t="s">
        <v>233</v>
      </c>
      <c r="F108" t="s">
        <v>12</v>
      </c>
      <c r="G108" t="str">
        <f>_xlfn.TEXTJOIN(",",TRUE,_xlfn._xlws.FILTER(GPU_brand[GPU brand], (GPU_brand[GPU brand text]&lt;&gt;"") * ISNUMBER(SEARCH(GPU_brand[GPU brand text], B108)), ""))</f>
        <v>Gigabyte</v>
      </c>
      <c r="H108" t="s">
        <v>40</v>
      </c>
      <c r="I108" t="s">
        <v>17</v>
      </c>
    </row>
    <row r="109" spans="1:9" hidden="1" x14ac:dyDescent="0.35">
      <c r="A109" t="s">
        <v>9</v>
      </c>
      <c r="B109" t="s">
        <v>234</v>
      </c>
      <c r="C109">
        <v>47490000</v>
      </c>
      <c r="D109">
        <v>44990000</v>
      </c>
      <c r="E109" t="s">
        <v>235</v>
      </c>
      <c r="F109" t="s">
        <v>12</v>
      </c>
      <c r="G109" t="str">
        <f>_xlfn.TEXTJOIN(",",TRUE,_xlfn._xlws.FILTER(GPU_brand[GPU brand], (GPU_brand[GPU brand text]&lt;&gt;"") * ISNUMBER(SEARCH(GPU_brand[GPU brand text], B109)), ""))</f>
        <v>Gigabyte</v>
      </c>
      <c r="H109" t="s">
        <v>40</v>
      </c>
      <c r="I109" t="s">
        <v>17</v>
      </c>
    </row>
    <row r="110" spans="1:9" hidden="1" x14ac:dyDescent="0.35">
      <c r="A110" t="s">
        <v>9</v>
      </c>
      <c r="B110" t="s">
        <v>236</v>
      </c>
      <c r="C110">
        <v>0</v>
      </c>
      <c r="D110">
        <v>49990000</v>
      </c>
      <c r="E110" t="s">
        <v>237</v>
      </c>
      <c r="F110" t="s">
        <v>12</v>
      </c>
      <c r="G110" t="str">
        <f>_xlfn.TEXTJOIN(",",TRUE,_xlfn._xlws.FILTER(GPU_brand[GPU brand], (GPU_brand[GPU brand text]&lt;&gt;"") * ISNUMBER(SEARCH(GPU_brand[GPU brand text], B110)), ""))</f>
        <v>Gigabyte</v>
      </c>
      <c r="H110" t="s">
        <v>40</v>
      </c>
      <c r="I110" t="s">
        <v>17</v>
      </c>
    </row>
    <row r="111" spans="1:9" hidden="1" x14ac:dyDescent="0.35">
      <c r="A111" t="s">
        <v>9</v>
      </c>
      <c r="B111" t="s">
        <v>238</v>
      </c>
      <c r="C111">
        <v>0</v>
      </c>
      <c r="D111">
        <v>50990000</v>
      </c>
      <c r="E111" t="s">
        <v>239</v>
      </c>
      <c r="F111" t="s">
        <v>12</v>
      </c>
      <c r="G111" t="str">
        <f>_xlfn.TEXTJOIN(",",TRUE,_xlfn._xlws.FILTER(GPU_brand[GPU brand], (GPU_brand[GPU brand text]&lt;&gt;"") * ISNUMBER(SEARCH(GPU_brand[GPU brand text], B111)), ""))</f>
        <v>Gigabyte</v>
      </c>
      <c r="H111" t="s">
        <v>40</v>
      </c>
      <c r="I111" t="s">
        <v>17</v>
      </c>
    </row>
    <row r="112" spans="1:9" hidden="1" x14ac:dyDescent="0.35">
      <c r="A112" t="s">
        <v>9</v>
      </c>
      <c r="B112" t="s">
        <v>240</v>
      </c>
      <c r="C112">
        <v>0</v>
      </c>
      <c r="D112">
        <v>51990000</v>
      </c>
      <c r="E112" t="s">
        <v>241</v>
      </c>
      <c r="F112" t="s">
        <v>12</v>
      </c>
      <c r="G112" t="str">
        <f>_xlfn.TEXTJOIN(",",TRUE,_xlfn._xlws.FILTER(GPU_brand[GPU brand], (GPU_brand[GPU brand text]&lt;&gt;"") * ISNUMBER(SEARCH(GPU_brand[GPU brand text], B112)), ""))</f>
        <v>Gigabyte</v>
      </c>
      <c r="H112" t="s">
        <v>40</v>
      </c>
      <c r="I112" t="s">
        <v>17</v>
      </c>
    </row>
    <row r="113" spans="1:9" hidden="1" x14ac:dyDescent="0.35">
      <c r="A113" t="s">
        <v>9</v>
      </c>
      <c r="B113" t="s">
        <v>242</v>
      </c>
      <c r="C113">
        <v>54990000</v>
      </c>
      <c r="D113">
        <v>51990000</v>
      </c>
      <c r="E113" t="s">
        <v>243</v>
      </c>
      <c r="F113" t="s">
        <v>12</v>
      </c>
      <c r="G113" t="str">
        <f>_xlfn.TEXTJOIN(",",TRUE,_xlfn._xlws.FILTER(GPU_brand[GPU brand], (GPU_brand[GPU brand text]&lt;&gt;"") * ISNUMBER(SEARCH(GPU_brand[GPU brand text], B113)), ""))</f>
        <v>Gigabyte</v>
      </c>
      <c r="H113" t="s">
        <v>40</v>
      </c>
      <c r="I113" t="s">
        <v>17</v>
      </c>
    </row>
    <row r="114" spans="1:9" hidden="1" x14ac:dyDescent="0.35">
      <c r="A114" t="s">
        <v>9</v>
      </c>
      <c r="B114" t="s">
        <v>244</v>
      </c>
      <c r="C114">
        <v>105990000</v>
      </c>
      <c r="D114">
        <v>102990000</v>
      </c>
      <c r="E114" t="s">
        <v>245</v>
      </c>
      <c r="F114" t="s">
        <v>12</v>
      </c>
      <c r="G114" t="str">
        <f>_xlfn.TEXTJOIN(",",TRUE,_xlfn._xlws.FILTER(GPU_brand[GPU brand], (GPU_brand[GPU brand text]&lt;&gt;"") * ISNUMBER(SEARCH(GPU_brand[GPU brand text], B114)), ""))</f>
        <v>Gigabyte</v>
      </c>
      <c r="H114" t="str">
        <f>_xlfn.TEXTJOIN(",",TRUE,_xlfn._xlws.FILTER(Chipset_Table[Chipset], (Chipset_Table[Chipset text]&lt;&gt;"") * ISNUMBER(SEARCH(Chipset_Table[Chipset text], B114)), ""))</f>
        <v>GeForce RTX 5090</v>
      </c>
      <c r="I114" t="s">
        <v>20</v>
      </c>
    </row>
    <row r="115" spans="1:9" hidden="1" x14ac:dyDescent="0.35">
      <c r="A115" t="s">
        <v>9</v>
      </c>
      <c r="B115" t="s">
        <v>246</v>
      </c>
      <c r="C115">
        <v>119000000</v>
      </c>
      <c r="D115">
        <v>114990000</v>
      </c>
      <c r="E115" t="s">
        <v>247</v>
      </c>
      <c r="F115" t="s">
        <v>12</v>
      </c>
      <c r="G115" t="str">
        <f>_xlfn.TEXTJOIN(",",TRUE,_xlfn._xlws.FILTER(GPU_brand[GPU brand], (GPU_brand[GPU brand text]&lt;&gt;"") * ISNUMBER(SEARCH(GPU_brand[GPU brand text], B115)), ""))</f>
        <v>Gigabyte</v>
      </c>
      <c r="H115" t="str">
        <f>_xlfn.TEXTJOIN(",",TRUE,_xlfn._xlws.FILTER(Chipset_Table[Chipset], (Chipset_Table[Chipset text]&lt;&gt;"") * ISNUMBER(SEARCH(Chipset_Table[Chipset text], B115)), ""))</f>
        <v>GeForce RTX 5090</v>
      </c>
      <c r="I115" t="s">
        <v>20</v>
      </c>
    </row>
    <row r="116" spans="1:9" hidden="1" x14ac:dyDescent="0.35">
      <c r="A116" t="s">
        <v>9</v>
      </c>
      <c r="B116" t="s">
        <v>248</v>
      </c>
      <c r="C116">
        <v>110000000</v>
      </c>
      <c r="D116">
        <v>99990000</v>
      </c>
      <c r="E116" t="s">
        <v>249</v>
      </c>
      <c r="F116" t="s">
        <v>12</v>
      </c>
      <c r="G116" t="str">
        <f>_xlfn.TEXTJOIN(",",TRUE,_xlfn._xlws.FILTER(GPU_brand[GPU brand], (GPU_brand[GPU brand text]&lt;&gt;"") * ISNUMBER(SEARCH(GPU_brand[GPU brand text], B116)), ""))</f>
        <v>Gigabyte</v>
      </c>
      <c r="H116" t="str">
        <f>_xlfn.TEXTJOIN(",",TRUE,_xlfn._xlws.FILTER(Chipset_Table[Chipset], (Chipset_Table[Chipset text]&lt;&gt;"") * ISNUMBER(SEARCH(Chipset_Table[Chipset text], B116)), ""))</f>
        <v>GeForce RTX 5090</v>
      </c>
      <c r="I116" t="s">
        <v>20</v>
      </c>
    </row>
    <row r="117" spans="1:9" hidden="1" x14ac:dyDescent="0.35">
      <c r="A117" t="s">
        <v>9</v>
      </c>
      <c r="B117" t="s">
        <v>250</v>
      </c>
      <c r="C117">
        <v>120000000</v>
      </c>
      <c r="D117">
        <v>109990000</v>
      </c>
      <c r="E117" t="s">
        <v>251</v>
      </c>
      <c r="F117" t="s">
        <v>12</v>
      </c>
      <c r="G117" t="str">
        <f>_xlfn.TEXTJOIN(",",TRUE,_xlfn._xlws.FILTER(GPU_brand[GPU brand], (GPU_brand[GPU brand text]&lt;&gt;"") * ISNUMBER(SEARCH(GPU_brand[GPU brand text], B117)), ""))</f>
        <v>Gigabyte</v>
      </c>
      <c r="H117" t="str">
        <f>_xlfn.TEXTJOIN(",",TRUE,_xlfn._xlws.FILTER(Chipset_Table[Chipset], (Chipset_Table[Chipset text]&lt;&gt;"") * ISNUMBER(SEARCH(Chipset_Table[Chipset text], B117)), ""))</f>
        <v>GeForce RTX 5090</v>
      </c>
      <c r="I117" t="s">
        <v>20</v>
      </c>
    </row>
    <row r="118" spans="1:9" hidden="1" x14ac:dyDescent="0.35">
      <c r="A118" t="s">
        <v>9</v>
      </c>
      <c r="B118" t="s">
        <v>252</v>
      </c>
      <c r="C118">
        <v>118990000</v>
      </c>
      <c r="D118">
        <v>113990000</v>
      </c>
      <c r="E118" t="s">
        <v>253</v>
      </c>
      <c r="F118" t="s">
        <v>12</v>
      </c>
      <c r="G118" t="str">
        <f>_xlfn.TEXTJOIN(",",TRUE,_xlfn._xlws.FILTER(GPU_brand[GPU brand], (GPU_brand[GPU brand text]&lt;&gt;"") * ISNUMBER(SEARCH(GPU_brand[GPU brand text], B118)), ""))</f>
        <v>Gigabyte</v>
      </c>
      <c r="H118" t="str">
        <f>_xlfn.TEXTJOIN(",",TRUE,_xlfn._xlws.FILTER(Chipset_Table[Chipset], (Chipset_Table[Chipset text]&lt;&gt;"") * ISNUMBER(SEARCH(Chipset_Table[Chipset text], B118)), ""))</f>
        <v>GeForce RTX 5090</v>
      </c>
      <c r="I118" t="s">
        <v>20</v>
      </c>
    </row>
    <row r="119" spans="1:9" hidden="1" x14ac:dyDescent="0.35">
      <c r="A119" t="s">
        <v>9</v>
      </c>
      <c r="B119" t="s">
        <v>254</v>
      </c>
      <c r="C119">
        <v>0</v>
      </c>
      <c r="D119">
        <v>21690000</v>
      </c>
      <c r="E119" t="s">
        <v>255</v>
      </c>
      <c r="F119" t="s">
        <v>12</v>
      </c>
      <c r="G119" t="str">
        <f>_xlfn.TEXTJOIN(",",TRUE,_xlfn._xlws.FILTER(GPU_brand[GPU brand], (GPU_brand[GPU brand text]&lt;&gt;"") * ISNUMBER(SEARCH(GPU_brand[GPU brand text], B119)), ""))</f>
        <v>MSI</v>
      </c>
      <c r="H119" t="s">
        <v>13</v>
      </c>
      <c r="I119" t="s">
        <v>45</v>
      </c>
    </row>
    <row r="120" spans="1:9" hidden="1" x14ac:dyDescent="0.35">
      <c r="A120" t="s">
        <v>9</v>
      </c>
      <c r="B120" t="s">
        <v>256</v>
      </c>
      <c r="C120">
        <v>21490000</v>
      </c>
      <c r="D120">
        <v>19490000</v>
      </c>
      <c r="E120" t="s">
        <v>257</v>
      </c>
      <c r="F120" t="s">
        <v>12</v>
      </c>
      <c r="G120" t="str">
        <f>_xlfn.TEXTJOIN(",",TRUE,_xlfn._xlws.FILTER(GPU_brand[GPU brand], (GPU_brand[GPU brand text]&lt;&gt;"") * ISNUMBER(SEARCH(GPU_brand[GPU brand text], B120)), ""))</f>
        <v>MSI</v>
      </c>
      <c r="H120" t="s">
        <v>13</v>
      </c>
      <c r="I120" t="s">
        <v>45</v>
      </c>
    </row>
    <row r="121" spans="1:9" hidden="1" x14ac:dyDescent="0.35">
      <c r="A121" t="s">
        <v>9</v>
      </c>
      <c r="B121" t="s">
        <v>258</v>
      </c>
      <c r="C121">
        <v>21990000</v>
      </c>
      <c r="D121">
        <v>20690000</v>
      </c>
      <c r="E121" t="s">
        <v>259</v>
      </c>
      <c r="F121" t="s">
        <v>12</v>
      </c>
      <c r="G121" t="str">
        <f>_xlfn.TEXTJOIN(",",TRUE,_xlfn._xlws.FILTER(GPU_brand[GPU brand], (GPU_brand[GPU brand text]&lt;&gt;"") * ISNUMBER(SEARCH(GPU_brand[GPU brand text], B121)), ""))</f>
        <v>MSI</v>
      </c>
      <c r="H121" t="s">
        <v>13</v>
      </c>
      <c r="I121" t="s">
        <v>45</v>
      </c>
    </row>
    <row r="122" spans="1:9" hidden="1" x14ac:dyDescent="0.35">
      <c r="A122" t="s">
        <v>9</v>
      </c>
      <c r="B122" t="s">
        <v>260</v>
      </c>
      <c r="C122">
        <v>21790000</v>
      </c>
      <c r="D122">
        <v>20790000</v>
      </c>
      <c r="E122" t="s">
        <v>261</v>
      </c>
      <c r="F122" t="s">
        <v>12</v>
      </c>
      <c r="G122" t="str">
        <f>_xlfn.TEXTJOIN(",",TRUE,_xlfn._xlws.FILTER(GPU_brand[GPU brand], (GPU_brand[GPU brand text]&lt;&gt;"") * ISNUMBER(SEARCH(GPU_brand[GPU brand text], B122)), ""))</f>
        <v>MSI</v>
      </c>
      <c r="H122" t="s">
        <v>13</v>
      </c>
      <c r="I122" t="s">
        <v>45</v>
      </c>
    </row>
    <row r="123" spans="1:9" hidden="1" x14ac:dyDescent="0.35">
      <c r="A123" t="s">
        <v>9</v>
      </c>
      <c r="B123" t="s">
        <v>262</v>
      </c>
      <c r="C123">
        <v>0</v>
      </c>
      <c r="D123">
        <v>22490000</v>
      </c>
      <c r="E123" t="s">
        <v>263</v>
      </c>
      <c r="F123" t="s">
        <v>12</v>
      </c>
      <c r="G123" t="str">
        <f>_xlfn.TEXTJOIN(",",TRUE,_xlfn._xlws.FILTER(GPU_brand[GPU brand], (GPU_brand[GPU brand text]&lt;&gt;"") * ISNUMBER(SEARCH(GPU_brand[GPU brand text], B123)), ""))</f>
        <v>MSI</v>
      </c>
      <c r="H123" t="s">
        <v>13</v>
      </c>
      <c r="I123" t="s">
        <v>45</v>
      </c>
    </row>
    <row r="124" spans="1:9" hidden="1" x14ac:dyDescent="0.35">
      <c r="A124" t="s">
        <v>9</v>
      </c>
      <c r="B124" t="s">
        <v>264</v>
      </c>
      <c r="C124">
        <v>0</v>
      </c>
      <c r="D124">
        <v>23490000</v>
      </c>
      <c r="E124" t="s">
        <v>265</v>
      </c>
      <c r="F124" t="s">
        <v>12</v>
      </c>
      <c r="G124" t="str">
        <f>_xlfn.TEXTJOIN(",",TRUE,_xlfn._xlws.FILTER(GPU_brand[GPU brand], (GPU_brand[GPU brand text]&lt;&gt;"") * ISNUMBER(SEARCH(GPU_brand[GPU brand text], B124)), ""))</f>
        <v>MSI</v>
      </c>
      <c r="H124" t="s">
        <v>13</v>
      </c>
      <c r="I124" t="s">
        <v>45</v>
      </c>
    </row>
    <row r="125" spans="1:9" hidden="1" x14ac:dyDescent="0.35">
      <c r="A125" t="s">
        <v>9</v>
      </c>
      <c r="B125" t="s">
        <v>266</v>
      </c>
      <c r="C125">
        <v>24990000</v>
      </c>
      <c r="D125">
        <v>23890000</v>
      </c>
      <c r="E125" t="s">
        <v>267</v>
      </c>
      <c r="F125" t="s">
        <v>12</v>
      </c>
      <c r="G125" t="str">
        <f>_xlfn.TEXTJOIN(",",TRUE,_xlfn._xlws.FILTER(GPU_brand[GPU brand], (GPU_brand[GPU brand text]&lt;&gt;"") * ISNUMBER(SEARCH(GPU_brand[GPU brand text], B125)), ""))</f>
        <v>MSI</v>
      </c>
      <c r="H125" t="s">
        <v>13</v>
      </c>
      <c r="I125" t="s">
        <v>45</v>
      </c>
    </row>
    <row r="126" spans="1:9" hidden="1" x14ac:dyDescent="0.35">
      <c r="A126" t="s">
        <v>9</v>
      </c>
      <c r="B126" t="s">
        <v>268</v>
      </c>
      <c r="C126">
        <v>0</v>
      </c>
      <c r="D126">
        <v>28990000</v>
      </c>
      <c r="E126" t="s">
        <v>269</v>
      </c>
      <c r="F126" t="s">
        <v>12</v>
      </c>
      <c r="G126" t="str">
        <f>_xlfn.TEXTJOIN(",",TRUE,_xlfn._xlws.FILTER(GPU_brand[GPU brand], (GPU_brand[GPU brand text]&lt;&gt;"") * ISNUMBER(SEARCH(GPU_brand[GPU brand text], B126)), ""))</f>
        <v>MSI</v>
      </c>
      <c r="H126" t="s">
        <v>16</v>
      </c>
      <c r="I126" t="s">
        <v>17</v>
      </c>
    </row>
    <row r="127" spans="1:9" hidden="1" x14ac:dyDescent="0.35">
      <c r="A127" t="s">
        <v>9</v>
      </c>
      <c r="B127" t="s">
        <v>270</v>
      </c>
      <c r="C127">
        <v>0</v>
      </c>
      <c r="D127">
        <v>29990000</v>
      </c>
      <c r="E127" t="s">
        <v>271</v>
      </c>
      <c r="F127" t="s">
        <v>12</v>
      </c>
      <c r="G127" t="str">
        <f>_xlfn.TEXTJOIN(",",TRUE,_xlfn._xlws.FILTER(GPU_brand[GPU brand], (GPU_brand[GPU brand text]&lt;&gt;"") * ISNUMBER(SEARCH(GPU_brand[GPU brand text], B127)), ""))</f>
        <v>MSI</v>
      </c>
      <c r="H127" t="s">
        <v>16</v>
      </c>
      <c r="I127" t="s">
        <v>17</v>
      </c>
    </row>
    <row r="128" spans="1:9" hidden="1" x14ac:dyDescent="0.35">
      <c r="A128" t="s">
        <v>9</v>
      </c>
      <c r="B128" t="s">
        <v>272</v>
      </c>
      <c r="C128">
        <v>0</v>
      </c>
      <c r="D128">
        <v>29490000</v>
      </c>
      <c r="E128" t="s">
        <v>273</v>
      </c>
      <c r="F128" t="s">
        <v>12</v>
      </c>
      <c r="G128" t="str">
        <f>_xlfn.TEXTJOIN(",",TRUE,_xlfn._xlws.FILTER(GPU_brand[GPU brand], (GPU_brand[GPU brand text]&lt;&gt;"") * ISNUMBER(SEARCH(GPU_brand[GPU brand text], B128)), ""))</f>
        <v>MSI</v>
      </c>
      <c r="H128" t="s">
        <v>16</v>
      </c>
      <c r="I128" t="s">
        <v>17</v>
      </c>
    </row>
    <row r="129" spans="1:9" hidden="1" x14ac:dyDescent="0.35">
      <c r="A129" t="s">
        <v>9</v>
      </c>
      <c r="B129" t="s">
        <v>274</v>
      </c>
      <c r="C129">
        <v>32990000</v>
      </c>
      <c r="D129">
        <v>31490000</v>
      </c>
      <c r="E129" t="s">
        <v>275</v>
      </c>
      <c r="F129" t="s">
        <v>12</v>
      </c>
      <c r="G129" t="str">
        <f>_xlfn.TEXTJOIN(",",TRUE,_xlfn._xlws.FILTER(GPU_brand[GPU brand], (GPU_brand[GPU brand text]&lt;&gt;"") * ISNUMBER(SEARCH(GPU_brand[GPU brand text], B129)), ""))</f>
        <v>MSI</v>
      </c>
      <c r="H129" t="s">
        <v>16</v>
      </c>
      <c r="I129" t="s">
        <v>17</v>
      </c>
    </row>
    <row r="130" spans="1:9" hidden="1" x14ac:dyDescent="0.35">
      <c r="A130" t="s">
        <v>9</v>
      </c>
      <c r="B130" t="s">
        <v>276</v>
      </c>
      <c r="C130">
        <v>53990000</v>
      </c>
      <c r="D130">
        <v>48990000</v>
      </c>
      <c r="E130" t="s">
        <v>277</v>
      </c>
      <c r="F130" t="s">
        <v>12</v>
      </c>
      <c r="G130" t="str">
        <f>_xlfn.TEXTJOIN(",",TRUE,_xlfn._xlws.FILTER(GPU_brand[GPU brand], (GPU_brand[GPU brand text]&lt;&gt;"") * ISNUMBER(SEARCH(GPU_brand[GPU brand text], B130)), ""))</f>
        <v>MSI</v>
      </c>
      <c r="H130" t="s">
        <v>40</v>
      </c>
      <c r="I130" t="s">
        <v>17</v>
      </c>
    </row>
    <row r="131" spans="1:9" hidden="1" x14ac:dyDescent="0.35">
      <c r="A131" t="s">
        <v>9</v>
      </c>
      <c r="B131" t="s">
        <v>278</v>
      </c>
      <c r="C131">
        <v>42990000</v>
      </c>
      <c r="D131">
        <v>38990000</v>
      </c>
      <c r="E131" t="s">
        <v>279</v>
      </c>
      <c r="F131" t="s">
        <v>12</v>
      </c>
      <c r="G131" t="str">
        <f>_xlfn.TEXTJOIN(",",TRUE,_xlfn._xlws.FILTER(GPU_brand[GPU brand], (GPU_brand[GPU brand text]&lt;&gt;"") * ISNUMBER(SEARCH(GPU_brand[GPU brand text], B131)), ""))</f>
        <v>MSI</v>
      </c>
      <c r="H131" t="s">
        <v>40</v>
      </c>
      <c r="I131" t="s">
        <v>17</v>
      </c>
    </row>
    <row r="132" spans="1:9" hidden="1" x14ac:dyDescent="0.35">
      <c r="A132" t="s">
        <v>9</v>
      </c>
      <c r="B132" t="s">
        <v>280</v>
      </c>
      <c r="C132">
        <v>43990000</v>
      </c>
      <c r="D132">
        <v>42990000</v>
      </c>
      <c r="E132" t="s">
        <v>281</v>
      </c>
      <c r="F132" t="s">
        <v>12</v>
      </c>
      <c r="G132" t="str">
        <f>_xlfn.TEXTJOIN(",",TRUE,_xlfn._xlws.FILTER(GPU_brand[GPU brand], (GPU_brand[GPU brand text]&lt;&gt;"") * ISNUMBER(SEARCH(GPU_brand[GPU brand text], B132)), ""))</f>
        <v>MSI</v>
      </c>
      <c r="H132" t="s">
        <v>40</v>
      </c>
      <c r="I132" t="s">
        <v>17</v>
      </c>
    </row>
    <row r="133" spans="1:9" hidden="1" x14ac:dyDescent="0.35">
      <c r="A133" t="s">
        <v>9</v>
      </c>
      <c r="B133" t="s">
        <v>282</v>
      </c>
      <c r="C133">
        <v>45990000</v>
      </c>
      <c r="D133">
        <v>45490000</v>
      </c>
      <c r="E133" t="s">
        <v>283</v>
      </c>
      <c r="F133" t="s">
        <v>12</v>
      </c>
      <c r="G133" t="str">
        <f>_xlfn.TEXTJOIN(",",TRUE,_xlfn._xlws.FILTER(GPU_brand[GPU brand], (GPU_brand[GPU brand text]&lt;&gt;"") * ISNUMBER(SEARCH(GPU_brand[GPU brand text], B133)), ""))</f>
        <v>MSI</v>
      </c>
      <c r="H133" t="s">
        <v>40</v>
      </c>
      <c r="I133" t="s">
        <v>17</v>
      </c>
    </row>
    <row r="134" spans="1:9" hidden="1" x14ac:dyDescent="0.35">
      <c r="A134" t="s">
        <v>9</v>
      </c>
      <c r="B134" t="s">
        <v>284</v>
      </c>
      <c r="C134">
        <v>119990000</v>
      </c>
      <c r="D134">
        <v>114990000</v>
      </c>
      <c r="E134" t="s">
        <v>285</v>
      </c>
      <c r="F134" t="s">
        <v>12</v>
      </c>
      <c r="G134" t="str">
        <f>_xlfn.TEXTJOIN(",",TRUE,_xlfn._xlws.FILTER(GPU_brand[GPU brand], (GPU_brand[GPU brand text]&lt;&gt;"") * ISNUMBER(SEARCH(GPU_brand[GPU brand text], B134)), ""))</f>
        <v>MSI</v>
      </c>
      <c r="H134" t="str">
        <f>_xlfn.TEXTJOIN(",",TRUE,_xlfn._xlws.FILTER(Chipset_Table[Chipset], (Chipset_Table[Chipset text]&lt;&gt;"") * ISNUMBER(SEARCH(Chipset_Table[Chipset text], B134)), ""))</f>
        <v>GeForce RTX 5090</v>
      </c>
      <c r="I134" t="s">
        <v>20</v>
      </c>
    </row>
    <row r="135" spans="1:9" hidden="1" x14ac:dyDescent="0.35">
      <c r="A135" t="s">
        <v>9</v>
      </c>
      <c r="B135" t="s">
        <v>286</v>
      </c>
      <c r="C135">
        <v>134990000</v>
      </c>
      <c r="D135">
        <v>129990000</v>
      </c>
      <c r="E135" t="s">
        <v>287</v>
      </c>
      <c r="F135" t="s">
        <v>12</v>
      </c>
      <c r="G135" t="str">
        <f>_xlfn.TEXTJOIN(",",TRUE,_xlfn._xlws.FILTER(GPU_brand[GPU brand], (GPU_brand[GPU brand text]&lt;&gt;"") * ISNUMBER(SEARCH(GPU_brand[GPU brand text], B135)), ""))</f>
        <v>MSI</v>
      </c>
      <c r="H135" t="str">
        <f>_xlfn.TEXTJOIN(",",TRUE,_xlfn._xlws.FILTER(Chipset_Table[Chipset], (Chipset_Table[Chipset text]&lt;&gt;"") * ISNUMBER(SEARCH(Chipset_Table[Chipset text], B135)), ""))</f>
        <v>GeForce RTX 5090</v>
      </c>
      <c r="I135" t="s">
        <v>20</v>
      </c>
    </row>
    <row r="136" spans="1:9" hidden="1" x14ac:dyDescent="0.35">
      <c r="A136" t="s">
        <v>9</v>
      </c>
      <c r="B136" t="s">
        <v>288</v>
      </c>
      <c r="C136">
        <v>134990000</v>
      </c>
      <c r="D136">
        <v>132990000</v>
      </c>
      <c r="E136" t="s">
        <v>289</v>
      </c>
      <c r="F136" t="s">
        <v>12</v>
      </c>
      <c r="G136" t="str">
        <f>_xlfn.TEXTJOIN(",",TRUE,_xlfn._xlws.FILTER(GPU_brand[GPU brand], (GPU_brand[GPU brand text]&lt;&gt;"") * ISNUMBER(SEARCH(GPU_brand[GPU brand text], B136)), ""))</f>
        <v>MSI</v>
      </c>
      <c r="H136" t="str">
        <f>_xlfn.TEXTJOIN(",",TRUE,_xlfn._xlws.FILTER(Chipset_Table[Chipset], (Chipset_Table[Chipset text]&lt;&gt;"") * ISNUMBER(SEARCH(Chipset_Table[Chipset text], B136)), ""))</f>
        <v>GeForce RTX 5090</v>
      </c>
      <c r="I136" t="s">
        <v>20</v>
      </c>
    </row>
    <row r="137" spans="1:9" hidden="1" x14ac:dyDescent="0.35">
      <c r="A137" t="s">
        <v>9</v>
      </c>
      <c r="B137" t="s">
        <v>290</v>
      </c>
      <c r="C137">
        <v>104990000</v>
      </c>
      <c r="D137">
        <v>98990000</v>
      </c>
      <c r="E137" t="s">
        <v>291</v>
      </c>
      <c r="F137" t="s">
        <v>12</v>
      </c>
      <c r="G137" t="str">
        <f>_xlfn.TEXTJOIN(",",TRUE,_xlfn._xlws.FILTER(GPU_brand[GPU brand], (GPU_brand[GPU brand text]&lt;&gt;"") * ISNUMBER(SEARCH(GPU_brand[GPU brand text], B137)), ""))</f>
        <v>MSI</v>
      </c>
      <c r="H137" t="str">
        <f>_xlfn.TEXTJOIN(",",TRUE,_xlfn._xlws.FILTER(Chipset_Table[Chipset], (Chipset_Table[Chipset text]&lt;&gt;"") * ISNUMBER(SEARCH(Chipset_Table[Chipset text], B137)), ""))</f>
        <v>GeForce RTX 5090</v>
      </c>
      <c r="I137" t="s">
        <v>20</v>
      </c>
    </row>
    <row r="138" spans="1:9" hidden="1" x14ac:dyDescent="0.35">
      <c r="A138" t="s">
        <v>9</v>
      </c>
      <c r="B138" t="s">
        <v>292</v>
      </c>
      <c r="C138">
        <v>33990000</v>
      </c>
      <c r="D138">
        <v>32990000</v>
      </c>
      <c r="E138" t="s">
        <v>293</v>
      </c>
      <c r="F138" t="s">
        <v>12</v>
      </c>
      <c r="G138" t="str">
        <f>_xlfn.TEXTJOIN(",",TRUE,_xlfn._xlws.FILTER(GPU_brand[GPU brand], (GPU_brand[GPU brand text]&lt;&gt;"") * ISNUMBER(SEARCH(GPU_brand[GPU brand text], B138)), ""))</f>
        <v>ASUS</v>
      </c>
      <c r="H138" t="s">
        <v>16</v>
      </c>
      <c r="I138" t="s">
        <v>17</v>
      </c>
    </row>
    <row r="139" spans="1:9" hidden="1" x14ac:dyDescent="0.35">
      <c r="A139" t="s">
        <v>9</v>
      </c>
      <c r="B139" t="s">
        <v>294</v>
      </c>
      <c r="C139">
        <v>33990000</v>
      </c>
      <c r="D139">
        <v>32990000</v>
      </c>
      <c r="E139" t="s">
        <v>295</v>
      </c>
      <c r="F139" t="s">
        <v>12</v>
      </c>
      <c r="G139" t="str">
        <f>_xlfn.TEXTJOIN(",",TRUE,_xlfn._xlws.FILTER(GPU_brand[GPU brand], (GPU_brand[GPU brand text]&lt;&gt;"") * ISNUMBER(SEARCH(GPU_brand[GPU brand text], B139)), ""))</f>
        <v>ASUS</v>
      </c>
      <c r="H139" t="s">
        <v>16</v>
      </c>
      <c r="I139" t="s">
        <v>17</v>
      </c>
    </row>
    <row r="140" spans="1:9" hidden="1" x14ac:dyDescent="0.35">
      <c r="A140" t="s">
        <v>9</v>
      </c>
      <c r="B140" t="s">
        <v>296</v>
      </c>
      <c r="C140">
        <v>34490000</v>
      </c>
      <c r="D140">
        <v>33990000</v>
      </c>
      <c r="E140" t="s">
        <v>297</v>
      </c>
      <c r="F140" t="s">
        <v>12</v>
      </c>
      <c r="G140" t="str">
        <f>_xlfn.TEXTJOIN(",",TRUE,_xlfn._xlws.FILTER(GPU_brand[GPU brand], (GPU_brand[GPU brand text]&lt;&gt;"") * ISNUMBER(SEARCH(GPU_brand[GPU brand text], B140)), ""))</f>
        <v>ASUS</v>
      </c>
      <c r="H140" t="s">
        <v>16</v>
      </c>
      <c r="I140" t="s">
        <v>17</v>
      </c>
    </row>
    <row r="141" spans="1:9" hidden="1" x14ac:dyDescent="0.35">
      <c r="A141" t="s">
        <v>9</v>
      </c>
      <c r="B141" t="s">
        <v>298</v>
      </c>
      <c r="C141">
        <v>33490000</v>
      </c>
      <c r="D141">
        <v>31990000</v>
      </c>
      <c r="E141" t="s">
        <v>299</v>
      </c>
      <c r="F141" t="s">
        <v>12</v>
      </c>
      <c r="G141" t="str">
        <f>_xlfn.TEXTJOIN(",",TRUE,_xlfn._xlws.FILTER(GPU_brand[GPU brand], (GPU_brand[GPU brand text]&lt;&gt;"") * ISNUMBER(SEARCH(GPU_brand[GPU brand text], B141)), ""))</f>
        <v>ASUS</v>
      </c>
      <c r="H141" t="s">
        <v>16</v>
      </c>
      <c r="I141" t="s">
        <v>17</v>
      </c>
    </row>
    <row r="142" spans="1:9" hidden="1" x14ac:dyDescent="0.35">
      <c r="A142" t="s">
        <v>9</v>
      </c>
      <c r="B142" t="s">
        <v>300</v>
      </c>
      <c r="C142">
        <v>40990000</v>
      </c>
      <c r="D142">
        <v>39990000</v>
      </c>
      <c r="E142" t="s">
        <v>301</v>
      </c>
      <c r="F142" t="s">
        <v>12</v>
      </c>
      <c r="G142" t="str">
        <f>_xlfn.TEXTJOIN(",",TRUE,_xlfn._xlws.FILTER(GPU_brand[GPU brand], (GPU_brand[GPU brand text]&lt;&gt;"") * ISNUMBER(SEARCH(GPU_brand[GPU brand text], B142)), ""))</f>
        <v>ASUS</v>
      </c>
      <c r="H142" t="s">
        <v>40</v>
      </c>
      <c r="I142" t="s">
        <v>17</v>
      </c>
    </row>
    <row r="143" spans="1:9" hidden="1" x14ac:dyDescent="0.35">
      <c r="A143" t="s">
        <v>9</v>
      </c>
      <c r="B143" t="s">
        <v>302</v>
      </c>
      <c r="C143">
        <v>41490000</v>
      </c>
      <c r="D143">
        <v>38690000</v>
      </c>
      <c r="E143" t="s">
        <v>303</v>
      </c>
      <c r="F143" t="s">
        <v>12</v>
      </c>
      <c r="G143" t="str">
        <f>_xlfn.TEXTJOIN(",",TRUE,_xlfn._xlws.FILTER(GPU_brand[GPU brand], (GPU_brand[GPU brand text]&lt;&gt;"") * ISNUMBER(SEARCH(GPU_brand[GPU brand text], B143)), ""))</f>
        <v>ASUS</v>
      </c>
      <c r="H143" t="s">
        <v>40</v>
      </c>
      <c r="I143" t="s">
        <v>17</v>
      </c>
    </row>
    <row r="144" spans="1:9" hidden="1" x14ac:dyDescent="0.35">
      <c r="A144" t="s">
        <v>9</v>
      </c>
      <c r="B144" t="s">
        <v>304</v>
      </c>
      <c r="C144">
        <v>45490000</v>
      </c>
      <c r="D144">
        <v>43990000</v>
      </c>
      <c r="E144" t="s">
        <v>305</v>
      </c>
      <c r="F144" t="s">
        <v>12</v>
      </c>
      <c r="G144" t="str">
        <f>_xlfn.TEXTJOIN(",",TRUE,_xlfn._xlws.FILTER(GPU_brand[GPU brand], (GPU_brand[GPU brand text]&lt;&gt;"") * ISNUMBER(SEARCH(GPU_brand[GPU brand text], B144)), ""))</f>
        <v>ASUS</v>
      </c>
      <c r="H144" t="s">
        <v>40</v>
      </c>
      <c r="I144" t="s">
        <v>17</v>
      </c>
    </row>
    <row r="145" spans="1:9" hidden="1" x14ac:dyDescent="0.35">
      <c r="A145" t="s">
        <v>9</v>
      </c>
      <c r="B145" t="s">
        <v>306</v>
      </c>
      <c r="C145">
        <v>48990000</v>
      </c>
      <c r="D145">
        <v>47290000</v>
      </c>
      <c r="E145" t="s">
        <v>307</v>
      </c>
      <c r="F145" t="s">
        <v>12</v>
      </c>
      <c r="G145" t="str">
        <f>_xlfn.TEXTJOIN(",",TRUE,_xlfn._xlws.FILTER(GPU_brand[GPU brand], (GPU_brand[GPU brand text]&lt;&gt;"") * ISNUMBER(SEARCH(GPU_brand[GPU brand text], B145)), ""))</f>
        <v>ASUS</v>
      </c>
      <c r="H145" t="s">
        <v>40</v>
      </c>
      <c r="I145" t="s">
        <v>17</v>
      </c>
    </row>
    <row r="146" spans="1:9" hidden="1" x14ac:dyDescent="0.35">
      <c r="A146" t="s">
        <v>9</v>
      </c>
      <c r="B146" t="s">
        <v>308</v>
      </c>
      <c r="C146">
        <v>104990000</v>
      </c>
      <c r="D146">
        <v>99990000</v>
      </c>
      <c r="E146" t="s">
        <v>309</v>
      </c>
      <c r="F146" t="s">
        <v>12</v>
      </c>
      <c r="G146" t="str">
        <f>_xlfn.TEXTJOIN(",",TRUE,_xlfn._xlws.FILTER(GPU_brand[GPU brand], (GPU_brand[GPU brand text]&lt;&gt;"") * ISNUMBER(SEARCH(GPU_brand[GPU brand text], B146)), ""))</f>
        <v>ASUS</v>
      </c>
      <c r="H146" t="str">
        <f>_xlfn.TEXTJOIN(",",TRUE,_xlfn._xlws.FILTER(Chipset_Table[Chipset], (Chipset_Table[Chipset text]&lt;&gt;"") * ISNUMBER(SEARCH(Chipset_Table[Chipset text], B146)), ""))</f>
        <v>GeForce RTX 5090</v>
      </c>
      <c r="I146" t="s">
        <v>20</v>
      </c>
    </row>
    <row r="147" spans="1:9" hidden="1" x14ac:dyDescent="0.35">
      <c r="A147" t="s">
        <v>9</v>
      </c>
      <c r="B147" t="s">
        <v>310</v>
      </c>
      <c r="C147">
        <v>135000000</v>
      </c>
      <c r="D147">
        <v>108990000</v>
      </c>
      <c r="E147" t="s">
        <v>311</v>
      </c>
      <c r="F147" t="s">
        <v>12</v>
      </c>
      <c r="G147" t="str">
        <f>_xlfn.TEXTJOIN(",",TRUE,_xlfn._xlws.FILTER(GPU_brand[GPU brand], (GPU_brand[GPU brand text]&lt;&gt;"") * ISNUMBER(SEARCH(GPU_brand[GPU brand text], B147)), ""))</f>
        <v>ASUS</v>
      </c>
      <c r="H147" t="str">
        <f>_xlfn.TEXTJOIN(",",TRUE,_xlfn._xlws.FILTER(Chipset_Table[Chipset], (Chipset_Table[Chipset text]&lt;&gt;"") * ISNUMBER(SEARCH(Chipset_Table[Chipset text], B147)), ""))</f>
        <v>GeForce RTX 5090</v>
      </c>
      <c r="I147" t="s">
        <v>20</v>
      </c>
    </row>
    <row r="148" spans="1:9" hidden="1" x14ac:dyDescent="0.35">
      <c r="A148" t="s">
        <v>9</v>
      </c>
      <c r="B148" t="s">
        <v>312</v>
      </c>
      <c r="C148">
        <v>135000000</v>
      </c>
      <c r="D148">
        <v>115000000</v>
      </c>
      <c r="E148" t="s">
        <v>313</v>
      </c>
      <c r="F148" t="s">
        <v>12</v>
      </c>
      <c r="G148" t="str">
        <f>_xlfn.TEXTJOIN(",",TRUE,_xlfn._xlws.FILTER(GPU_brand[GPU brand], (GPU_brand[GPU brand text]&lt;&gt;"") * ISNUMBER(SEARCH(GPU_brand[GPU brand text], B148)), ""))</f>
        <v>ASUS</v>
      </c>
      <c r="H148" t="str">
        <f>_xlfn.TEXTJOIN(",",TRUE,_xlfn._xlws.FILTER(Chipset_Table[Chipset], (Chipset_Table[Chipset text]&lt;&gt;"") * ISNUMBER(SEARCH(Chipset_Table[Chipset text], B148)), ""))</f>
        <v>GeForce RTX 5090</v>
      </c>
      <c r="I148" t="s">
        <v>20</v>
      </c>
    </row>
    <row r="149" spans="1:9" hidden="1" x14ac:dyDescent="0.35">
      <c r="A149" t="s">
        <v>9</v>
      </c>
      <c r="B149" t="s">
        <v>314</v>
      </c>
      <c r="C149">
        <v>139000000</v>
      </c>
      <c r="D149">
        <v>104990000</v>
      </c>
      <c r="E149" t="s">
        <v>315</v>
      </c>
      <c r="F149" t="s">
        <v>12</v>
      </c>
      <c r="G149" t="str">
        <f>_xlfn.TEXTJOIN(",",TRUE,_xlfn._xlws.FILTER(GPU_brand[GPU brand], (GPU_brand[GPU brand text]&lt;&gt;"") * ISNUMBER(SEARCH(GPU_brand[GPU brand text], B149)), ""))</f>
        <v>ASUS</v>
      </c>
      <c r="H149" t="str">
        <f>_xlfn.TEXTJOIN(",",TRUE,_xlfn._xlws.FILTER(Chipset_Table[Chipset], (Chipset_Table[Chipset text]&lt;&gt;"") * ISNUMBER(SEARCH(Chipset_Table[Chipset text], B149)), ""))</f>
        <v>GeForce RTX 5090</v>
      </c>
      <c r="I149" t="s">
        <v>20</v>
      </c>
    </row>
    <row r="150" spans="1:9" hidden="1" x14ac:dyDescent="0.35">
      <c r="A150" t="s">
        <v>9</v>
      </c>
      <c r="B150" t="s">
        <v>316</v>
      </c>
      <c r="C150">
        <v>8490000</v>
      </c>
      <c r="D150">
        <v>8390000</v>
      </c>
      <c r="E150" t="s">
        <v>317</v>
      </c>
      <c r="F150" t="s">
        <v>12</v>
      </c>
      <c r="G150" t="str">
        <f>_xlfn.TEXTJOIN(",",TRUE,_xlfn._xlws.FILTER(GPU_brand[GPU brand], (GPU_brand[GPU brand text]&lt;&gt;"") * ISNUMBER(SEARCH(GPU_brand[GPU brand text], B150)), ""))</f>
        <v>Gigabyte</v>
      </c>
      <c r="H150" t="str">
        <f>_xlfn.TEXTJOIN(",",TRUE,_xlfn._xlws.FILTER(Chipset_Table[Chipset], (Chipset_Table[Chipset text]&lt;&gt;"") * ISNUMBER(SEARCH(Chipset_Table[Chipset text], B150)), ""))</f>
        <v>GeForce RTX 3050</v>
      </c>
      <c r="I150" t="str">
        <f>_xlfn.TEXTJOIN(",",TRUE,_xlfn._xlws.FILTER(VRAM_table[Video memory], (VRAM_table[Video memory text]&lt;&gt;"") * ISNUMBER(SEARCH(VRAM_table[Video memory text], B150)), ""))</f>
        <v>8GB</v>
      </c>
    </row>
    <row r="151" spans="1:9" hidden="1" x14ac:dyDescent="0.35">
      <c r="A151" t="s">
        <v>9</v>
      </c>
      <c r="B151" t="s">
        <v>318</v>
      </c>
      <c r="C151">
        <v>10990000</v>
      </c>
      <c r="D151">
        <v>9690000</v>
      </c>
      <c r="E151" t="s">
        <v>319</v>
      </c>
      <c r="F151" t="s">
        <v>12</v>
      </c>
      <c r="G151" t="s">
        <v>320</v>
      </c>
      <c r="H151" t="str">
        <f>_xlfn.TEXTJOIN(",",TRUE,_xlfn._xlws.FILTER(Chipset_Table[Chipset], (Chipset_Table[Chipset text]&lt;&gt;"") * ISNUMBER(SEARCH(Chipset_Table[Chipset text], B151)), ""))</f>
        <v>Intel Arc B580</v>
      </c>
      <c r="I151" t="s">
        <v>45</v>
      </c>
    </row>
    <row r="152" spans="1:9" hidden="1" x14ac:dyDescent="0.35">
      <c r="A152" t="s">
        <v>9</v>
      </c>
      <c r="B152" t="s">
        <v>21</v>
      </c>
      <c r="C152">
        <v>11990000</v>
      </c>
      <c r="D152">
        <v>11490000</v>
      </c>
      <c r="E152" t="s">
        <v>22</v>
      </c>
      <c r="F152" t="s">
        <v>12</v>
      </c>
      <c r="G152" t="str">
        <f>_xlfn.TEXTJOIN(",",TRUE,_xlfn._xlws.FILTER(GPU_brand[GPU brand], (GPU_brand[GPU brand text]&lt;&gt;"") * ISNUMBER(SEARCH(GPU_brand[GPU brand text], B152)), ""))</f>
        <v>Gigabyte</v>
      </c>
      <c r="H152" t="str">
        <f>_xlfn.TEXTJOIN(",",TRUE,_xlfn._xlws.FILTER(Chipset_Table[Chipset], (Chipset_Table[Chipset text]&lt;&gt;"") * ISNUMBER(SEARCH(Chipset_Table[Chipset text], B152)), ""))</f>
        <v>GeForce RTX 5060</v>
      </c>
      <c r="I152" t="s">
        <v>23</v>
      </c>
    </row>
    <row r="153" spans="1:9" hidden="1" x14ac:dyDescent="0.35">
      <c r="A153" t="s">
        <v>9</v>
      </c>
      <c r="B153" t="s">
        <v>24</v>
      </c>
      <c r="C153">
        <v>9490000</v>
      </c>
      <c r="D153">
        <v>8990000</v>
      </c>
      <c r="E153" t="s">
        <v>25</v>
      </c>
      <c r="F153" t="s">
        <v>12</v>
      </c>
      <c r="G153" t="str">
        <f>_xlfn.TEXTJOIN(",",TRUE,_xlfn._xlws.FILTER(GPU_brand[GPU brand], (GPU_brand[GPU brand text]&lt;&gt;"") * ISNUMBER(SEARCH(GPU_brand[GPU brand text], B153)), ""))</f>
        <v>ZOTAC</v>
      </c>
      <c r="H153" t="s">
        <v>26</v>
      </c>
      <c r="I153" t="s">
        <v>23</v>
      </c>
    </row>
    <row r="154" spans="1:9" hidden="1" x14ac:dyDescent="0.35">
      <c r="A154" t="s">
        <v>9</v>
      </c>
      <c r="B154" t="s">
        <v>321</v>
      </c>
      <c r="C154">
        <v>6890000</v>
      </c>
      <c r="D154">
        <v>6390000</v>
      </c>
      <c r="E154" t="s">
        <v>322</v>
      </c>
      <c r="F154" t="s">
        <v>12</v>
      </c>
      <c r="G154" t="str">
        <f>_xlfn.TEXTJOIN(",",TRUE,_xlfn._xlws.FILTER(GPU_brand[GPU brand], (GPU_brand[GPU brand text]&lt;&gt;"") * ISNUMBER(SEARCH(GPU_brand[GPU brand text], B154)), ""))</f>
        <v>ZOTAC</v>
      </c>
      <c r="H154" t="str">
        <f>_xlfn.TEXTJOIN(",",TRUE,_xlfn._xlws.FILTER(Chipset_Table[Chipset], (Chipset_Table[Chipset text]&lt;&gt;"") * ISNUMBER(SEARCH(Chipset_Table[Chipset text], B154)), ""))</f>
        <v>GeForce RTX 3050</v>
      </c>
      <c r="I154" t="s">
        <v>323</v>
      </c>
    </row>
    <row r="155" spans="1:9" hidden="1" x14ac:dyDescent="0.35">
      <c r="A155" t="s">
        <v>9</v>
      </c>
      <c r="B155" t="s">
        <v>32</v>
      </c>
      <c r="C155">
        <v>11990000</v>
      </c>
      <c r="D155">
        <v>11490000</v>
      </c>
      <c r="E155" t="s">
        <v>33</v>
      </c>
      <c r="F155" t="s">
        <v>12</v>
      </c>
      <c r="G155" t="str">
        <f>_xlfn.TEXTJOIN(",",TRUE,_xlfn._xlws.FILTER(GPU_brand[GPU brand], (GPU_brand[GPU brand text]&lt;&gt;"") * ISNUMBER(SEARCH(GPU_brand[GPU brand text], B155)), ""))</f>
        <v>MSI</v>
      </c>
      <c r="H155" t="str">
        <f>_xlfn.TEXTJOIN(",",TRUE,_xlfn._xlws.FILTER(Chipset_Table[Chipset], (Chipset_Table[Chipset text]&lt;&gt;"") * ISNUMBER(SEARCH(Chipset_Table[Chipset text], B155)), ""))</f>
        <v>GeForce RTX 5060</v>
      </c>
      <c r="I155" t="s">
        <v>23</v>
      </c>
    </row>
    <row r="156" spans="1:9" hidden="1" x14ac:dyDescent="0.35">
      <c r="A156" t="s">
        <v>9</v>
      </c>
      <c r="B156" t="s">
        <v>29</v>
      </c>
      <c r="C156">
        <v>16990000</v>
      </c>
      <c r="D156">
        <v>15990000</v>
      </c>
      <c r="E156" t="s">
        <v>30</v>
      </c>
      <c r="F156" t="s">
        <v>12</v>
      </c>
      <c r="G156" t="str">
        <f>_xlfn.TEXTJOIN(",",TRUE,_xlfn._xlws.FILTER(GPU_brand[GPU brand], (GPU_brand[GPU brand text]&lt;&gt;"") * ISNUMBER(SEARCH(GPU_brand[GPU brand text], B156)), ""))</f>
        <v>ZOTAC</v>
      </c>
      <c r="H156" t="s">
        <v>31</v>
      </c>
      <c r="I156" t="s">
        <v>17</v>
      </c>
    </row>
    <row r="157" spans="1:9" hidden="1" x14ac:dyDescent="0.35">
      <c r="A157" t="s">
        <v>9</v>
      </c>
      <c r="B157" t="s">
        <v>34</v>
      </c>
      <c r="C157">
        <v>11690000</v>
      </c>
      <c r="D157">
        <v>9990000</v>
      </c>
      <c r="E157" t="s">
        <v>35</v>
      </c>
      <c r="F157" t="s">
        <v>12</v>
      </c>
      <c r="G157" t="str">
        <f>_xlfn.TEXTJOIN(",",TRUE,_xlfn._xlws.FILTER(GPU_brand[GPU brand], (GPU_brand[GPU brand text]&lt;&gt;"") * ISNUMBER(SEARCH(GPU_brand[GPU brand text], B157)), ""))</f>
        <v>Gigabyte</v>
      </c>
      <c r="H157" t="str">
        <f>_xlfn.TEXTJOIN(",",TRUE,_xlfn._xlws.FILTER(Chipset_Table[Chipset], (Chipset_Table[Chipset text]&lt;&gt;"") * ISNUMBER(SEARCH(Chipset_Table[Chipset text], B157)), ""))</f>
        <v>GeForce RTX 5060</v>
      </c>
      <c r="I157" t="s">
        <v>23</v>
      </c>
    </row>
    <row r="158" spans="1:9" hidden="1" x14ac:dyDescent="0.35">
      <c r="A158" t="s">
        <v>9</v>
      </c>
      <c r="B158" t="s">
        <v>324</v>
      </c>
      <c r="C158">
        <v>20990000</v>
      </c>
      <c r="D158">
        <v>19490000</v>
      </c>
      <c r="E158" t="s">
        <v>325</v>
      </c>
      <c r="F158" t="s">
        <v>12</v>
      </c>
      <c r="G158" t="str">
        <f>_xlfn.TEXTJOIN(",",TRUE,_xlfn._xlws.FILTER(GPU_brand[GPU brand], (GPU_brand[GPU brand text]&lt;&gt;"") * ISNUMBER(SEARCH(GPU_brand[GPU brand text], B158)), ""))</f>
        <v>Gigabyte</v>
      </c>
      <c r="H158" t="s">
        <v>326</v>
      </c>
      <c r="I158" t="s">
        <v>45</v>
      </c>
    </row>
    <row r="159" spans="1:9" hidden="1" x14ac:dyDescent="0.35">
      <c r="A159" t="s">
        <v>9</v>
      </c>
      <c r="B159" t="s">
        <v>38</v>
      </c>
      <c r="C159">
        <v>53990000</v>
      </c>
      <c r="D159">
        <v>49990000</v>
      </c>
      <c r="E159" t="s">
        <v>39</v>
      </c>
      <c r="F159" t="s">
        <v>12</v>
      </c>
      <c r="G159" t="str">
        <f>_xlfn.TEXTJOIN(",",TRUE,_xlfn._xlws.FILTER(GPU_brand[GPU brand], (GPU_brand[GPU brand text]&lt;&gt;"") * ISNUMBER(SEARCH(GPU_brand[GPU brand text], B159)), ""))</f>
        <v>MSI</v>
      </c>
      <c r="H159" t="s">
        <v>40</v>
      </c>
      <c r="I159" t="s">
        <v>17</v>
      </c>
    </row>
    <row r="160" spans="1:9" hidden="1" x14ac:dyDescent="0.35">
      <c r="A160" t="s">
        <v>9</v>
      </c>
      <c r="B160" t="s">
        <v>327</v>
      </c>
      <c r="C160">
        <v>8990000</v>
      </c>
      <c r="D160">
        <v>8590000</v>
      </c>
      <c r="E160" t="s">
        <v>328</v>
      </c>
      <c r="F160" t="s">
        <v>12</v>
      </c>
      <c r="G160" t="str">
        <f>_xlfn.TEXTJOIN(",",TRUE,_xlfn._xlws.FILTER(GPU_brand[GPU brand], (GPU_brand[GPU brand text]&lt;&gt;"") * ISNUMBER(SEARCH(GPU_brand[GPU brand text], B160)), ""))</f>
        <v>Gigabyte</v>
      </c>
      <c r="H160" t="s">
        <v>329</v>
      </c>
      <c r="I160" t="s">
        <v>45</v>
      </c>
    </row>
    <row r="161" spans="1:9" hidden="1" x14ac:dyDescent="0.35">
      <c r="A161" t="s">
        <v>9</v>
      </c>
      <c r="B161" t="s">
        <v>330</v>
      </c>
      <c r="C161">
        <v>4990000</v>
      </c>
      <c r="D161">
        <v>3790000</v>
      </c>
      <c r="E161" t="s">
        <v>331</v>
      </c>
      <c r="F161" t="s">
        <v>12</v>
      </c>
      <c r="G161" t="str">
        <f>_xlfn.TEXTJOIN(",",TRUE,_xlfn._xlws.FILTER(GPU_brand[GPU brand], (GPU_brand[GPU brand text]&lt;&gt;"") * ISNUMBER(SEARCH(GPU_brand[GPU brand text], B161)), ""))</f>
        <v>ASUS</v>
      </c>
      <c r="H161" t="str">
        <f>_xlfn.TEXTJOIN(",",TRUE,_xlfn._xlws.FILTER(Chipset_Table[Chipset], (Chipset_Table[Chipset text]&lt;&gt;"") * ISNUMBER(SEARCH(Chipset_Table[Chipset text], B161)), ""))</f>
        <v>RX 6500 XT</v>
      </c>
      <c r="I161" t="s">
        <v>332</v>
      </c>
    </row>
    <row r="162" spans="1:9" hidden="1" x14ac:dyDescent="0.35">
      <c r="A162" t="s">
        <v>9</v>
      </c>
      <c r="B162" t="s">
        <v>333</v>
      </c>
      <c r="C162">
        <v>8990000</v>
      </c>
      <c r="D162">
        <v>8490000</v>
      </c>
      <c r="E162" t="s">
        <v>334</v>
      </c>
      <c r="F162" t="s">
        <v>12</v>
      </c>
      <c r="G162" t="str">
        <f>_xlfn.TEXTJOIN(",",TRUE,_xlfn._xlws.FILTER(GPU_brand[GPU brand], (GPU_brand[GPU brand text]&lt;&gt;"") * ISNUMBER(SEARCH(GPU_brand[GPU brand text], B162)), ""))</f>
        <v>ASUS</v>
      </c>
      <c r="H162" t="str">
        <f>_xlfn.TEXTJOIN(",",TRUE,_xlfn._xlws.FILTER(Chipset_Table[Chipset], (Chipset_Table[Chipset text]&lt;&gt;"") * ISNUMBER(SEARCH(Chipset_Table[Chipset text], B162)), ""))</f>
        <v>GeForce RTX 4060</v>
      </c>
      <c r="I162" t="s">
        <v>23</v>
      </c>
    </row>
    <row r="163" spans="1:9" hidden="1" x14ac:dyDescent="0.35">
      <c r="A163" t="s">
        <v>9</v>
      </c>
      <c r="B163" t="s">
        <v>335</v>
      </c>
      <c r="C163">
        <v>7990000</v>
      </c>
      <c r="D163">
        <v>7790000</v>
      </c>
      <c r="E163" t="s">
        <v>336</v>
      </c>
      <c r="F163" t="s">
        <v>12</v>
      </c>
      <c r="G163" t="str">
        <f>_xlfn.TEXTJOIN(",",TRUE,_xlfn._xlws.FILTER(GPU_brand[GPU brand], (GPU_brand[GPU brand text]&lt;&gt;"") * ISNUMBER(SEARCH(GPU_brand[GPU brand text], B163)), ""))</f>
        <v>ASUS</v>
      </c>
      <c r="H163" t="str">
        <f>_xlfn.TEXTJOIN(",",TRUE,_xlfn._xlws.FILTER(Chipset_Table[Chipset], (Chipset_Table[Chipset text]&lt;&gt;"") * ISNUMBER(SEARCH(Chipset_Table[Chipset text], B163)), ""))</f>
        <v>RX 7600</v>
      </c>
      <c r="I163" t="s">
        <v>23</v>
      </c>
    </row>
    <row r="164" spans="1:9" hidden="1" x14ac:dyDescent="0.35">
      <c r="A164" t="s">
        <v>9</v>
      </c>
      <c r="B164" t="s">
        <v>337</v>
      </c>
      <c r="C164">
        <v>59990000</v>
      </c>
      <c r="D164">
        <v>39990000</v>
      </c>
      <c r="E164" t="s">
        <v>338</v>
      </c>
      <c r="F164" t="s">
        <v>12</v>
      </c>
      <c r="G164" t="str">
        <f>_xlfn.TEXTJOIN(",",TRUE,_xlfn._xlws.FILTER(GPU_brand[GPU brand], (GPU_brand[GPU brand text]&lt;&gt;"") * ISNUMBER(SEARCH(GPU_brand[GPU brand text], B164)), ""))</f>
        <v>Gigabyte</v>
      </c>
      <c r="H164" t="s">
        <v>339</v>
      </c>
      <c r="I164" t="s">
        <v>17</v>
      </c>
    </row>
    <row r="165" spans="1:9" hidden="1" x14ac:dyDescent="0.35">
      <c r="A165" t="s">
        <v>9</v>
      </c>
      <c r="B165" t="s">
        <v>340</v>
      </c>
      <c r="C165">
        <v>5690000</v>
      </c>
      <c r="D165">
        <v>4690000</v>
      </c>
      <c r="E165" t="s">
        <v>341</v>
      </c>
      <c r="F165" t="s">
        <v>12</v>
      </c>
      <c r="G165" t="str">
        <f>_xlfn.TEXTJOIN(",",TRUE,_xlfn._xlws.FILTER(GPU_brand[GPU brand], (GPU_brand[GPU brand text]&lt;&gt;"") * ISNUMBER(SEARCH(GPU_brand[GPU brand text], B165)), ""))</f>
        <v>ASUS</v>
      </c>
      <c r="H165" t="str">
        <f>_xlfn.TEXTJOIN(",",TRUE,_xlfn._xlws.FILTER(Chipset_Table[Chipset], (Chipset_Table[Chipset text]&lt;&gt;"") * ISNUMBER(SEARCH(Chipset_Table[Chipset text], B165)), ""))</f>
        <v>GeForce RTX 3050</v>
      </c>
      <c r="I165" t="s">
        <v>323</v>
      </c>
    </row>
    <row r="166" spans="1:9" hidden="1" x14ac:dyDescent="0.35">
      <c r="A166" t="s">
        <v>9</v>
      </c>
      <c r="B166" t="s">
        <v>342</v>
      </c>
      <c r="C166">
        <v>5790000</v>
      </c>
      <c r="D166">
        <v>4790000</v>
      </c>
      <c r="E166" t="s">
        <v>343</v>
      </c>
      <c r="F166" t="s">
        <v>12</v>
      </c>
      <c r="G166" t="str">
        <f>_xlfn.TEXTJOIN(",",TRUE,_xlfn._xlws.FILTER(GPU_brand[GPU brand], (GPU_brand[GPU brand text]&lt;&gt;"") * ISNUMBER(SEARCH(GPU_brand[GPU brand text], B166)), ""))</f>
        <v>ASUS</v>
      </c>
      <c r="H166" t="str">
        <f>_xlfn.TEXTJOIN(",",TRUE,_xlfn._xlws.FILTER(Chipset_Table[Chipset], (Chipset_Table[Chipset text]&lt;&gt;"") * ISNUMBER(SEARCH(Chipset_Table[Chipset text], B166)), ""))</f>
        <v>GeForce RTX 3050</v>
      </c>
      <c r="I166" t="s">
        <v>323</v>
      </c>
    </row>
    <row r="167" spans="1:9" hidden="1" x14ac:dyDescent="0.35">
      <c r="A167" t="s">
        <v>9</v>
      </c>
      <c r="B167" t="s">
        <v>344</v>
      </c>
      <c r="C167">
        <v>5990000</v>
      </c>
      <c r="D167">
        <v>4990000</v>
      </c>
      <c r="E167" t="s">
        <v>345</v>
      </c>
      <c r="F167" t="s">
        <v>12</v>
      </c>
      <c r="G167" t="str">
        <f>_xlfn.TEXTJOIN(",",TRUE,_xlfn._xlws.FILTER(GPU_brand[GPU brand], (GPU_brand[GPU brand text]&lt;&gt;"") * ISNUMBER(SEARCH(GPU_brand[GPU brand text], B167)), ""))</f>
        <v>MSI</v>
      </c>
      <c r="H167" t="str">
        <f>_xlfn.TEXTJOIN(",",TRUE,_xlfn._xlws.FILTER(Chipset_Table[Chipset], (Chipset_Table[Chipset text]&lt;&gt;"") * ISNUMBER(SEARCH(Chipset_Table[Chipset text], B167)), ""))</f>
        <v>GeForce RTX 3050</v>
      </c>
      <c r="I167" t="str">
        <f>_xlfn.TEXTJOIN(",",TRUE,_xlfn._xlws.FILTER(VRAM_table[Video memory], (VRAM_table[Video memory text]&lt;&gt;"") * ISNUMBER(SEARCH(VRAM_table[Video memory text], B167)), ""))</f>
        <v>6GB</v>
      </c>
    </row>
    <row r="168" spans="1:9" hidden="1" x14ac:dyDescent="0.35">
      <c r="A168" t="s">
        <v>9</v>
      </c>
      <c r="B168" t="s">
        <v>346</v>
      </c>
      <c r="C168">
        <v>4190000</v>
      </c>
      <c r="D168">
        <v>3690000</v>
      </c>
      <c r="E168" t="s">
        <v>347</v>
      </c>
      <c r="F168" t="s">
        <v>12</v>
      </c>
      <c r="G168" t="str">
        <f>_xlfn.TEXTJOIN(",",TRUE,_xlfn._xlws.FILTER(GPU_brand[GPU brand], (GPU_brand[GPU brand text]&lt;&gt;"") * ISNUMBER(SEARCH(GPU_brand[GPU brand text], B168)), ""))</f>
        <v>ASUS</v>
      </c>
      <c r="H168" t="s">
        <v>348</v>
      </c>
      <c r="I168" t="s">
        <v>332</v>
      </c>
    </row>
    <row r="169" spans="1:9" hidden="1" x14ac:dyDescent="0.35">
      <c r="A169" t="s">
        <v>9</v>
      </c>
      <c r="B169" t="s">
        <v>349</v>
      </c>
      <c r="C169">
        <v>9390000</v>
      </c>
      <c r="D169">
        <v>8990000</v>
      </c>
      <c r="E169" t="s">
        <v>350</v>
      </c>
      <c r="F169" t="s">
        <v>12</v>
      </c>
      <c r="G169" t="str">
        <f>_xlfn.TEXTJOIN(",",TRUE,_xlfn._xlws.FILTER(GPU_brand[GPU brand], (GPU_brand[GPU brand text]&lt;&gt;"") * ISNUMBER(SEARCH(GPU_brand[GPU brand text], B169)), ""))</f>
        <v>MSI</v>
      </c>
      <c r="H169" t="str">
        <f>_xlfn.TEXTJOIN(",",TRUE,_xlfn._xlws.FILTER(Chipset_Table[Chipset], (Chipset_Table[Chipset text]&lt;&gt;"") * ISNUMBER(SEARCH(Chipset_Table[Chipset text], B169)), ""))</f>
        <v>GeForce RTX 4060</v>
      </c>
      <c r="I169" t="str">
        <f>_xlfn.TEXTJOIN(",",TRUE,_xlfn._xlws.FILTER(VRAM_table[Video memory], (VRAM_table[Video memory text]&lt;&gt;"") * ISNUMBER(SEARCH(VRAM_table[Video memory text], B169)), ""))</f>
        <v>8GB</v>
      </c>
    </row>
    <row r="170" spans="1:9" hidden="1" x14ac:dyDescent="0.35">
      <c r="A170" t="s">
        <v>9</v>
      </c>
      <c r="B170" t="s">
        <v>351</v>
      </c>
      <c r="C170">
        <v>6990000</v>
      </c>
      <c r="D170">
        <v>5990000</v>
      </c>
      <c r="E170" t="s">
        <v>352</v>
      </c>
      <c r="F170" t="s">
        <v>12</v>
      </c>
      <c r="G170" t="str">
        <f>_xlfn.TEXTJOIN(",",TRUE,_xlfn._xlws.FILTER(GPU_brand[GPU brand], (GPU_brand[GPU brand text]&lt;&gt;"") * ISNUMBER(SEARCH(GPU_brand[GPU brand text], B170)), ""))</f>
        <v>MSI</v>
      </c>
      <c r="H170" t="str">
        <f>_xlfn.TEXTJOIN(",",TRUE,_xlfn._xlws.FILTER(Chipset_Table[Chipset], (Chipset_Table[Chipset text]&lt;&gt;"") * ISNUMBER(SEARCH(Chipset_Table[Chipset text], B170)), ""))</f>
        <v>GeForce RTX 3050</v>
      </c>
      <c r="I170" t="str">
        <f>_xlfn.TEXTJOIN(",",TRUE,_xlfn._xlws.FILTER(VRAM_table[Video memory], (VRAM_table[Video memory text]&lt;&gt;"") * ISNUMBER(SEARCH(VRAM_table[Video memory text], B170)), ""))</f>
        <v>8GB</v>
      </c>
    </row>
    <row r="171" spans="1:9" hidden="1" x14ac:dyDescent="0.35">
      <c r="A171" t="s">
        <v>9</v>
      </c>
      <c r="B171" t="s">
        <v>353</v>
      </c>
      <c r="C171">
        <v>9590000</v>
      </c>
      <c r="D171">
        <v>8490000</v>
      </c>
      <c r="E171" t="s">
        <v>354</v>
      </c>
      <c r="F171" t="s">
        <v>12</v>
      </c>
      <c r="G171" t="str">
        <f>_xlfn.TEXTJOIN(",",TRUE,_xlfn._xlws.FILTER(GPU_brand[GPU brand], (GPU_brand[GPU brand text]&lt;&gt;"") * ISNUMBER(SEARCH(GPU_brand[GPU brand text], B171)), ""))</f>
        <v>MSI</v>
      </c>
      <c r="H171" t="str">
        <f>_xlfn.TEXTJOIN(",",TRUE,_xlfn._xlws.FILTER(Chipset_Table[Chipset], (Chipset_Table[Chipset text]&lt;&gt;"") * ISNUMBER(SEARCH(Chipset_Table[Chipset text], B171)), ""))</f>
        <v>GeForce RTX 4060</v>
      </c>
      <c r="I171" t="str">
        <f>_xlfn.TEXTJOIN(",",TRUE,_xlfn._xlws.FILTER(VRAM_table[Video memory], (VRAM_table[Video memory text]&lt;&gt;"") * ISNUMBER(SEARCH(VRAM_table[Video memory text], B171)), ""))</f>
        <v>8GB</v>
      </c>
    </row>
    <row r="172" spans="1:9" hidden="1" x14ac:dyDescent="0.35">
      <c r="A172" t="s">
        <v>9</v>
      </c>
      <c r="B172" t="s">
        <v>355</v>
      </c>
      <c r="C172">
        <v>8990000</v>
      </c>
      <c r="D172">
        <v>8290000</v>
      </c>
      <c r="E172" t="s">
        <v>356</v>
      </c>
      <c r="F172" t="s">
        <v>12</v>
      </c>
      <c r="G172" t="str">
        <f>_xlfn.TEXTJOIN(",",TRUE,_xlfn._xlws.FILTER(GPU_brand[GPU brand], (GPU_brand[GPU brand text]&lt;&gt;"") * ISNUMBER(SEARCH(GPU_brand[GPU brand text], B172)), ""))</f>
        <v>MSI</v>
      </c>
      <c r="H172" t="s">
        <v>329</v>
      </c>
      <c r="I172" t="s">
        <v>45</v>
      </c>
    </row>
    <row r="173" spans="1:9" hidden="1" x14ac:dyDescent="0.35">
      <c r="A173" t="s">
        <v>9</v>
      </c>
      <c r="B173" t="s">
        <v>357</v>
      </c>
      <c r="C173">
        <v>8690000</v>
      </c>
      <c r="D173">
        <v>7890000</v>
      </c>
      <c r="E173" t="s">
        <v>358</v>
      </c>
      <c r="F173" t="s">
        <v>12</v>
      </c>
      <c r="G173" t="str">
        <f>_xlfn.TEXTJOIN(",",TRUE,_xlfn._xlws.FILTER(GPU_brand[GPU brand], (GPU_brand[GPU brand text]&lt;&gt;"") * ISNUMBER(SEARCH(GPU_brand[GPU brand text], B173)), ""))</f>
        <v>ASUS</v>
      </c>
      <c r="H173" t="s">
        <v>329</v>
      </c>
      <c r="I173" t="s">
        <v>45</v>
      </c>
    </row>
    <row r="174" spans="1:9" hidden="1" x14ac:dyDescent="0.35">
      <c r="A174" t="s">
        <v>9</v>
      </c>
      <c r="B174" t="s">
        <v>359</v>
      </c>
      <c r="C174">
        <v>0</v>
      </c>
      <c r="D174">
        <v>8590000</v>
      </c>
      <c r="E174" t="s">
        <v>360</v>
      </c>
      <c r="F174" t="s">
        <v>12</v>
      </c>
      <c r="G174" t="str">
        <f>_xlfn.TEXTJOIN(",",TRUE,_xlfn._xlws.FILTER(GPU_brand[GPU brand], (GPU_brand[GPU brand text]&lt;&gt;"") * ISNUMBER(SEARCH(GPU_brand[GPU brand text], B174)), ""))</f>
        <v>MSI</v>
      </c>
      <c r="H174" t="s">
        <v>348</v>
      </c>
      <c r="I174" t="s">
        <v>332</v>
      </c>
    </row>
    <row r="175" spans="1:9" hidden="1" x14ac:dyDescent="0.35">
      <c r="A175" t="s">
        <v>9</v>
      </c>
      <c r="B175" t="s">
        <v>361</v>
      </c>
      <c r="C175">
        <v>10990000</v>
      </c>
      <c r="D175">
        <v>9690000</v>
      </c>
      <c r="E175" t="s">
        <v>362</v>
      </c>
      <c r="F175" t="s">
        <v>12</v>
      </c>
      <c r="G175" t="s">
        <v>320</v>
      </c>
      <c r="H175" t="str">
        <f>_xlfn.TEXTJOIN(",",TRUE,_xlfn._xlws.FILTER(Chipset_Table[Chipset], (Chipset_Table[Chipset text]&lt;&gt;"") * ISNUMBER(SEARCH(Chipset_Table[Chipset text], B175)), ""))</f>
        <v>Intel Arc B580</v>
      </c>
      <c r="I175" t="s">
        <v>45</v>
      </c>
    </row>
    <row r="176" spans="1:9" hidden="1" x14ac:dyDescent="0.35">
      <c r="A176" t="s">
        <v>9</v>
      </c>
      <c r="B176" t="s">
        <v>64</v>
      </c>
      <c r="C176">
        <v>15990000</v>
      </c>
      <c r="D176">
        <v>14990000</v>
      </c>
      <c r="E176" t="s">
        <v>65</v>
      </c>
      <c r="F176" t="s">
        <v>12</v>
      </c>
      <c r="G176" t="str">
        <f>_xlfn.TEXTJOIN(",",TRUE,_xlfn._xlws.FILTER(GPU_brand[GPU brand], (GPU_brand[GPU brand text]&lt;&gt;"") * ISNUMBER(SEARCH(GPU_brand[GPU brand text], B176)), ""))</f>
        <v>ZOTAC</v>
      </c>
      <c r="H176" t="s">
        <v>31</v>
      </c>
      <c r="I176" t="s">
        <v>17</v>
      </c>
    </row>
    <row r="177" spans="1:9" hidden="1" x14ac:dyDescent="0.35">
      <c r="A177" t="s">
        <v>9</v>
      </c>
      <c r="B177" t="s">
        <v>62</v>
      </c>
      <c r="C177">
        <v>13490000</v>
      </c>
      <c r="D177">
        <v>12490000</v>
      </c>
      <c r="E177" t="s">
        <v>63</v>
      </c>
      <c r="F177" t="s">
        <v>12</v>
      </c>
      <c r="G177" t="str">
        <f>_xlfn.TEXTJOIN(",",TRUE,_xlfn._xlws.FILTER(GPU_brand[GPU brand], (GPU_brand[GPU brand text]&lt;&gt;"") * ISNUMBER(SEARCH(GPU_brand[GPU brand text], B177)), ""))</f>
        <v>ZOTAC</v>
      </c>
      <c r="H177" t="s">
        <v>31</v>
      </c>
      <c r="I177" t="s">
        <v>23</v>
      </c>
    </row>
    <row r="178" spans="1:9" hidden="1" x14ac:dyDescent="0.35">
      <c r="A178" t="s">
        <v>9</v>
      </c>
      <c r="B178" t="s">
        <v>66</v>
      </c>
      <c r="C178">
        <v>19990000</v>
      </c>
      <c r="D178">
        <v>18990000</v>
      </c>
      <c r="E178" t="s">
        <v>67</v>
      </c>
      <c r="F178" t="s">
        <v>12</v>
      </c>
      <c r="G178" t="str">
        <f>_xlfn.TEXTJOIN(",",TRUE,_xlfn._xlws.FILTER(GPU_brand[GPU brand], (GPU_brand[GPU brand text]&lt;&gt;"") * ISNUMBER(SEARCH(GPU_brand[GPU brand text], B178)), ""))</f>
        <v>ZOTAC</v>
      </c>
      <c r="H178" t="s">
        <v>13</v>
      </c>
      <c r="I178" t="str">
        <f>_xlfn.TEXTJOIN(",",TRUE,_xlfn._xlws.FILTER(VRAM_table[Video memory], (VRAM_table[Video memory text]&lt;&gt;"") * ISNUMBER(SEARCH(VRAM_table[Video memory text], B178)), ""))</f>
        <v>12GB</v>
      </c>
    </row>
    <row r="179" spans="1:9" hidden="1" x14ac:dyDescent="0.35">
      <c r="A179" t="s">
        <v>9</v>
      </c>
      <c r="B179" t="s">
        <v>124</v>
      </c>
      <c r="C179">
        <v>11390000</v>
      </c>
      <c r="D179">
        <v>10890000</v>
      </c>
      <c r="E179" t="s">
        <v>125</v>
      </c>
      <c r="F179" t="s">
        <v>12</v>
      </c>
      <c r="G179" t="str">
        <f>_xlfn.TEXTJOIN(",",TRUE,_xlfn._xlws.FILTER(GPU_brand[GPU brand], (GPU_brand[GPU brand text]&lt;&gt;"") * ISNUMBER(SEARCH(GPU_brand[GPU brand text], B179)), ""))</f>
        <v>Gigabyte</v>
      </c>
      <c r="H179" t="str">
        <f>_xlfn.TEXTJOIN(",",TRUE,_xlfn._xlws.FILTER(Chipset_Table[Chipset], (Chipset_Table[Chipset text]&lt;&gt;"") * ISNUMBER(SEARCH(Chipset_Table[Chipset text], B179)), ""))</f>
        <v>GeForce RTX 5060</v>
      </c>
      <c r="I179" t="s">
        <v>23</v>
      </c>
    </row>
    <row r="180" spans="1:9" hidden="1" x14ac:dyDescent="0.35">
      <c r="A180" t="s">
        <v>9</v>
      </c>
      <c r="B180" t="s">
        <v>122</v>
      </c>
      <c r="C180">
        <v>14990000</v>
      </c>
      <c r="D180">
        <v>12990000</v>
      </c>
      <c r="E180" t="s">
        <v>123</v>
      </c>
      <c r="F180" t="s">
        <v>12</v>
      </c>
      <c r="G180" t="str">
        <f>_xlfn.TEXTJOIN(",",TRUE,_xlfn._xlws.FILTER(GPU_brand[GPU brand], (GPU_brand[GPU brand text]&lt;&gt;"") * ISNUMBER(SEARCH(GPU_brand[GPU brand text], B180)), ""))</f>
        <v>MSI</v>
      </c>
      <c r="H180" t="s">
        <v>31</v>
      </c>
      <c r="I180" t="s">
        <v>23</v>
      </c>
    </row>
    <row r="181" spans="1:9" hidden="1" x14ac:dyDescent="0.35">
      <c r="A181" t="s">
        <v>9</v>
      </c>
      <c r="B181" t="s">
        <v>120</v>
      </c>
      <c r="C181">
        <v>13990000</v>
      </c>
      <c r="D181">
        <v>12990000</v>
      </c>
      <c r="E181" t="s">
        <v>121</v>
      </c>
      <c r="F181" t="s">
        <v>12</v>
      </c>
      <c r="G181" t="str">
        <f>_xlfn.TEXTJOIN(",",TRUE,_xlfn._xlws.FILTER(GPU_brand[GPU brand], (GPU_brand[GPU brand text]&lt;&gt;"") * ISNUMBER(SEARCH(GPU_brand[GPU brand text], B181)), ""))</f>
        <v>MSI</v>
      </c>
      <c r="H181" t="str">
        <f>_xlfn.TEXTJOIN(",",TRUE,_xlfn._xlws.FILTER(Chipset_Table[Chipset], (Chipset_Table[Chipset text]&lt;&gt;"") * ISNUMBER(SEARCH(Chipset_Table[Chipset text], B181)), ""))</f>
        <v>GeForce RTX 5060</v>
      </c>
      <c r="I181" t="s">
        <v>23</v>
      </c>
    </row>
    <row r="182" spans="1:9" hidden="1" x14ac:dyDescent="0.35">
      <c r="A182" t="s">
        <v>9</v>
      </c>
      <c r="B182" t="s">
        <v>118</v>
      </c>
      <c r="C182">
        <v>13490000</v>
      </c>
      <c r="D182">
        <v>12990000</v>
      </c>
      <c r="E182" t="s">
        <v>119</v>
      </c>
      <c r="F182" t="s">
        <v>12</v>
      </c>
      <c r="G182" t="str">
        <f>_xlfn.TEXTJOIN(",",TRUE,_xlfn._xlws.FILTER(GPU_brand[GPU brand], (GPU_brand[GPU brand text]&lt;&gt;"") * ISNUMBER(SEARCH(GPU_brand[GPU brand text], B182)), ""))</f>
        <v>MSI</v>
      </c>
      <c r="H182" t="str">
        <f>_xlfn.TEXTJOIN(",",TRUE,_xlfn._xlws.FILTER(Chipset_Table[Chipset], (Chipset_Table[Chipset text]&lt;&gt;"") * ISNUMBER(SEARCH(Chipset_Table[Chipset text], B182)), ""))</f>
        <v>GeForce RTX 5060</v>
      </c>
      <c r="I182" t="s">
        <v>23</v>
      </c>
    </row>
    <row r="183" spans="1:9" hidden="1" x14ac:dyDescent="0.35">
      <c r="A183" t="s">
        <v>9</v>
      </c>
      <c r="B183" t="s">
        <v>82</v>
      </c>
      <c r="C183">
        <v>54990000</v>
      </c>
      <c r="D183">
        <v>53990000</v>
      </c>
      <c r="E183" t="s">
        <v>83</v>
      </c>
      <c r="F183" t="s">
        <v>12</v>
      </c>
      <c r="G183" t="str">
        <f>_xlfn.TEXTJOIN(",",TRUE,_xlfn._xlws.FILTER(GPU_brand[GPU brand], (GPU_brand[GPU brand text]&lt;&gt;"") * ISNUMBER(SEARCH(GPU_brand[GPU brand text], B183)), ""))</f>
        <v>ASUS</v>
      </c>
      <c r="H183" t="s">
        <v>40</v>
      </c>
      <c r="I183" t="s">
        <v>17</v>
      </c>
    </row>
    <row r="184" spans="1:9" hidden="1" x14ac:dyDescent="0.35">
      <c r="A184" t="s">
        <v>9</v>
      </c>
      <c r="B184" t="s">
        <v>114</v>
      </c>
      <c r="C184">
        <v>20490000</v>
      </c>
      <c r="D184">
        <v>19990000</v>
      </c>
      <c r="E184" t="s">
        <v>115</v>
      </c>
      <c r="F184" t="s">
        <v>12</v>
      </c>
      <c r="G184" t="str">
        <f>_xlfn.TEXTJOIN(",",TRUE,_xlfn._xlws.FILTER(GPU_brand[GPU brand], (GPU_brand[GPU brand text]&lt;&gt;"") * ISNUMBER(SEARCH(GPU_brand[GPU brand text], B184)), ""))</f>
        <v>ASUS</v>
      </c>
      <c r="H184" t="s">
        <v>13</v>
      </c>
      <c r="I184" t="s">
        <v>45</v>
      </c>
    </row>
    <row r="185" spans="1:9" hidden="1" x14ac:dyDescent="0.35">
      <c r="A185" t="s">
        <v>9</v>
      </c>
      <c r="B185" t="s">
        <v>112</v>
      </c>
      <c r="C185">
        <v>9990000</v>
      </c>
      <c r="D185">
        <v>9690000</v>
      </c>
      <c r="E185" t="s">
        <v>113</v>
      </c>
      <c r="F185" t="s">
        <v>12</v>
      </c>
      <c r="G185" t="str">
        <f>_xlfn.TEXTJOIN(",",TRUE,_xlfn._xlws.FILTER(GPU_brand[GPU brand], (GPU_brand[GPU brand text]&lt;&gt;"") * ISNUMBER(SEARCH(GPU_brand[GPU brand text], B185)), ""))</f>
        <v>ZOTAC</v>
      </c>
      <c r="H185" t="str">
        <f>_xlfn.TEXTJOIN(",",TRUE,_xlfn._xlws.FILTER(Chipset_Table[Chipset], (Chipset_Table[Chipset text]&lt;&gt;"") * ISNUMBER(SEARCH(Chipset_Table[Chipset text], B185)), ""))</f>
        <v>GeForce RTX 5060</v>
      </c>
      <c r="I185" t="s">
        <v>23</v>
      </c>
    </row>
    <row r="186" spans="1:9" hidden="1" x14ac:dyDescent="0.35">
      <c r="A186" t="s">
        <v>9</v>
      </c>
      <c r="B186" t="s">
        <v>110</v>
      </c>
      <c r="C186">
        <v>10490000</v>
      </c>
      <c r="D186">
        <v>9890000</v>
      </c>
      <c r="E186" t="s">
        <v>111</v>
      </c>
      <c r="F186" t="s">
        <v>12</v>
      </c>
      <c r="G186" t="str">
        <f>_xlfn.TEXTJOIN(",",TRUE,_xlfn._xlws.FILTER(GPU_brand[GPU brand], (GPU_brand[GPU brand text]&lt;&gt;"") * ISNUMBER(SEARCH(GPU_brand[GPU brand text], B186)), ""))</f>
        <v>MSI</v>
      </c>
      <c r="H186" t="str">
        <f>_xlfn.TEXTJOIN(",",TRUE,_xlfn._xlws.FILTER(Chipset_Table[Chipset], (Chipset_Table[Chipset text]&lt;&gt;"") * ISNUMBER(SEARCH(Chipset_Table[Chipset text], B186)), ""))</f>
        <v>GeForce RTX 5060</v>
      </c>
      <c r="I186" t="s">
        <v>23</v>
      </c>
    </row>
    <row r="187" spans="1:9" hidden="1" x14ac:dyDescent="0.35">
      <c r="A187" t="s">
        <v>9</v>
      </c>
      <c r="B187" t="s">
        <v>108</v>
      </c>
      <c r="C187">
        <v>11990000</v>
      </c>
      <c r="D187">
        <v>10990000</v>
      </c>
      <c r="E187" t="s">
        <v>109</v>
      </c>
      <c r="F187" t="s">
        <v>12</v>
      </c>
      <c r="G187" t="str">
        <f>_xlfn.TEXTJOIN(",",TRUE,_xlfn._xlws.FILTER(GPU_brand[GPU brand], (GPU_brand[GPU brand text]&lt;&gt;"") * ISNUMBER(SEARCH(GPU_brand[GPU brand text], B187)), ""))</f>
        <v>MSI</v>
      </c>
      <c r="H187" t="str">
        <f>_xlfn.TEXTJOIN(",",TRUE,_xlfn._xlws.FILTER(Chipset_Table[Chipset], (Chipset_Table[Chipset text]&lt;&gt;"") * ISNUMBER(SEARCH(Chipset_Table[Chipset text], B187)), ""))</f>
        <v>GeForce RTX 5060</v>
      </c>
      <c r="I187" t="s">
        <v>23</v>
      </c>
    </row>
    <row r="188" spans="1:9" hidden="1" x14ac:dyDescent="0.35">
      <c r="A188" t="s">
        <v>9</v>
      </c>
      <c r="B188" t="s">
        <v>106</v>
      </c>
      <c r="C188">
        <v>8990000</v>
      </c>
      <c r="D188">
        <v>8790000</v>
      </c>
      <c r="E188" t="s">
        <v>107</v>
      </c>
      <c r="F188" t="s">
        <v>12</v>
      </c>
      <c r="G188" t="str">
        <f>_xlfn.TEXTJOIN(",",TRUE,_xlfn._xlws.FILTER(GPU_brand[GPU brand], (GPU_brand[GPU brand text]&lt;&gt;"") * ISNUMBER(SEARCH(GPU_brand[GPU brand text], B188)), ""))</f>
        <v>MSI</v>
      </c>
      <c r="H188" t="s">
        <v>26</v>
      </c>
      <c r="I188" t="s">
        <v>23</v>
      </c>
    </row>
    <row r="189" spans="1:9" hidden="1" x14ac:dyDescent="0.35">
      <c r="A189" t="s">
        <v>9</v>
      </c>
      <c r="B189" t="s">
        <v>104</v>
      </c>
      <c r="C189">
        <v>8590000</v>
      </c>
      <c r="D189">
        <v>8390000</v>
      </c>
      <c r="E189" t="s">
        <v>105</v>
      </c>
      <c r="F189" t="s">
        <v>12</v>
      </c>
      <c r="G189" t="str">
        <f>_xlfn.TEXTJOIN(",",TRUE,_xlfn._xlws.FILTER(GPU_brand[GPU brand], (GPU_brand[GPU brand text]&lt;&gt;"") * ISNUMBER(SEARCH(GPU_brand[GPU brand text], B189)), ""))</f>
        <v>MSI</v>
      </c>
      <c r="H189" t="s">
        <v>26</v>
      </c>
      <c r="I189" t="s">
        <v>23</v>
      </c>
    </row>
    <row r="190" spans="1:9" hidden="1" x14ac:dyDescent="0.35">
      <c r="A190" t="s">
        <v>9</v>
      </c>
      <c r="B190" t="s">
        <v>102</v>
      </c>
      <c r="C190">
        <v>7890000</v>
      </c>
      <c r="D190">
        <v>7490000</v>
      </c>
      <c r="E190" t="s">
        <v>103</v>
      </c>
      <c r="F190" t="s">
        <v>12</v>
      </c>
      <c r="G190" t="str">
        <f>_xlfn.TEXTJOIN(",",TRUE,_xlfn._xlws.FILTER(GPU_brand[GPU brand], (GPU_brand[GPU brand text]&lt;&gt;"") * ISNUMBER(SEARCH(GPU_brand[GPU brand text], B190)), ""))</f>
        <v>MSI</v>
      </c>
      <c r="H190" t="s">
        <v>26</v>
      </c>
      <c r="I190" t="s">
        <v>23</v>
      </c>
    </row>
    <row r="191" spans="1:9" hidden="1" x14ac:dyDescent="0.35">
      <c r="A191" t="s">
        <v>9</v>
      </c>
      <c r="B191" t="s">
        <v>88</v>
      </c>
      <c r="C191">
        <v>8290000</v>
      </c>
      <c r="D191">
        <v>7890000</v>
      </c>
      <c r="E191" t="s">
        <v>89</v>
      </c>
      <c r="F191" t="s">
        <v>12</v>
      </c>
      <c r="G191" t="str">
        <f>_xlfn.TEXTJOIN(",",TRUE,_xlfn._xlws.FILTER(GPU_brand[GPU brand], (GPU_brand[GPU brand text]&lt;&gt;"") * ISNUMBER(SEARCH(GPU_brand[GPU brand text], B191)), ""))</f>
        <v>ASUS</v>
      </c>
      <c r="H191" t="s">
        <v>26</v>
      </c>
      <c r="I191" t="s">
        <v>23</v>
      </c>
    </row>
    <row r="192" spans="1:9" hidden="1" x14ac:dyDescent="0.35">
      <c r="A192" t="s">
        <v>9</v>
      </c>
      <c r="B192" t="s">
        <v>96</v>
      </c>
      <c r="C192">
        <v>9290000</v>
      </c>
      <c r="D192">
        <v>7490000</v>
      </c>
      <c r="E192" t="s">
        <v>97</v>
      </c>
      <c r="F192" t="s">
        <v>12</v>
      </c>
      <c r="G192" t="str">
        <f>_xlfn.TEXTJOIN(",",TRUE,_xlfn._xlws.FILTER(GPU_brand[GPU brand], (GPU_brand[GPU brand text]&lt;&gt;"") * ISNUMBER(SEARCH(GPU_brand[GPU brand text], B192)), ""))</f>
        <v>ASUS</v>
      </c>
      <c r="H192" t="s">
        <v>26</v>
      </c>
      <c r="I192" t="s">
        <v>23</v>
      </c>
    </row>
    <row r="193" spans="1:9" hidden="1" x14ac:dyDescent="0.35">
      <c r="A193" t="s">
        <v>9</v>
      </c>
      <c r="B193" t="s">
        <v>94</v>
      </c>
      <c r="C193">
        <v>9890000</v>
      </c>
      <c r="D193">
        <v>8690000</v>
      </c>
      <c r="E193" t="s">
        <v>95</v>
      </c>
      <c r="F193" t="s">
        <v>12</v>
      </c>
      <c r="G193" t="str">
        <f>_xlfn.TEXTJOIN(",",TRUE,_xlfn._xlws.FILTER(GPU_brand[GPU brand], (GPU_brand[GPU brand text]&lt;&gt;"") * ISNUMBER(SEARCH(GPU_brand[GPU brand text], B193)), ""))</f>
        <v>ASUS</v>
      </c>
      <c r="H193" t="s">
        <v>26</v>
      </c>
      <c r="I193" t="s">
        <v>23</v>
      </c>
    </row>
    <row r="194" spans="1:9" hidden="1" x14ac:dyDescent="0.35">
      <c r="A194" t="s">
        <v>9</v>
      </c>
      <c r="B194" t="s">
        <v>90</v>
      </c>
      <c r="C194">
        <v>9590000</v>
      </c>
      <c r="D194">
        <v>9390000</v>
      </c>
      <c r="E194" t="s">
        <v>91</v>
      </c>
      <c r="F194" t="s">
        <v>12</v>
      </c>
      <c r="G194" t="str">
        <f>_xlfn.TEXTJOIN(",",TRUE,_xlfn._xlws.FILTER(GPU_brand[GPU brand], (GPU_brand[GPU brand text]&lt;&gt;"") * ISNUMBER(SEARCH(GPU_brand[GPU brand text], B194)), ""))</f>
        <v>ASUS</v>
      </c>
      <c r="H194" t="s">
        <v>26</v>
      </c>
      <c r="I194" t="s">
        <v>23</v>
      </c>
    </row>
    <row r="195" spans="1:9" hidden="1" x14ac:dyDescent="0.35">
      <c r="A195" t="s">
        <v>9</v>
      </c>
      <c r="B195" t="s">
        <v>84</v>
      </c>
      <c r="C195">
        <v>114990000</v>
      </c>
      <c r="D195">
        <v>102990000</v>
      </c>
      <c r="E195" t="s">
        <v>85</v>
      </c>
      <c r="F195" t="s">
        <v>12</v>
      </c>
      <c r="G195" t="str">
        <f>_xlfn.TEXTJOIN(",",TRUE,_xlfn._xlws.FILTER(GPU_brand[GPU brand], (GPU_brand[GPU brand text]&lt;&gt;"") * ISNUMBER(SEARCH(GPU_brand[GPU brand text], B195)), ""))</f>
        <v>ASUS</v>
      </c>
      <c r="H195" t="str">
        <f>_xlfn.TEXTJOIN(",",TRUE,_xlfn._xlws.FILTER(Chipset_Table[Chipset], (Chipset_Table[Chipset text]&lt;&gt;"") * ISNUMBER(SEARCH(Chipset_Table[Chipset text], B195)), ""))</f>
        <v>GeForce RTX 5090</v>
      </c>
      <c r="I195" t="s">
        <v>20</v>
      </c>
    </row>
    <row r="196" spans="1:9" hidden="1" x14ac:dyDescent="0.35">
      <c r="A196" t="s">
        <v>9</v>
      </c>
      <c r="B196" t="s">
        <v>100</v>
      </c>
      <c r="C196">
        <v>9490000</v>
      </c>
      <c r="D196">
        <v>8890000</v>
      </c>
      <c r="E196" t="s">
        <v>101</v>
      </c>
      <c r="F196" t="s">
        <v>12</v>
      </c>
      <c r="G196" t="str">
        <f>_xlfn.TEXTJOIN(",",TRUE,_xlfn._xlws.FILTER(GPU_brand[GPU brand], (GPU_brand[GPU brand text]&lt;&gt;"") * ISNUMBER(SEARCH(GPU_brand[GPU brand text], B196)), ""))</f>
        <v>Gigabyte</v>
      </c>
      <c r="H196" t="s">
        <v>26</v>
      </c>
      <c r="I196" t="s">
        <v>23</v>
      </c>
    </row>
    <row r="197" spans="1:9" hidden="1" x14ac:dyDescent="0.35">
      <c r="A197" t="s">
        <v>9</v>
      </c>
      <c r="B197" t="s">
        <v>98</v>
      </c>
      <c r="C197">
        <v>8690000</v>
      </c>
      <c r="D197">
        <v>8390000</v>
      </c>
      <c r="E197" t="s">
        <v>99</v>
      </c>
      <c r="F197" t="s">
        <v>12</v>
      </c>
      <c r="G197" t="str">
        <f>_xlfn.TEXTJOIN(",",TRUE,_xlfn._xlws.FILTER(GPU_brand[GPU brand], (GPU_brand[GPU brand text]&lt;&gt;"") * ISNUMBER(SEARCH(GPU_brand[GPU brand text], B197)), ""))</f>
        <v>Gigabyte</v>
      </c>
      <c r="H197" t="s">
        <v>26</v>
      </c>
      <c r="I197" t="s">
        <v>23</v>
      </c>
    </row>
    <row r="198" spans="1:9" hidden="1" x14ac:dyDescent="0.35">
      <c r="A198" t="s">
        <v>9</v>
      </c>
      <c r="B198" t="s">
        <v>92</v>
      </c>
      <c r="C198">
        <v>31990000</v>
      </c>
      <c r="D198">
        <v>29490000</v>
      </c>
      <c r="E198" t="s">
        <v>93</v>
      </c>
      <c r="F198" t="s">
        <v>12</v>
      </c>
      <c r="G198" t="str">
        <f>_xlfn.TEXTJOIN(",",TRUE,_xlfn._xlws.FILTER(GPU_brand[GPU brand], (GPU_brand[GPU brand text]&lt;&gt;"") * ISNUMBER(SEARCH(GPU_brand[GPU brand text], B198)), ""))</f>
        <v>MSI</v>
      </c>
      <c r="H198" t="s">
        <v>16</v>
      </c>
      <c r="I198" t="s">
        <v>17</v>
      </c>
    </row>
    <row r="199" spans="1:9" hidden="1" x14ac:dyDescent="0.35">
      <c r="A199" t="s">
        <v>9</v>
      </c>
      <c r="B199" t="s">
        <v>78</v>
      </c>
      <c r="C199">
        <v>0</v>
      </c>
      <c r="D199">
        <v>32990000</v>
      </c>
      <c r="E199" t="s">
        <v>79</v>
      </c>
      <c r="F199" t="s">
        <v>12</v>
      </c>
      <c r="G199" t="str">
        <f>_xlfn.TEXTJOIN(",",TRUE,_xlfn._xlws.FILTER(GPU_brand[GPU brand], (GPU_brand[GPU brand text]&lt;&gt;"") * ISNUMBER(SEARCH(GPU_brand[GPU brand text], B199)), ""))</f>
        <v>MSI</v>
      </c>
      <c r="H199" t="s">
        <v>16</v>
      </c>
      <c r="I199" t="s">
        <v>17</v>
      </c>
    </row>
    <row r="200" spans="1:9" hidden="1" x14ac:dyDescent="0.35">
      <c r="A200" t="s">
        <v>9</v>
      </c>
      <c r="B200" t="s">
        <v>80</v>
      </c>
      <c r="C200">
        <v>0</v>
      </c>
      <c r="D200">
        <v>54120000</v>
      </c>
      <c r="E200" t="s">
        <v>81</v>
      </c>
      <c r="F200" t="s">
        <v>12</v>
      </c>
      <c r="G200" t="str">
        <f>_xlfn.TEXTJOIN(",",TRUE,_xlfn._xlws.FILTER(GPU_brand[GPU brand], (GPU_brand[GPU brand text]&lt;&gt;"") * ISNUMBER(SEARCH(GPU_brand[GPU brand text], B200)), ""))</f>
        <v>ASUS</v>
      </c>
      <c r="H200" t="s">
        <v>40</v>
      </c>
      <c r="I200" t="s">
        <v>17</v>
      </c>
    </row>
    <row r="201" spans="1:9" hidden="1" x14ac:dyDescent="0.35">
      <c r="A201" t="s">
        <v>9</v>
      </c>
      <c r="B201" t="s">
        <v>116</v>
      </c>
      <c r="C201">
        <v>33990000</v>
      </c>
      <c r="D201">
        <v>32490000</v>
      </c>
      <c r="E201" t="s">
        <v>117</v>
      </c>
      <c r="F201" t="s">
        <v>12</v>
      </c>
      <c r="G201" t="str">
        <f>_xlfn.TEXTJOIN(",",TRUE,_xlfn._xlws.FILTER(GPU_brand[GPU brand], (GPU_brand[GPU brand text]&lt;&gt;"") * ISNUMBER(SEARCH(GPU_brand[GPU brand text], B201)), ""))</f>
        <v>MSI</v>
      </c>
      <c r="H201" t="s">
        <v>16</v>
      </c>
      <c r="I201" t="s">
        <v>17</v>
      </c>
    </row>
    <row r="202" spans="1:9" hidden="1" x14ac:dyDescent="0.35">
      <c r="A202" t="s">
        <v>9</v>
      </c>
      <c r="B202" t="s">
        <v>128</v>
      </c>
      <c r="C202">
        <v>10990000</v>
      </c>
      <c r="D202">
        <v>10490000</v>
      </c>
      <c r="E202" t="s">
        <v>129</v>
      </c>
      <c r="F202" t="s">
        <v>12</v>
      </c>
      <c r="G202" t="str">
        <f>_xlfn.TEXTJOIN(",",TRUE,_xlfn._xlws.FILTER(GPU_brand[GPU brand], (GPU_brand[GPU brand text]&lt;&gt;"") * ISNUMBER(SEARCH(GPU_brand[GPU brand text], B202)), ""))</f>
        <v>Gigabyte</v>
      </c>
      <c r="H202" t="str">
        <f>_xlfn.TEXTJOIN(",",TRUE,_xlfn._xlws.FILTER(Chipset_Table[Chipset], (Chipset_Table[Chipset text]&lt;&gt;"") * ISNUMBER(SEARCH(Chipset_Table[Chipset text], B202)), ""))</f>
        <v>GeForce RTX 5060</v>
      </c>
      <c r="I202" t="s">
        <v>23</v>
      </c>
    </row>
    <row r="203" spans="1:9" hidden="1" x14ac:dyDescent="0.35">
      <c r="A203" t="s">
        <v>9</v>
      </c>
      <c r="B203" t="s">
        <v>126</v>
      </c>
      <c r="C203">
        <v>0</v>
      </c>
      <c r="D203">
        <v>9990000</v>
      </c>
      <c r="E203" t="s">
        <v>127</v>
      </c>
      <c r="F203" t="s">
        <v>12</v>
      </c>
      <c r="G203" t="str">
        <f>_xlfn.TEXTJOIN(",",TRUE,_xlfn._xlws.FILTER(GPU_brand[GPU brand], (GPU_brand[GPU brand text]&lt;&gt;"") * ISNUMBER(SEARCH(GPU_brand[GPU brand text], B203)), ""))</f>
        <v>Gigabyte</v>
      </c>
      <c r="H203" t="str">
        <f>_xlfn.TEXTJOIN(",",TRUE,_xlfn._xlws.FILTER(Chipset_Table[Chipset], (Chipset_Table[Chipset text]&lt;&gt;"") * ISNUMBER(SEARCH(Chipset_Table[Chipset text], B203)), ""))</f>
        <v>GeForce RTX 5060</v>
      </c>
      <c r="I203" t="s">
        <v>23</v>
      </c>
    </row>
    <row r="204" spans="1:9" hidden="1" x14ac:dyDescent="0.35">
      <c r="A204" t="s">
        <v>9</v>
      </c>
      <c r="B204" t="s">
        <v>363</v>
      </c>
      <c r="C204">
        <v>22990000</v>
      </c>
      <c r="D204">
        <v>19990000</v>
      </c>
      <c r="E204" t="s">
        <v>364</v>
      </c>
      <c r="F204" t="s">
        <v>12</v>
      </c>
      <c r="G204" t="str">
        <f>_xlfn.TEXTJOIN(",",TRUE,_xlfn._xlws.FILTER(GPU_brand[GPU brand], (GPU_brand[GPU brand text]&lt;&gt;"") * ISNUMBER(SEARCH(GPU_brand[GPU brand text], B204)), ""))</f>
        <v>Gigabyte</v>
      </c>
      <c r="H204" t="str">
        <f>_xlfn.TEXTJOIN(",",TRUE,_xlfn._xlws.FILTER(Chipset_Table[Chipset], (Chipset_Table[Chipset text]&lt;&gt;"") * ISNUMBER(SEARCH(Chipset_Table[Chipset text], B204)), ""))</f>
        <v>RX 9070</v>
      </c>
      <c r="I204" t="s">
        <v>17</v>
      </c>
    </row>
    <row r="205" spans="1:9" hidden="1" x14ac:dyDescent="0.35">
      <c r="A205" t="s">
        <v>9</v>
      </c>
      <c r="B205" t="s">
        <v>365</v>
      </c>
      <c r="C205">
        <v>24990000</v>
      </c>
      <c r="D205">
        <v>23490000</v>
      </c>
      <c r="E205" t="s">
        <v>366</v>
      </c>
      <c r="F205" t="s">
        <v>12</v>
      </c>
      <c r="G205" t="str">
        <f>_xlfn.TEXTJOIN(",",TRUE,_xlfn._xlws.FILTER(GPU_brand[GPU brand], (GPU_brand[GPU brand text]&lt;&gt;"") * ISNUMBER(SEARCH(GPU_brand[GPU brand text], B205)), ""))</f>
        <v>ASUS</v>
      </c>
      <c r="H205" t="str">
        <f>_xlfn.TEXTJOIN(",",TRUE,_xlfn._xlws.FILTER(Chipset_Table[Chipset], (Chipset_Table[Chipset text]&lt;&gt;"") * ISNUMBER(SEARCH(Chipset_Table[Chipset text], B205)), ""))</f>
        <v>RX 9070</v>
      </c>
      <c r="I205" t="s">
        <v>17</v>
      </c>
    </row>
    <row r="206" spans="1:9" hidden="1" x14ac:dyDescent="0.35">
      <c r="A206" t="s">
        <v>9</v>
      </c>
      <c r="B206" t="s">
        <v>367</v>
      </c>
      <c r="C206">
        <v>5990000</v>
      </c>
      <c r="D206">
        <v>4890000</v>
      </c>
      <c r="E206" t="s">
        <v>368</v>
      </c>
      <c r="F206" t="s">
        <v>12</v>
      </c>
      <c r="G206" t="str">
        <f>_xlfn.TEXTJOIN(",",TRUE,_xlfn._xlws.FILTER(GPU_brand[GPU brand], (GPU_brand[GPU brand text]&lt;&gt;"") * ISNUMBER(SEARCH(GPU_brand[GPU brand text], B206)), ""))</f>
        <v>MSI</v>
      </c>
      <c r="H206" t="str">
        <f>_xlfn.TEXTJOIN(",",TRUE,_xlfn._xlws.FILTER(Chipset_Table[Chipset], (Chipset_Table[Chipset text]&lt;&gt;"") * ISNUMBER(SEARCH(Chipset_Table[Chipset text], B206)), ""))</f>
        <v>GeForce RTX 3050</v>
      </c>
      <c r="I206" t="str">
        <f>_xlfn.TEXTJOIN(",",TRUE,_xlfn._xlws.FILTER(VRAM_table[Video memory], (VRAM_table[Video memory text]&lt;&gt;"") * ISNUMBER(SEARCH(VRAM_table[Video memory text], B206)), ""))</f>
        <v>6GB</v>
      </c>
    </row>
    <row r="207" spans="1:9" hidden="1" x14ac:dyDescent="0.35">
      <c r="A207" t="s">
        <v>9</v>
      </c>
      <c r="B207" t="s">
        <v>194</v>
      </c>
      <c r="C207">
        <v>88990000</v>
      </c>
      <c r="D207">
        <v>79990000</v>
      </c>
      <c r="E207" t="s">
        <v>195</v>
      </c>
      <c r="F207" t="s">
        <v>12</v>
      </c>
      <c r="G207" t="str">
        <f>_xlfn.TEXTJOIN(",",TRUE,_xlfn._xlws.FILTER(GPU_brand[GPU brand], (GPU_brand[GPU brand text]&lt;&gt;"") * ISNUMBER(SEARCH(GPU_brand[GPU brand text], B207)), ""))</f>
        <v>MSI</v>
      </c>
      <c r="H207" t="str">
        <f>_xlfn.TEXTJOIN(",",TRUE,_xlfn._xlws.FILTER(Chipset_Table[Chipset], (Chipset_Table[Chipset text]&lt;&gt;"") * ISNUMBER(SEARCH(Chipset_Table[Chipset text], B207)), ""))</f>
        <v>GeForce RTX 5090</v>
      </c>
      <c r="I207" t="s">
        <v>20</v>
      </c>
    </row>
    <row r="208" spans="1:9" hidden="1" x14ac:dyDescent="0.35">
      <c r="A208" t="s">
        <v>9</v>
      </c>
      <c r="B208" t="s">
        <v>369</v>
      </c>
      <c r="C208">
        <v>0</v>
      </c>
      <c r="D208">
        <v>20490000</v>
      </c>
      <c r="E208" t="s">
        <v>370</v>
      </c>
      <c r="F208" t="s">
        <v>12</v>
      </c>
      <c r="G208" t="str">
        <f>_xlfn.TEXTJOIN(",",TRUE,_xlfn._xlws.FILTER(GPU_brand[GPU brand], (GPU_brand[GPU brand text]&lt;&gt;"") * ISNUMBER(SEARCH(GPU_brand[GPU brand text], B208)), ""))</f>
        <v>MSI</v>
      </c>
      <c r="H208" t="s">
        <v>326</v>
      </c>
      <c r="I208" t="s">
        <v>45</v>
      </c>
    </row>
    <row r="209" spans="1:9" hidden="1" x14ac:dyDescent="0.35">
      <c r="A209" t="s">
        <v>9</v>
      </c>
      <c r="B209" t="s">
        <v>371</v>
      </c>
      <c r="C209">
        <v>66990000</v>
      </c>
      <c r="D209">
        <v>62990000</v>
      </c>
      <c r="E209" t="s">
        <v>372</v>
      </c>
      <c r="F209" t="s">
        <v>12</v>
      </c>
      <c r="G209" t="str">
        <f>_xlfn.TEXTJOIN(",",TRUE,_xlfn._xlws.FILTER(GPU_brand[GPU brand], (GPU_brand[GPU brand text]&lt;&gt;"") * ISNUMBER(SEARCH(GPU_brand[GPU brand text], B209)), ""))</f>
        <v>ASUS</v>
      </c>
      <c r="H209" t="str">
        <f>_xlfn.TEXTJOIN(",",TRUE,_xlfn._xlws.FILTER(Chipset_Table[Chipset], (Chipset_Table[Chipset text]&lt;&gt;"") * ISNUMBER(SEARCH(Chipset_Table[Chipset text], B209)), ""))</f>
        <v>GeForce RTX 4090</v>
      </c>
      <c r="I209" t="s">
        <v>373</v>
      </c>
    </row>
    <row r="210" spans="1:9" hidden="1" x14ac:dyDescent="0.35">
      <c r="A210" t="s">
        <v>9</v>
      </c>
      <c r="B210" t="s">
        <v>374</v>
      </c>
      <c r="C210">
        <v>0</v>
      </c>
      <c r="D210">
        <v>12990000</v>
      </c>
      <c r="E210" t="s">
        <v>375</v>
      </c>
      <c r="F210" t="s">
        <v>12</v>
      </c>
      <c r="G210" t="str">
        <f>_xlfn.TEXTJOIN(",",TRUE,_xlfn._xlws.FILTER(GPU_brand[GPU brand], (GPU_brand[GPU brand text]&lt;&gt;"") * ISNUMBER(SEARCH(GPU_brand[GPU brand text], B210)), ""))</f>
        <v>ASUS</v>
      </c>
      <c r="H210" t="str">
        <f>_xlfn.TEXTJOIN(",",TRUE,_xlfn._xlws.FILTER(Chipset_Table[Chipset], (Chipset_Table[Chipset text]&lt;&gt;"") * ISNUMBER(SEARCH(Chipset_Table[Chipset text], B210)), ""))</f>
        <v>GeForce RTX 4060</v>
      </c>
      <c r="I210" t="s">
        <v>23</v>
      </c>
    </row>
    <row r="211" spans="1:9" hidden="1" x14ac:dyDescent="0.35">
      <c r="A211" t="s">
        <v>9</v>
      </c>
      <c r="B211" t="s">
        <v>376</v>
      </c>
      <c r="C211">
        <v>15990000</v>
      </c>
      <c r="D211">
        <v>14990000</v>
      </c>
      <c r="E211" t="s">
        <v>377</v>
      </c>
      <c r="F211" t="s">
        <v>12</v>
      </c>
      <c r="G211" t="str">
        <f>_xlfn.TEXTJOIN(",",TRUE,_xlfn._xlws.FILTER(GPU_brand[GPU brand], (GPU_brand[GPU brand text]&lt;&gt;"") * ISNUMBER(SEARCH(GPU_brand[GPU brand text], B211)), ""))</f>
        <v>ASUS</v>
      </c>
      <c r="H211" t="str">
        <f>_xlfn.TEXTJOIN(",",TRUE,_xlfn._xlws.FILTER(Chipset_Table[Chipset], (Chipset_Table[Chipset text]&lt;&gt;"") * ISNUMBER(SEARCH(Chipset_Table[Chipset text], B211)), ""))</f>
        <v>GeForce RTX 4060</v>
      </c>
      <c r="I211" t="s">
        <v>17</v>
      </c>
    </row>
    <row r="212" spans="1:9" hidden="1" x14ac:dyDescent="0.35">
      <c r="A212" t="s">
        <v>9</v>
      </c>
      <c r="B212" t="s">
        <v>378</v>
      </c>
      <c r="C212">
        <v>5990000</v>
      </c>
      <c r="D212">
        <v>5490000</v>
      </c>
      <c r="E212" t="s">
        <v>379</v>
      </c>
      <c r="F212" t="s">
        <v>12</v>
      </c>
      <c r="G212" t="str">
        <f>_xlfn.TEXTJOIN(",",TRUE,_xlfn._xlws.FILTER(GPU_brand[GPU brand], (GPU_brand[GPU brand text]&lt;&gt;"") * ISNUMBER(SEARCH(GPU_brand[GPU brand text], B212)), ""))</f>
        <v>ASUS</v>
      </c>
      <c r="H212" t="str">
        <f>_xlfn.TEXTJOIN(",",TRUE,_xlfn._xlws.FILTER(Chipset_Table[Chipset], (Chipset_Table[Chipset text]&lt;&gt;"") * ISNUMBER(SEARCH(Chipset_Table[Chipset text], B212)), ""))</f>
        <v>RX 6600</v>
      </c>
      <c r="I212" t="s">
        <v>23</v>
      </c>
    </row>
    <row r="213" spans="1:9" hidden="1" x14ac:dyDescent="0.35">
      <c r="A213" t="s">
        <v>9</v>
      </c>
      <c r="B213" t="s">
        <v>380</v>
      </c>
      <c r="C213">
        <v>14990000</v>
      </c>
      <c r="D213">
        <v>13990000</v>
      </c>
      <c r="E213" t="s">
        <v>381</v>
      </c>
      <c r="F213" t="s">
        <v>12</v>
      </c>
      <c r="G213" t="str">
        <f>_xlfn.TEXTJOIN(",",TRUE,_xlfn._xlws.FILTER(GPU_brand[GPU brand], (GPU_brand[GPU brand text]&lt;&gt;"") * ISNUMBER(SEARCH(GPU_brand[GPU brand text], B213)), ""))</f>
        <v>MSI</v>
      </c>
      <c r="H213" t="str">
        <f>_xlfn.TEXTJOIN(",",TRUE,_xlfn._xlws.FILTER(Chipset_Table[Chipset], (Chipset_Table[Chipset text]&lt;&gt;"") * ISNUMBER(SEARCH(Chipset_Table[Chipset text], B213)), ""))</f>
        <v>GeForce RTX 4060</v>
      </c>
      <c r="I213" t="str">
        <f>_xlfn.TEXTJOIN(",",TRUE,_xlfn._xlws.FILTER(VRAM_table[Video memory], (VRAM_table[Video memory text]&lt;&gt;"") * ISNUMBER(SEARCH(VRAM_table[Video memory text], B213)), ""))</f>
        <v>8GB</v>
      </c>
    </row>
    <row r="214" spans="1:9" hidden="1" x14ac:dyDescent="0.35">
      <c r="A214" t="s">
        <v>9</v>
      </c>
      <c r="B214" t="s">
        <v>382</v>
      </c>
      <c r="C214">
        <v>31990000</v>
      </c>
      <c r="D214">
        <v>29490000</v>
      </c>
      <c r="E214" t="s">
        <v>383</v>
      </c>
      <c r="F214" t="s">
        <v>12</v>
      </c>
      <c r="G214" t="str">
        <f>_xlfn.TEXTJOIN(",",TRUE,_xlfn._xlws.FILTER(GPU_brand[GPU brand], (GPU_brand[GPU brand text]&lt;&gt;"") * ISNUMBER(SEARCH(GPU_brand[GPU brand text], B214)), ""))</f>
        <v>ASUS</v>
      </c>
      <c r="H214" t="s">
        <v>384</v>
      </c>
      <c r="I214" t="s">
        <v>17</v>
      </c>
    </row>
    <row r="215" spans="1:9" hidden="1" x14ac:dyDescent="0.35">
      <c r="A215" t="s">
        <v>9</v>
      </c>
      <c r="B215" t="s">
        <v>385</v>
      </c>
      <c r="C215">
        <v>7490000</v>
      </c>
      <c r="D215">
        <v>6790000</v>
      </c>
      <c r="E215" t="s">
        <v>386</v>
      </c>
      <c r="F215" t="s">
        <v>12</v>
      </c>
      <c r="G215" t="str">
        <f>_xlfn.TEXTJOIN(",",TRUE,_xlfn._xlws.FILTER(GPU_brand[GPU brand], (GPU_brand[GPU brand text]&lt;&gt;"") * ISNUMBER(SEARCH(GPU_brand[GPU brand text], B215)), ""))</f>
        <v>Gigabyte</v>
      </c>
      <c r="H215" t="str">
        <f>_xlfn.TEXTJOIN(",",TRUE,_xlfn._xlws.FILTER(Chipset_Table[Chipset], (Chipset_Table[Chipset text]&lt;&gt;"") * ISNUMBER(SEARCH(Chipset_Table[Chipset text], B215)), ""))</f>
        <v>GeForce RTX 3050</v>
      </c>
      <c r="I215" t="str">
        <f>_xlfn.TEXTJOIN(",",TRUE,_xlfn._xlws.FILTER(VRAM_table[Video memory], (VRAM_table[Video memory text]&lt;&gt;"") * ISNUMBER(SEARCH(VRAM_table[Video memory text], B215)), ""))</f>
        <v>6GB</v>
      </c>
    </row>
    <row r="216" spans="1:9" hidden="1" x14ac:dyDescent="0.35">
      <c r="A216" t="s">
        <v>9</v>
      </c>
      <c r="B216" t="s">
        <v>387</v>
      </c>
      <c r="C216">
        <v>29990000</v>
      </c>
      <c r="D216">
        <v>29190000</v>
      </c>
      <c r="E216" t="s">
        <v>388</v>
      </c>
      <c r="F216" t="s">
        <v>12</v>
      </c>
      <c r="G216" t="str">
        <f>_xlfn.TEXTJOIN(",",TRUE,_xlfn._xlws.FILTER(GPU_brand[GPU brand], (GPU_brand[GPU brand text]&lt;&gt;"") * ISNUMBER(SEARCH(GPU_brand[GPU brand text], B216)), ""))</f>
        <v>ASUS</v>
      </c>
      <c r="H216" t="s">
        <v>384</v>
      </c>
      <c r="I216" t="s">
        <v>17</v>
      </c>
    </row>
    <row r="217" spans="1:9" hidden="1" x14ac:dyDescent="0.35">
      <c r="A217" t="s">
        <v>9</v>
      </c>
      <c r="B217" t="s">
        <v>389</v>
      </c>
      <c r="C217">
        <v>5990000</v>
      </c>
      <c r="D217">
        <v>5090000</v>
      </c>
      <c r="E217" t="s">
        <v>390</v>
      </c>
      <c r="F217" t="s">
        <v>12</v>
      </c>
      <c r="G217" t="str">
        <f>_xlfn.TEXTJOIN(",",TRUE,_xlfn._xlws.FILTER(GPU_brand[GPU brand], (GPU_brand[GPU brand text]&lt;&gt;"") * ISNUMBER(SEARCH(GPU_brand[GPU brand text], B217)), ""))</f>
        <v>Gigabyte</v>
      </c>
      <c r="H217" t="str">
        <f>_xlfn.TEXTJOIN(",",TRUE,_xlfn._xlws.FILTER(Chipset_Table[Chipset], (Chipset_Table[Chipset text]&lt;&gt;"") * ISNUMBER(SEARCH(Chipset_Table[Chipset text], B217)), ""))</f>
        <v>GeForce RTX 3050</v>
      </c>
      <c r="I217" t="str">
        <f>_xlfn.TEXTJOIN(",",TRUE,_xlfn._xlws.FILTER(VRAM_table[Video memory], (VRAM_table[Video memory text]&lt;&gt;"") * ISNUMBER(SEARCH(VRAM_table[Video memory text], B217)), ""))</f>
        <v>6GB</v>
      </c>
    </row>
    <row r="218" spans="1:9" hidden="1" x14ac:dyDescent="0.35">
      <c r="A218" t="s">
        <v>9</v>
      </c>
      <c r="B218" t="s">
        <v>391</v>
      </c>
      <c r="C218">
        <v>18990000</v>
      </c>
      <c r="D218">
        <v>17390000</v>
      </c>
      <c r="E218" t="s">
        <v>392</v>
      </c>
      <c r="F218" t="s">
        <v>12</v>
      </c>
      <c r="G218" t="str">
        <f>_xlfn.TEXTJOIN(",",TRUE,_xlfn._xlws.FILTER(GPU_brand[GPU brand], (GPU_brand[GPU brand text]&lt;&gt;"") * ISNUMBER(SEARCH(GPU_brand[GPU brand text], B218)), ""))</f>
        <v>MSI</v>
      </c>
      <c r="H218" t="str">
        <f>_xlfn.TEXTJOIN(",",TRUE,_xlfn._xlws.FILTER(Chipset_Table[Chipset], (Chipset_Table[Chipset text]&lt;&gt;"") * ISNUMBER(SEARCH(Chipset_Table[Chipset text], B218)), ""))</f>
        <v>GeForce RTX 4070</v>
      </c>
      <c r="I218" t="s">
        <v>45</v>
      </c>
    </row>
    <row r="219" spans="1:9" hidden="1" x14ac:dyDescent="0.35">
      <c r="A219" t="s">
        <v>9</v>
      </c>
      <c r="B219" t="s">
        <v>393</v>
      </c>
      <c r="C219">
        <v>0</v>
      </c>
      <c r="D219">
        <v>27990000</v>
      </c>
      <c r="E219" t="s">
        <v>394</v>
      </c>
      <c r="F219" t="s">
        <v>12</v>
      </c>
      <c r="G219" t="str">
        <f>_xlfn.TEXTJOIN(",",TRUE,_xlfn._xlws.FILTER(GPU_brand[GPU brand], (GPU_brand[GPU brand text]&lt;&gt;"") * ISNUMBER(SEARCH(GPU_brand[GPU brand text], B219)), ""))</f>
        <v>Gigabyte</v>
      </c>
      <c r="H219" t="str">
        <f>_xlfn.TEXTJOIN(",",TRUE,_xlfn._xlws.FILTER(Chipset_Table[Chipset], (Chipset_Table[Chipset text]&lt;&gt;"") * ISNUMBER(SEARCH(Chipset_Table[Chipset text], B219)), ""))</f>
        <v>GeForce RTX 4070</v>
      </c>
      <c r="I219" t="s">
        <v>45</v>
      </c>
    </row>
    <row r="220" spans="1:9" hidden="1" x14ac:dyDescent="0.35">
      <c r="A220" t="s">
        <v>9</v>
      </c>
      <c r="B220" t="s">
        <v>395</v>
      </c>
      <c r="C220">
        <v>0</v>
      </c>
      <c r="D220">
        <v>19490000</v>
      </c>
      <c r="E220" t="s">
        <v>396</v>
      </c>
      <c r="F220" t="s">
        <v>12</v>
      </c>
      <c r="G220" t="str">
        <f>_xlfn.TEXTJOIN(",",TRUE,_xlfn._xlws.FILTER(GPU_brand[GPU brand], (GPU_brand[GPU brand text]&lt;&gt;"") * ISNUMBER(SEARCH(GPU_brand[GPU brand text], B220)), ""))</f>
        <v>MSI</v>
      </c>
      <c r="H220" t="s">
        <v>326</v>
      </c>
      <c r="I220" t="s">
        <v>45</v>
      </c>
    </row>
    <row r="221" spans="1:9" hidden="1" x14ac:dyDescent="0.35">
      <c r="A221" t="s">
        <v>9</v>
      </c>
      <c r="B221" t="s">
        <v>397</v>
      </c>
      <c r="C221">
        <v>0</v>
      </c>
      <c r="D221">
        <v>21490000</v>
      </c>
      <c r="E221" t="s">
        <v>398</v>
      </c>
      <c r="F221" t="s">
        <v>12</v>
      </c>
      <c r="G221" t="str">
        <f>_xlfn.TEXTJOIN(",",TRUE,_xlfn._xlws.FILTER(GPU_brand[GPU brand], (GPU_brand[GPU brand text]&lt;&gt;"") * ISNUMBER(SEARCH(GPU_brand[GPU brand text], B221)), ""))</f>
        <v>Gigabyte</v>
      </c>
      <c r="H221" t="s">
        <v>326</v>
      </c>
      <c r="I221" t="s">
        <v>45</v>
      </c>
    </row>
    <row r="222" spans="1:9" hidden="1" x14ac:dyDescent="0.35">
      <c r="A222" t="s">
        <v>9</v>
      </c>
      <c r="B222" t="s">
        <v>399</v>
      </c>
      <c r="C222">
        <v>0</v>
      </c>
      <c r="D222">
        <v>59990000</v>
      </c>
      <c r="E222" t="s">
        <v>400</v>
      </c>
      <c r="F222" t="s">
        <v>12</v>
      </c>
      <c r="G222" t="str">
        <f>_xlfn.TEXTJOIN(",",TRUE,_xlfn._xlws.FILTER(GPU_brand[GPU brand], (GPU_brand[GPU brand text]&lt;&gt;"") * ISNUMBER(SEARCH(GPU_brand[GPU brand text], B222)), ""))</f>
        <v>Gigabyte</v>
      </c>
      <c r="H222" t="str">
        <f>_xlfn.TEXTJOIN(",",TRUE,_xlfn._xlws.FILTER(Chipset_Table[Chipset], (Chipset_Table[Chipset text]&lt;&gt;"") * ISNUMBER(SEARCH(Chipset_Table[Chipset text], B222)), ""))</f>
        <v>GeForce RTX 4090</v>
      </c>
      <c r="I222" t="s">
        <v>373</v>
      </c>
    </row>
    <row r="223" spans="1:9" hidden="1" x14ac:dyDescent="0.35">
      <c r="A223" t="s">
        <v>9</v>
      </c>
      <c r="B223" t="s">
        <v>401</v>
      </c>
      <c r="C223">
        <v>20990000</v>
      </c>
      <c r="D223">
        <v>17990000</v>
      </c>
      <c r="E223" t="s">
        <v>402</v>
      </c>
      <c r="F223" t="s">
        <v>12</v>
      </c>
      <c r="G223" t="str">
        <f>_xlfn.TEXTJOIN(",",TRUE,_xlfn._xlws.FILTER(GPU_brand[GPU brand], (GPU_brand[GPU brand text]&lt;&gt;"") * ISNUMBER(SEARCH(GPU_brand[GPU brand text], B223)), ""))</f>
        <v>MSI</v>
      </c>
      <c r="H223" t="str">
        <f>_xlfn.TEXTJOIN(",",TRUE,_xlfn._xlws.FILTER(Chipset_Table[Chipset], (Chipset_Table[Chipset text]&lt;&gt;"") * ISNUMBER(SEARCH(Chipset_Table[Chipset text], B223)), ""))</f>
        <v>GeForce RTX 4070</v>
      </c>
      <c r="I223" t="s">
        <v>45</v>
      </c>
    </row>
    <row r="224" spans="1:9" hidden="1" x14ac:dyDescent="0.35">
      <c r="A224" t="s">
        <v>9</v>
      </c>
      <c r="B224" t="s">
        <v>403</v>
      </c>
      <c r="C224">
        <v>27990000</v>
      </c>
      <c r="D224">
        <v>24990000</v>
      </c>
      <c r="E224" t="s">
        <v>404</v>
      </c>
      <c r="F224" t="s">
        <v>12</v>
      </c>
      <c r="G224" t="str">
        <f>_xlfn.TEXTJOIN(",",TRUE,_xlfn._xlws.FILTER(GPU_brand[GPU brand], (GPU_brand[GPU brand text]&lt;&gt;"") * ISNUMBER(SEARCH(GPU_brand[GPU brand text], B224)), ""))</f>
        <v>MSI</v>
      </c>
      <c r="H224" t="str">
        <f>_xlfn.TEXTJOIN(",",TRUE,_xlfn._xlws.FILTER(Chipset_Table[Chipset], (Chipset_Table[Chipset text]&lt;&gt;"") * ISNUMBER(SEARCH(Chipset_Table[Chipset text], B224)), ""))</f>
        <v>GeForce RTX 4070</v>
      </c>
      <c r="I224" t="s">
        <v>45</v>
      </c>
    </row>
    <row r="225" spans="1:9" hidden="1" x14ac:dyDescent="0.35">
      <c r="A225" t="s">
        <v>9</v>
      </c>
      <c r="B225" t="s">
        <v>405</v>
      </c>
      <c r="C225">
        <v>5690000</v>
      </c>
      <c r="D225">
        <v>5190000</v>
      </c>
      <c r="E225" t="s">
        <v>406</v>
      </c>
      <c r="F225" t="s">
        <v>12</v>
      </c>
      <c r="G225" t="str">
        <f>_xlfn.TEXTJOIN(",",TRUE,_xlfn._xlws.FILTER(GPU_brand[GPU brand], (GPU_brand[GPU brand text]&lt;&gt;"") * ISNUMBER(SEARCH(GPU_brand[GPU brand text], B225)), ""))</f>
        <v>Colorful</v>
      </c>
      <c r="H225" t="s">
        <v>407</v>
      </c>
      <c r="I225" t="str">
        <f>_xlfn.TEXTJOIN(",",TRUE,_xlfn._xlws.FILTER(VRAM_table[Video memory], (VRAM_table[Video memory text]&lt;&gt;"") * ISNUMBER(SEARCH(VRAM_table[Video memory text], B225)), ""))</f>
        <v>6GB</v>
      </c>
    </row>
    <row r="226" spans="1:9" hidden="1" x14ac:dyDescent="0.35">
      <c r="A226" t="s">
        <v>9</v>
      </c>
      <c r="B226" t="s">
        <v>408</v>
      </c>
      <c r="C226">
        <v>4490000</v>
      </c>
      <c r="D226">
        <v>3790000</v>
      </c>
      <c r="E226" t="s">
        <v>409</v>
      </c>
      <c r="F226" t="s">
        <v>12</v>
      </c>
      <c r="G226" t="str">
        <f>_xlfn.TEXTJOIN(",",TRUE,_xlfn._xlws.FILTER(GPU_brand[GPU brand], (GPU_brand[GPU brand text]&lt;&gt;"") * ISNUMBER(SEARCH(GPU_brand[GPU brand text], B226)), ""))</f>
        <v>Colorful</v>
      </c>
      <c r="H226" t="s">
        <v>348</v>
      </c>
      <c r="I226" t="str">
        <f>_xlfn.TEXTJOIN(",",TRUE,_xlfn._xlws.FILTER(VRAM_table[Video memory], (VRAM_table[Video memory text]&lt;&gt;"") * ISNUMBER(SEARCH(VRAM_table[Video memory text], B226)), ""))</f>
        <v>4GB</v>
      </c>
    </row>
    <row r="227" spans="1:9" hidden="1" x14ac:dyDescent="0.35">
      <c r="A227" t="s">
        <v>9</v>
      </c>
      <c r="B227" t="s">
        <v>410</v>
      </c>
      <c r="C227">
        <v>0</v>
      </c>
      <c r="D227">
        <v>19290000</v>
      </c>
      <c r="E227" t="s">
        <v>411</v>
      </c>
      <c r="F227" t="s">
        <v>12</v>
      </c>
      <c r="G227" t="str">
        <f>_xlfn.TEXTJOIN(",",TRUE,_xlfn._xlws.FILTER(GPU_brand[GPU brand], (GPU_brand[GPU brand text]&lt;&gt;"") * ISNUMBER(SEARCH(GPU_brand[GPU brand text], B227)), ""))</f>
        <v>Gigabyte</v>
      </c>
      <c r="H227" t="str">
        <f>_xlfn.TEXTJOIN(",",TRUE,_xlfn._xlws.FILTER(Chipset_Table[Chipset], (Chipset_Table[Chipset text]&lt;&gt;"") * ISNUMBER(SEARCH(Chipset_Table[Chipset text], B227)), ""))</f>
        <v>GeForce RTX 4070</v>
      </c>
      <c r="I227" t="s">
        <v>45</v>
      </c>
    </row>
    <row r="228" spans="1:9" hidden="1" x14ac:dyDescent="0.35">
      <c r="A228" t="s">
        <v>9</v>
      </c>
      <c r="B228" t="s">
        <v>412</v>
      </c>
      <c r="C228">
        <v>22190000</v>
      </c>
      <c r="D228">
        <v>19990000</v>
      </c>
      <c r="E228" t="s">
        <v>413</v>
      </c>
      <c r="F228" t="s">
        <v>12</v>
      </c>
      <c r="G228" t="str">
        <f>_xlfn.TEXTJOIN(",",TRUE,_xlfn._xlws.FILTER(GPU_brand[GPU brand], (GPU_brand[GPU brand text]&lt;&gt;"") * ISNUMBER(SEARCH(GPU_brand[GPU brand text], B228)), ""))</f>
        <v>Colorful</v>
      </c>
      <c r="H228" t="str">
        <f>_xlfn.TEXTJOIN(",",TRUE,_xlfn._xlws.FILTER(Chipset_Table[Chipset], (Chipset_Table[Chipset text]&lt;&gt;"") * ISNUMBER(SEARCH(Chipset_Table[Chipset text], B228)), ""))</f>
        <v>GeForce RTX 4070</v>
      </c>
      <c r="I228" t="s">
        <v>45</v>
      </c>
    </row>
    <row r="229" spans="1:9" hidden="1" x14ac:dyDescent="0.35">
      <c r="A229" t="s">
        <v>9</v>
      </c>
      <c r="B229" t="s">
        <v>414</v>
      </c>
      <c r="C229">
        <v>9490000</v>
      </c>
      <c r="D229">
        <v>9290000</v>
      </c>
      <c r="E229" t="s">
        <v>415</v>
      </c>
      <c r="F229" t="s">
        <v>12</v>
      </c>
      <c r="G229" t="str">
        <f>_xlfn.TEXTJOIN(",",TRUE,_xlfn._xlws.FILTER(GPU_brand[GPU brand], (GPU_brand[GPU brand text]&lt;&gt;"") * ISNUMBER(SEARCH(GPU_brand[GPU brand text], B229)), ""))</f>
        <v>Gigabyte</v>
      </c>
      <c r="H229" t="str">
        <f>_xlfn.TEXTJOIN(",",TRUE,_xlfn._xlws.FILTER(Chipset_Table[Chipset], (Chipset_Table[Chipset text]&lt;&gt;"") * ISNUMBER(SEARCH(Chipset_Table[Chipset text], B229)), ""))</f>
        <v>GeForce RTX 4060</v>
      </c>
      <c r="I229" t="str">
        <f>_xlfn.TEXTJOIN(",",TRUE,_xlfn._xlws.FILTER(VRAM_table[Video memory], (VRAM_table[Video memory text]&lt;&gt;"") * ISNUMBER(SEARCH(VRAM_table[Video memory text], B229)), ""))</f>
        <v>8GB</v>
      </c>
    </row>
    <row r="230" spans="1:9" hidden="1" x14ac:dyDescent="0.35">
      <c r="A230" t="s">
        <v>9</v>
      </c>
      <c r="B230" t="s">
        <v>416</v>
      </c>
      <c r="C230">
        <v>4990000</v>
      </c>
      <c r="D230">
        <v>3690000</v>
      </c>
      <c r="E230" t="s">
        <v>417</v>
      </c>
      <c r="F230" t="s">
        <v>12</v>
      </c>
      <c r="G230" t="str">
        <f>_xlfn.TEXTJOIN(",",TRUE,_xlfn._xlws.FILTER(GPU_brand[GPU brand], (GPU_brand[GPU brand text]&lt;&gt;"") * ISNUMBER(SEARCH(GPU_brand[GPU brand text], B230)), ""))</f>
        <v>ASUS</v>
      </c>
      <c r="H230" t="s">
        <v>348</v>
      </c>
      <c r="I230" t="s">
        <v>332</v>
      </c>
    </row>
    <row r="231" spans="1:9" hidden="1" x14ac:dyDescent="0.35">
      <c r="A231" t="s">
        <v>9</v>
      </c>
      <c r="B231" t="s">
        <v>418</v>
      </c>
      <c r="C231">
        <v>0</v>
      </c>
      <c r="D231">
        <v>15990000</v>
      </c>
      <c r="E231" t="s">
        <v>419</v>
      </c>
      <c r="F231" t="s">
        <v>12</v>
      </c>
      <c r="G231" t="str">
        <f>_xlfn.TEXTJOIN(",",TRUE,_xlfn._xlws.FILTER(GPU_brand[GPU brand], (GPU_brand[GPU brand text]&lt;&gt;"") * ISNUMBER(SEARCH(GPU_brand[GPU brand text], B231)), ""))</f>
        <v>Gigabyte</v>
      </c>
      <c r="H231" t="str">
        <f>_xlfn.TEXTJOIN(",",TRUE,_xlfn._xlws.FILTER(Chipset_Table[Chipset], (Chipset_Table[Chipset text]&lt;&gt;"") * ISNUMBER(SEARCH(Chipset_Table[Chipset text], B231)), ""))</f>
        <v>GeForce RTX 4060</v>
      </c>
      <c r="I231" t="s">
        <v>17</v>
      </c>
    </row>
    <row r="232" spans="1:9" hidden="1" x14ac:dyDescent="0.35">
      <c r="A232" t="s">
        <v>9</v>
      </c>
      <c r="B232" t="s">
        <v>420</v>
      </c>
      <c r="C232">
        <v>4190000</v>
      </c>
      <c r="D232">
        <v>3790000</v>
      </c>
      <c r="E232" t="s">
        <v>421</v>
      </c>
      <c r="F232" t="s">
        <v>12</v>
      </c>
      <c r="G232" t="str">
        <f>_xlfn.TEXTJOIN(",",TRUE,_xlfn._xlws.FILTER(GPU_brand[GPU brand], (GPU_brand[GPU brand text]&lt;&gt;"") * ISNUMBER(SEARCH(GPU_brand[GPU brand text], B232)), ""))</f>
        <v>MSI</v>
      </c>
      <c r="H232" t="s">
        <v>348</v>
      </c>
      <c r="I232" t="s">
        <v>332</v>
      </c>
    </row>
    <row r="233" spans="1:9" hidden="1" x14ac:dyDescent="0.35">
      <c r="A233" t="s">
        <v>9</v>
      </c>
      <c r="B233" t="s">
        <v>422</v>
      </c>
      <c r="C233">
        <v>5990000</v>
      </c>
      <c r="D233">
        <v>3890000</v>
      </c>
      <c r="E233" t="s">
        <v>423</v>
      </c>
      <c r="F233" t="s">
        <v>12</v>
      </c>
      <c r="G233" t="str">
        <f>_xlfn.TEXTJOIN(",",TRUE,_xlfn._xlws.FILTER(GPU_brand[GPU brand], (GPU_brand[GPU brand text]&lt;&gt;"") * ISNUMBER(SEARCH(GPU_brand[GPU brand text], B233)), ""))</f>
        <v>ASUS</v>
      </c>
      <c r="H233" t="s">
        <v>348</v>
      </c>
      <c r="I233" t="s">
        <v>332</v>
      </c>
    </row>
    <row r="234" spans="1:9" hidden="1" x14ac:dyDescent="0.35">
      <c r="A234" t="s">
        <v>9</v>
      </c>
      <c r="B234" t="s">
        <v>424</v>
      </c>
      <c r="C234">
        <v>11990000</v>
      </c>
      <c r="D234">
        <v>10990000</v>
      </c>
      <c r="E234" t="s">
        <v>425</v>
      </c>
      <c r="F234" t="s">
        <v>12</v>
      </c>
      <c r="G234" t="str">
        <f>_xlfn.TEXTJOIN(",",TRUE,_xlfn._xlws.FILTER(GPU_brand[GPU brand], (GPU_brand[GPU brand text]&lt;&gt;"") * ISNUMBER(SEARCH(GPU_brand[GPU brand text], B234)), ""))</f>
        <v>ASUS</v>
      </c>
      <c r="H234" t="str">
        <f>_xlfn.TEXTJOIN(",",TRUE,_xlfn._xlws.FILTER(Chipset_Table[Chipset], (Chipset_Table[Chipset text]&lt;&gt;"") * ISNUMBER(SEARCH(Chipset_Table[Chipset text], B234)), ""))</f>
        <v>GeForce RTX 4060</v>
      </c>
      <c r="I234" t="s">
        <v>23</v>
      </c>
    </row>
    <row r="235" spans="1:9" hidden="1" x14ac:dyDescent="0.35">
      <c r="A235" t="s">
        <v>9</v>
      </c>
      <c r="B235" t="s">
        <v>426</v>
      </c>
      <c r="C235">
        <v>0</v>
      </c>
      <c r="D235">
        <v>61990000</v>
      </c>
      <c r="E235" t="s">
        <v>427</v>
      </c>
      <c r="F235" t="s">
        <v>12</v>
      </c>
      <c r="G235" t="str">
        <f>_xlfn.TEXTJOIN(",",TRUE,_xlfn._xlws.FILTER(GPU_brand[GPU brand], (GPU_brand[GPU brand text]&lt;&gt;"") * ISNUMBER(SEARCH(GPU_brand[GPU brand text], B235)), ""))</f>
        <v>ASUS</v>
      </c>
      <c r="H235" t="str">
        <f>_xlfn.TEXTJOIN(",",TRUE,_xlfn._xlws.FILTER(Chipset_Table[Chipset], (Chipset_Table[Chipset text]&lt;&gt;"") * ISNUMBER(SEARCH(Chipset_Table[Chipset text], B235)), ""))</f>
        <v>GeForce RTX 4090</v>
      </c>
      <c r="I235" t="s">
        <v>373</v>
      </c>
    </row>
    <row r="236" spans="1:9" hidden="1" x14ac:dyDescent="0.35">
      <c r="A236" t="s">
        <v>9</v>
      </c>
      <c r="B236" t="s">
        <v>428</v>
      </c>
      <c r="C236">
        <v>0</v>
      </c>
      <c r="D236">
        <v>19390000</v>
      </c>
      <c r="E236" t="s">
        <v>429</v>
      </c>
      <c r="F236" t="s">
        <v>12</v>
      </c>
      <c r="G236" t="str">
        <f>_xlfn.TEXTJOIN(",",TRUE,_xlfn._xlws.FILTER(GPU_brand[GPU brand], (GPU_brand[GPU brand text]&lt;&gt;"") * ISNUMBER(SEARCH(GPU_brand[GPU brand text], B236)), ""))</f>
        <v>MSI</v>
      </c>
      <c r="H236" t="str">
        <f>_xlfn.TEXTJOIN(",",TRUE,_xlfn._xlws.FILTER(Chipset_Table[Chipset], (Chipset_Table[Chipset text]&lt;&gt;"") * ISNUMBER(SEARCH(Chipset_Table[Chipset text], B236)), ""))</f>
        <v>GeForce RTX 4070</v>
      </c>
      <c r="I236" t="s">
        <v>45</v>
      </c>
    </row>
    <row r="237" spans="1:9" hidden="1" x14ac:dyDescent="0.35">
      <c r="A237" t="s">
        <v>9</v>
      </c>
      <c r="B237" t="s">
        <v>430</v>
      </c>
      <c r="C237">
        <v>107000000</v>
      </c>
      <c r="D237">
        <v>98990000</v>
      </c>
      <c r="E237" t="s">
        <v>431</v>
      </c>
      <c r="F237" t="s">
        <v>12</v>
      </c>
      <c r="G237" t="str">
        <f>_xlfn.TEXTJOIN(",",TRUE,_xlfn._xlws.FILTER(GPU_brand[GPU brand], (GPU_brand[GPU brand text]&lt;&gt;"") * ISNUMBER(SEARCH(GPU_brand[GPU brand text], B237)), ""))</f>
        <v>ASUS</v>
      </c>
      <c r="H237" t="str">
        <f>_xlfn.TEXTJOIN(",",TRUE,_xlfn._xlws.FILTER(Chipset_Table[Chipset], (Chipset_Table[Chipset text]&lt;&gt;"") * ISNUMBER(SEARCH(Chipset_Table[Chipset text], B237)), ""))</f>
        <v>GeForce RTX 4090</v>
      </c>
      <c r="I237" t="s">
        <v>373</v>
      </c>
    </row>
    <row r="238" spans="1:9" hidden="1" x14ac:dyDescent="0.35">
      <c r="A238" t="s">
        <v>9</v>
      </c>
      <c r="B238" t="s">
        <v>432</v>
      </c>
      <c r="C238">
        <v>15990000</v>
      </c>
      <c r="D238">
        <v>15490000</v>
      </c>
      <c r="E238" t="s">
        <v>433</v>
      </c>
      <c r="F238" t="s">
        <v>12</v>
      </c>
      <c r="G238" t="str">
        <f>_xlfn.TEXTJOIN(",",TRUE,_xlfn._xlws.FILTER(GPU_brand[GPU brand], (GPU_brand[GPU brand text]&lt;&gt;"") * ISNUMBER(SEARCH(GPU_brand[GPU brand text], B238)), ""))</f>
        <v>ASUS</v>
      </c>
      <c r="H238" t="str">
        <f>_xlfn.TEXTJOIN(",",TRUE,_xlfn._xlws.FILTER(Chipset_Table[Chipset], (Chipset_Table[Chipset text]&lt;&gt;"") * ISNUMBER(SEARCH(Chipset_Table[Chipset text], B238)), ""))</f>
        <v>GeForce RTX 4060</v>
      </c>
      <c r="I238" t="s">
        <v>17</v>
      </c>
    </row>
    <row r="239" spans="1:9" hidden="1" x14ac:dyDescent="0.35">
      <c r="A239" t="s">
        <v>9</v>
      </c>
      <c r="B239" t="s">
        <v>434</v>
      </c>
      <c r="C239">
        <v>6490000</v>
      </c>
      <c r="D239">
        <v>5790000</v>
      </c>
      <c r="E239" t="s">
        <v>435</v>
      </c>
      <c r="F239" t="s">
        <v>12</v>
      </c>
      <c r="G239" t="str">
        <f>_xlfn.TEXTJOIN(",",TRUE,_xlfn._xlws.FILTER(GPU_brand[GPU brand], (GPU_brand[GPU brand text]&lt;&gt;"") * ISNUMBER(SEARCH(GPU_brand[GPU brand text], B239)), ""))</f>
        <v>Gigabyte</v>
      </c>
      <c r="H239" t="str">
        <f>_xlfn.TEXTJOIN(",",TRUE,_xlfn._xlws.FILTER(Chipset_Table[Chipset], (Chipset_Table[Chipset text]&lt;&gt;"") * ISNUMBER(SEARCH(Chipset_Table[Chipset text], B239)), ""))</f>
        <v>GeForce RTX 3050</v>
      </c>
      <c r="I239" t="str">
        <f>_xlfn.TEXTJOIN(",",TRUE,_xlfn._xlws.FILTER(VRAM_table[Video memory], (VRAM_table[Video memory text]&lt;&gt;"") * ISNUMBER(SEARCH(VRAM_table[Video memory text], B239)), ""))</f>
        <v>8GB</v>
      </c>
    </row>
    <row r="240" spans="1:9" hidden="1" x14ac:dyDescent="0.35">
      <c r="A240" t="s">
        <v>9</v>
      </c>
      <c r="B240" t="s">
        <v>436</v>
      </c>
      <c r="C240">
        <v>60990000</v>
      </c>
      <c r="D240">
        <v>59990000</v>
      </c>
      <c r="E240" t="s">
        <v>437</v>
      </c>
      <c r="F240" t="s">
        <v>12</v>
      </c>
      <c r="G240" t="str">
        <f>_xlfn.TEXTJOIN(",",TRUE,_xlfn._xlws.FILTER(GPU_brand[GPU brand], (GPU_brand[GPU brand text]&lt;&gt;"") * ISNUMBER(SEARCH(GPU_brand[GPU brand text], B240)), ""))</f>
        <v>ASUS</v>
      </c>
      <c r="H240" t="str">
        <f>_xlfn.TEXTJOIN(",",TRUE,_xlfn._xlws.FILTER(Chipset_Table[Chipset], (Chipset_Table[Chipset text]&lt;&gt;"") * ISNUMBER(SEARCH(Chipset_Table[Chipset text], B240)), ""))</f>
        <v>GeForce RTX 4090</v>
      </c>
      <c r="I240" t="s">
        <v>373</v>
      </c>
    </row>
    <row r="241" spans="1:9" hidden="1" x14ac:dyDescent="0.35">
      <c r="A241" t="s">
        <v>9</v>
      </c>
      <c r="B241" t="s">
        <v>438</v>
      </c>
      <c r="C241">
        <v>9990000</v>
      </c>
      <c r="D241">
        <v>9390000</v>
      </c>
      <c r="E241" t="s">
        <v>439</v>
      </c>
      <c r="F241" t="s">
        <v>12</v>
      </c>
      <c r="G241" t="str">
        <f>_xlfn.TEXTJOIN(",",TRUE,_xlfn._xlws.FILTER(GPU_brand[GPU brand], (GPU_brand[GPU brand text]&lt;&gt;"") * ISNUMBER(SEARCH(GPU_brand[GPU brand text], B241)), ""))</f>
        <v>Gigabyte</v>
      </c>
      <c r="H241" t="str">
        <f>_xlfn.TEXTJOIN(",",TRUE,_xlfn._xlws.FILTER(Chipset_Table[Chipset], (Chipset_Table[Chipset text]&lt;&gt;"") * ISNUMBER(SEARCH(Chipset_Table[Chipset text], B241)), ""))</f>
        <v>GeForce RTX 4060</v>
      </c>
      <c r="I241" t="str">
        <f>_xlfn.TEXTJOIN(",",TRUE,_xlfn._xlws.FILTER(VRAM_table[Video memory], (VRAM_table[Video memory text]&lt;&gt;"") * ISNUMBER(SEARCH(VRAM_table[Video memory text], B241)), ""))</f>
        <v>8GB</v>
      </c>
    </row>
    <row r="242" spans="1:9" hidden="1" x14ac:dyDescent="0.35">
      <c r="A242" t="s">
        <v>9</v>
      </c>
      <c r="B242" t="s">
        <v>440</v>
      </c>
      <c r="C242">
        <v>11990000</v>
      </c>
      <c r="D242">
        <v>10990000</v>
      </c>
      <c r="E242" t="s">
        <v>441</v>
      </c>
      <c r="F242" t="s">
        <v>12</v>
      </c>
      <c r="G242" t="str">
        <f>_xlfn.TEXTJOIN(",",TRUE,_xlfn._xlws.FILTER(GPU_brand[GPU brand], (GPU_brand[GPU brand text]&lt;&gt;"") * ISNUMBER(SEARCH(GPU_brand[GPU brand text], B242)), ""))</f>
        <v>Gigabyte</v>
      </c>
      <c r="H242" t="str">
        <f>_xlfn.TEXTJOIN(",",TRUE,_xlfn._xlws.FILTER(Chipset_Table[Chipset], (Chipset_Table[Chipset text]&lt;&gt;"") * ISNUMBER(SEARCH(Chipset_Table[Chipset text], B242)), ""))</f>
        <v>GeForce RTX 4060</v>
      </c>
      <c r="I242" t="str">
        <f>_xlfn.TEXTJOIN(",",TRUE,_xlfn._xlws.FILTER(VRAM_table[Video memory], (VRAM_table[Video memory text]&lt;&gt;"") * ISNUMBER(SEARCH(VRAM_table[Video memory text], B242)), ""))</f>
        <v>8GB</v>
      </c>
    </row>
    <row r="243" spans="1:9" hidden="1" x14ac:dyDescent="0.35">
      <c r="A243" t="s">
        <v>9</v>
      </c>
      <c r="B243" t="s">
        <v>442</v>
      </c>
      <c r="C243">
        <v>3990000</v>
      </c>
      <c r="D243">
        <v>3790000</v>
      </c>
      <c r="E243" t="s">
        <v>443</v>
      </c>
      <c r="F243" t="s">
        <v>12</v>
      </c>
      <c r="G243" t="str">
        <f>_xlfn.TEXTJOIN(",",TRUE,_xlfn._xlws.FILTER(GPU_brand[GPU brand], (GPU_brand[GPU brand text]&lt;&gt;"") * ISNUMBER(SEARCH(GPU_brand[GPU brand text], B243)), ""))</f>
        <v>MSI</v>
      </c>
      <c r="H243" t="s">
        <v>348</v>
      </c>
      <c r="I243" t="s">
        <v>332</v>
      </c>
    </row>
    <row r="244" spans="1:9" hidden="1" x14ac:dyDescent="0.35">
      <c r="A244" t="s">
        <v>9</v>
      </c>
      <c r="B244" t="s">
        <v>444</v>
      </c>
      <c r="C244">
        <v>0</v>
      </c>
      <c r="D244">
        <v>12990000</v>
      </c>
      <c r="E244" t="s">
        <v>445</v>
      </c>
      <c r="F244" t="s">
        <v>12</v>
      </c>
      <c r="G244" t="str">
        <f>_xlfn.TEXTJOIN(",",TRUE,_xlfn._xlws.FILTER(GPU_brand[GPU brand], (GPU_brand[GPU brand text]&lt;&gt;"") * ISNUMBER(SEARCH(GPU_brand[GPU brand text], B244)), ""))</f>
        <v>INNO3D</v>
      </c>
      <c r="H244" t="s">
        <v>407</v>
      </c>
      <c r="I244" t="s">
        <v>323</v>
      </c>
    </row>
    <row r="245" spans="1:9" hidden="1" x14ac:dyDescent="0.35">
      <c r="A245" t="s">
        <v>9</v>
      </c>
      <c r="B245" t="s">
        <v>446</v>
      </c>
      <c r="C245">
        <v>0</v>
      </c>
      <c r="D245">
        <v>14490000</v>
      </c>
      <c r="E245" t="s">
        <v>447</v>
      </c>
      <c r="F245" t="s">
        <v>12</v>
      </c>
      <c r="G245" t="str">
        <f>_xlfn.TEXTJOIN(",",TRUE,_xlfn._xlws.FILTER(GPU_brand[GPU brand], (GPU_brand[GPU brand text]&lt;&gt;"") * ISNUMBER(SEARCH(GPU_brand[GPU brand text], B245)), ""))</f>
        <v>Gigabyte</v>
      </c>
      <c r="H245" t="s">
        <v>407</v>
      </c>
      <c r="I245" t="str">
        <f>_xlfn.TEXTJOIN(",",TRUE,_xlfn._xlws.FILTER(VRAM_table[Video memory], (VRAM_table[Video memory text]&lt;&gt;"") * ISNUMBER(SEARCH(VRAM_table[Video memory text], B245)), ""))</f>
        <v>6GB</v>
      </c>
    </row>
    <row r="246" spans="1:9" hidden="1" x14ac:dyDescent="0.35">
      <c r="A246" t="s">
        <v>9</v>
      </c>
      <c r="B246" t="s">
        <v>448</v>
      </c>
      <c r="C246">
        <v>0</v>
      </c>
      <c r="D246">
        <v>5090000</v>
      </c>
      <c r="E246" t="s">
        <v>449</v>
      </c>
      <c r="F246" t="s">
        <v>12</v>
      </c>
      <c r="G246" t="str">
        <f>_xlfn.TEXTJOIN(",",TRUE,_xlfn._xlws.FILTER(GPU_brand[GPU brand], (GPU_brand[GPU brand text]&lt;&gt;"") * ISNUMBER(SEARCH(GPU_brand[GPU brand text], B246)), ""))</f>
        <v>ASUS</v>
      </c>
      <c r="H246" t="s">
        <v>407</v>
      </c>
      <c r="I246" t="s">
        <v>323</v>
      </c>
    </row>
    <row r="247" spans="1:9" hidden="1" x14ac:dyDescent="0.35">
      <c r="A247" t="s">
        <v>9</v>
      </c>
      <c r="B247" t="s">
        <v>450</v>
      </c>
      <c r="C247">
        <v>7990000</v>
      </c>
      <c r="D247">
        <v>4390000</v>
      </c>
      <c r="E247" t="s">
        <v>451</v>
      </c>
      <c r="F247" t="s">
        <v>12</v>
      </c>
      <c r="G247" t="str">
        <f>_xlfn.TEXTJOIN(",",TRUE,_xlfn._xlws.FILTER(GPU_brand[GPU brand], (GPU_brand[GPU brand text]&lt;&gt;"") * ISNUMBER(SEARCH(GPU_brand[GPU brand text], B247)), ""))</f>
        <v>ASUS</v>
      </c>
      <c r="H247" t="s">
        <v>348</v>
      </c>
      <c r="I247" t="s">
        <v>332</v>
      </c>
    </row>
    <row r="248" spans="1:9" hidden="1" x14ac:dyDescent="0.35">
      <c r="A248" t="s">
        <v>9</v>
      </c>
      <c r="B248" t="s">
        <v>452</v>
      </c>
      <c r="C248">
        <v>0</v>
      </c>
      <c r="D248">
        <v>5690000</v>
      </c>
      <c r="E248" t="s">
        <v>453</v>
      </c>
      <c r="F248" t="s">
        <v>12</v>
      </c>
      <c r="G248" t="str">
        <f>_xlfn.TEXTJOIN(",",TRUE,_xlfn._xlws.FILTER(GPU_brand[GPU brand], (GPU_brand[GPU brand text]&lt;&gt;"") * ISNUMBER(SEARCH(GPU_brand[GPU brand text], B248)), ""))</f>
        <v>ASUS</v>
      </c>
      <c r="H248" t="s">
        <v>407</v>
      </c>
      <c r="I248" t="s">
        <v>323</v>
      </c>
    </row>
    <row r="249" spans="1:9" hidden="1" x14ac:dyDescent="0.35">
      <c r="A249" t="s">
        <v>9</v>
      </c>
      <c r="B249" t="s">
        <v>454</v>
      </c>
      <c r="C249">
        <v>18490000</v>
      </c>
      <c r="D249">
        <v>12200000</v>
      </c>
      <c r="E249" t="s">
        <v>455</v>
      </c>
      <c r="F249" t="s">
        <v>12</v>
      </c>
      <c r="G249" t="str">
        <f>_xlfn.TEXTJOIN(",",TRUE,_xlfn._xlws.FILTER(GPU_brand[GPU brand], (GPU_brand[GPU brand text]&lt;&gt;"") * ISNUMBER(SEARCH(GPU_brand[GPU brand text], B249)), ""))</f>
        <v>MSI</v>
      </c>
      <c r="H249" t="s">
        <v>456</v>
      </c>
      <c r="I249" t="str">
        <f>_xlfn.TEXTJOIN(",",TRUE,_xlfn._xlws.FILTER(VRAM_table[Video memory], (VRAM_table[Video memory text]&lt;&gt;"") * ISNUMBER(SEARCH(VRAM_table[Video memory text], B249)), ""))</f>
        <v>8GB</v>
      </c>
    </row>
    <row r="250" spans="1:9" hidden="1" x14ac:dyDescent="0.35">
      <c r="A250" t="s">
        <v>9</v>
      </c>
      <c r="B250" t="s">
        <v>457</v>
      </c>
      <c r="C250">
        <v>17990000</v>
      </c>
      <c r="D250">
        <v>13790000</v>
      </c>
      <c r="E250" t="s">
        <v>458</v>
      </c>
      <c r="F250" t="s">
        <v>12</v>
      </c>
      <c r="G250" t="str">
        <f>_xlfn.TEXTJOIN(",",TRUE,_xlfn._xlws.FILTER(GPU_brand[GPU brand], (GPU_brand[GPU brand text]&lt;&gt;"") * ISNUMBER(SEARCH(GPU_brand[GPU brand text], B250)), ""))</f>
        <v>MSI</v>
      </c>
      <c r="H250" t="s">
        <v>456</v>
      </c>
      <c r="I250" t="str">
        <f>_xlfn.TEXTJOIN(",",TRUE,_xlfn._xlws.FILTER(VRAM_table[Video memory], (VRAM_table[Video memory text]&lt;&gt;"") * ISNUMBER(SEARCH(VRAM_table[Video memory text], B250)), ""))</f>
        <v>8GB</v>
      </c>
    </row>
    <row r="251" spans="1:9" hidden="1" x14ac:dyDescent="0.35">
      <c r="A251" t="s">
        <v>9</v>
      </c>
      <c r="B251" t="s">
        <v>459</v>
      </c>
      <c r="C251">
        <v>16990000</v>
      </c>
      <c r="D251">
        <v>13490000</v>
      </c>
      <c r="E251" t="s">
        <v>460</v>
      </c>
      <c r="F251" t="s">
        <v>12</v>
      </c>
      <c r="G251" t="str">
        <f>_xlfn.TEXTJOIN(",",TRUE,_xlfn._xlws.FILTER(GPU_brand[GPU brand], (GPU_brand[GPU brand text]&lt;&gt;"") * ISNUMBER(SEARCH(GPU_brand[GPU brand text], B251)), ""))</f>
        <v>MSI</v>
      </c>
      <c r="H251" t="s">
        <v>456</v>
      </c>
      <c r="I251" t="str">
        <f>_xlfn.TEXTJOIN(",",TRUE,_xlfn._xlws.FILTER(VRAM_table[Video memory], (VRAM_table[Video memory text]&lt;&gt;"") * ISNUMBER(SEARCH(VRAM_table[Video memory text], B251)), ""))</f>
        <v>8GB</v>
      </c>
    </row>
    <row r="252" spans="1:9" hidden="1" x14ac:dyDescent="0.35">
      <c r="A252" t="s">
        <v>9</v>
      </c>
      <c r="B252" t="s">
        <v>461</v>
      </c>
      <c r="C252">
        <v>0</v>
      </c>
      <c r="D252">
        <v>100000000</v>
      </c>
      <c r="E252" t="s">
        <v>462</v>
      </c>
      <c r="F252" t="s">
        <v>12</v>
      </c>
      <c r="G252" t="str">
        <f>_xlfn.TEXTJOIN(",",TRUE,_xlfn._xlws.FILTER(GPU_brand[GPU brand], (GPU_brand[GPU brand text]&lt;&gt;"") * ISNUMBER(SEARCH(GPU_brand[GPU brand text], B252)), ""))</f>
        <v>MSI</v>
      </c>
      <c r="H252" t="s">
        <v>329</v>
      </c>
      <c r="I252" t="s">
        <v>45</v>
      </c>
    </row>
    <row r="253" spans="1:9" hidden="1" x14ac:dyDescent="0.35">
      <c r="A253" t="s">
        <v>9</v>
      </c>
      <c r="B253" t="s">
        <v>463</v>
      </c>
      <c r="C253">
        <v>0</v>
      </c>
      <c r="D253">
        <v>13990000</v>
      </c>
      <c r="E253" t="s">
        <v>464</v>
      </c>
      <c r="F253" t="s">
        <v>12</v>
      </c>
      <c r="G253" t="str">
        <f>_xlfn.TEXTJOIN(",",TRUE,_xlfn._xlws.FILTER(GPU_brand[GPU brand], (GPU_brand[GPU brand text]&lt;&gt;"") * ISNUMBER(SEARCH(GPU_brand[GPU brand text], B253)), ""))</f>
        <v>MSI</v>
      </c>
      <c r="H253" t="s">
        <v>407</v>
      </c>
      <c r="I253" t="s">
        <v>323</v>
      </c>
    </row>
    <row r="254" spans="1:9" hidden="1" x14ac:dyDescent="0.35">
      <c r="A254" t="s">
        <v>9</v>
      </c>
      <c r="B254" t="s">
        <v>465</v>
      </c>
      <c r="C254">
        <v>0</v>
      </c>
      <c r="D254">
        <v>14990000</v>
      </c>
      <c r="E254" t="s">
        <v>466</v>
      </c>
      <c r="F254" t="s">
        <v>12</v>
      </c>
      <c r="G254" t="str">
        <f>_xlfn.TEXTJOIN(",",TRUE,_xlfn._xlws.FILTER(GPU_brand[GPU brand], (GPU_brand[GPU brand text]&lt;&gt;"") * ISNUMBER(SEARCH(GPU_brand[GPU brand text], B254)), ""))</f>
        <v>MSI</v>
      </c>
      <c r="H254" t="s">
        <v>407</v>
      </c>
      <c r="I254" t="s">
        <v>323</v>
      </c>
    </row>
    <row r="255" spans="1:9" hidden="1" x14ac:dyDescent="0.35">
      <c r="A255" t="s">
        <v>9</v>
      </c>
      <c r="B255" t="s">
        <v>467</v>
      </c>
      <c r="C255">
        <v>17990000</v>
      </c>
      <c r="D255">
        <v>11990000</v>
      </c>
      <c r="E255" t="s">
        <v>468</v>
      </c>
      <c r="F255" t="s">
        <v>12</v>
      </c>
      <c r="G255" t="str">
        <f>_xlfn.TEXTJOIN(",",TRUE,_xlfn._xlws.FILTER(GPU_brand[GPU brand], (GPU_brand[GPU brand text]&lt;&gt;"") * ISNUMBER(SEARCH(GPU_brand[GPU brand text], B255)), ""))</f>
        <v>Gigabyte</v>
      </c>
      <c r="H255" t="s">
        <v>456</v>
      </c>
      <c r="I255" t="str">
        <f>_xlfn.TEXTJOIN(",",TRUE,_xlfn._xlws.FILTER(VRAM_table[Video memory], (VRAM_table[Video memory text]&lt;&gt;"") * ISNUMBER(SEARCH(VRAM_table[Video memory text], B255)), ""))</f>
        <v>8GB</v>
      </c>
    </row>
    <row r="256" spans="1:9" hidden="1" x14ac:dyDescent="0.35">
      <c r="A256" t="s">
        <v>9</v>
      </c>
      <c r="B256" t="s">
        <v>469</v>
      </c>
      <c r="C256">
        <v>11490000</v>
      </c>
      <c r="D256">
        <v>10690000</v>
      </c>
      <c r="E256" t="s">
        <v>470</v>
      </c>
      <c r="F256" t="s">
        <v>12</v>
      </c>
      <c r="G256" t="str">
        <f>_xlfn.TEXTJOIN(",",TRUE,_xlfn._xlws.FILTER(GPU_brand[GPU brand], (GPU_brand[GPU brand text]&lt;&gt;"") * ISNUMBER(SEARCH(GPU_brand[GPU brand text], B256)), ""))</f>
        <v>Gigabyte</v>
      </c>
      <c r="H256" t="s">
        <v>456</v>
      </c>
      <c r="I256" t="str">
        <f>_xlfn.TEXTJOIN(",",TRUE,_xlfn._xlws.FILTER(VRAM_table[Video memory], (VRAM_table[Video memory text]&lt;&gt;"") * ISNUMBER(SEARCH(VRAM_table[Video memory text], B256)), ""))</f>
        <v>8GB</v>
      </c>
    </row>
    <row r="257" spans="1:9" hidden="1" x14ac:dyDescent="0.35">
      <c r="A257" t="s">
        <v>9</v>
      </c>
      <c r="B257" t="s">
        <v>471</v>
      </c>
      <c r="C257">
        <v>19990000</v>
      </c>
      <c r="D257">
        <v>15990000</v>
      </c>
      <c r="E257" t="s">
        <v>472</v>
      </c>
      <c r="F257" t="s">
        <v>12</v>
      </c>
      <c r="G257" t="str">
        <f>_xlfn.TEXTJOIN(",",TRUE,_xlfn._xlws.FILTER(GPU_brand[GPU brand], (GPU_brand[GPU brand text]&lt;&gt;"") * ISNUMBER(SEARCH(GPU_brand[GPU brand text], B257)), ""))</f>
        <v>Gigabyte</v>
      </c>
      <c r="H257" t="s">
        <v>456</v>
      </c>
      <c r="I257" t="str">
        <f>_xlfn.TEXTJOIN(",",TRUE,_xlfn._xlws.FILTER(VRAM_table[Video memory], (VRAM_table[Video memory text]&lt;&gt;"") * ISNUMBER(SEARCH(VRAM_table[Video memory text], B257)), ""))</f>
        <v>8GB</v>
      </c>
    </row>
    <row r="258" spans="1:9" hidden="1" x14ac:dyDescent="0.35">
      <c r="A258" t="s">
        <v>9</v>
      </c>
      <c r="B258" t="s">
        <v>473</v>
      </c>
      <c r="C258">
        <v>18990000</v>
      </c>
      <c r="D258">
        <v>14990000</v>
      </c>
      <c r="E258" t="s">
        <v>474</v>
      </c>
      <c r="F258" t="s">
        <v>12</v>
      </c>
      <c r="G258" t="str">
        <f>_xlfn.TEXTJOIN(",",TRUE,_xlfn._xlws.FILTER(GPU_brand[GPU brand], (GPU_brand[GPU brand text]&lt;&gt;"") * ISNUMBER(SEARCH(GPU_brand[GPU brand text], B258)), ""))</f>
        <v>Gigabyte</v>
      </c>
      <c r="H258" t="s">
        <v>456</v>
      </c>
      <c r="I258" t="str">
        <f>_xlfn.TEXTJOIN(",",TRUE,_xlfn._xlws.FILTER(VRAM_table[Video memory], (VRAM_table[Video memory text]&lt;&gt;"") * ISNUMBER(SEARCH(VRAM_table[Video memory text], B258)), ""))</f>
        <v>8GB</v>
      </c>
    </row>
    <row r="259" spans="1:9" hidden="1" x14ac:dyDescent="0.35">
      <c r="A259" t="s">
        <v>9</v>
      </c>
      <c r="B259" t="s">
        <v>475</v>
      </c>
      <c r="C259">
        <v>17990000</v>
      </c>
      <c r="D259">
        <v>12990000</v>
      </c>
      <c r="E259" t="s">
        <v>476</v>
      </c>
      <c r="F259" t="s">
        <v>12</v>
      </c>
      <c r="G259" t="str">
        <f>_xlfn.TEXTJOIN(",",TRUE,_xlfn._xlws.FILTER(GPU_brand[GPU brand], (GPU_brand[GPU brand text]&lt;&gt;"") * ISNUMBER(SEARCH(GPU_brand[GPU brand text], B259)), ""))</f>
        <v>ASUS</v>
      </c>
      <c r="H259" t="s">
        <v>456</v>
      </c>
      <c r="I259" t="s">
        <v>23</v>
      </c>
    </row>
    <row r="260" spans="1:9" hidden="1" x14ac:dyDescent="0.35">
      <c r="A260" t="s">
        <v>9</v>
      </c>
      <c r="B260" t="s">
        <v>477</v>
      </c>
      <c r="C260">
        <v>15490000</v>
      </c>
      <c r="D260">
        <v>14990000</v>
      </c>
      <c r="E260" t="s">
        <v>478</v>
      </c>
      <c r="F260" t="s">
        <v>12</v>
      </c>
      <c r="G260" t="str">
        <f>_xlfn.TEXTJOIN(",",TRUE,_xlfn._xlws.FILTER(GPU_brand[GPU brand], (GPU_brand[GPU brand text]&lt;&gt;"") * ISNUMBER(SEARCH(GPU_brand[GPU brand text], B260)), ""))</f>
        <v>ASUS</v>
      </c>
      <c r="H260" t="s">
        <v>456</v>
      </c>
      <c r="I260" t="s">
        <v>23</v>
      </c>
    </row>
    <row r="261" spans="1:9" hidden="1" x14ac:dyDescent="0.35">
      <c r="A261" t="s">
        <v>9</v>
      </c>
      <c r="B261" t="s">
        <v>479</v>
      </c>
      <c r="C261">
        <v>0</v>
      </c>
      <c r="D261">
        <v>13990000</v>
      </c>
      <c r="E261" t="s">
        <v>480</v>
      </c>
      <c r="F261" t="s">
        <v>12</v>
      </c>
      <c r="G261" t="str">
        <f>_xlfn.TEXTJOIN(",",TRUE,_xlfn._xlws.FILTER(GPU_brand[GPU brand], (GPU_brand[GPU brand text]&lt;&gt;"") * ISNUMBER(SEARCH(GPU_brand[GPU brand text], B261)), ""))</f>
        <v>ASUS</v>
      </c>
      <c r="H261" t="s">
        <v>456</v>
      </c>
      <c r="I261" t="s">
        <v>23</v>
      </c>
    </row>
    <row r="262" spans="1:9" hidden="1" x14ac:dyDescent="0.35">
      <c r="A262" t="s">
        <v>9</v>
      </c>
      <c r="B262" t="s">
        <v>481</v>
      </c>
      <c r="C262">
        <v>0</v>
      </c>
      <c r="D262">
        <v>13690000</v>
      </c>
      <c r="E262" t="s">
        <v>482</v>
      </c>
      <c r="F262" t="s">
        <v>12</v>
      </c>
      <c r="G262" t="str">
        <f>_xlfn.TEXTJOIN(",",TRUE,_xlfn._xlws.FILTER(GPU_brand[GPU brand], (GPU_brand[GPU brand text]&lt;&gt;"") * ISNUMBER(SEARCH(GPU_brand[GPU brand text], B262)), ""))</f>
        <v>ASUS</v>
      </c>
      <c r="H262" t="s">
        <v>456</v>
      </c>
      <c r="I262" t="s">
        <v>23</v>
      </c>
    </row>
    <row r="263" spans="1:9" hidden="1" x14ac:dyDescent="0.35">
      <c r="A263" t="s">
        <v>9</v>
      </c>
      <c r="B263" t="s">
        <v>483</v>
      </c>
      <c r="C263">
        <v>15490000</v>
      </c>
      <c r="D263">
        <v>10990000</v>
      </c>
      <c r="E263" t="s">
        <v>484</v>
      </c>
      <c r="F263" t="s">
        <v>12</v>
      </c>
      <c r="G263" t="str">
        <f>_xlfn.TEXTJOIN(",",TRUE,_xlfn._xlws.FILTER(GPU_brand[GPU brand], (GPU_brand[GPU brand text]&lt;&gt;"") * ISNUMBER(SEARCH(GPU_brand[GPU brand text], B263)), ""))</f>
        <v>ASUS</v>
      </c>
      <c r="H263" t="s">
        <v>456</v>
      </c>
      <c r="I263" t="s">
        <v>23</v>
      </c>
    </row>
    <row r="264" spans="1:9" hidden="1" x14ac:dyDescent="0.35">
      <c r="A264" t="s">
        <v>9</v>
      </c>
      <c r="B264" t="s">
        <v>485</v>
      </c>
      <c r="C264">
        <v>14990000</v>
      </c>
      <c r="D264">
        <v>12990000</v>
      </c>
      <c r="E264" t="s">
        <v>486</v>
      </c>
      <c r="F264" t="s">
        <v>12</v>
      </c>
      <c r="G264" t="str">
        <f>_xlfn.TEXTJOIN(",",TRUE,_xlfn._xlws.FILTER(GPU_brand[GPU brand], (GPU_brand[GPU brand text]&lt;&gt;"") * ISNUMBER(SEARCH(GPU_brand[GPU brand text], B264)), ""))</f>
        <v>ASUS</v>
      </c>
      <c r="H264" t="s">
        <v>456</v>
      </c>
      <c r="I264" t="s">
        <v>23</v>
      </c>
    </row>
    <row r="265" spans="1:9" hidden="1" x14ac:dyDescent="0.35">
      <c r="A265" t="s">
        <v>9</v>
      </c>
      <c r="B265" t="s">
        <v>487</v>
      </c>
      <c r="C265">
        <v>9990000</v>
      </c>
      <c r="D265">
        <v>8090000</v>
      </c>
      <c r="E265" t="s">
        <v>488</v>
      </c>
      <c r="F265" t="s">
        <v>12</v>
      </c>
      <c r="G265" t="str">
        <f>_xlfn.TEXTJOIN(",",TRUE,_xlfn._xlws.FILTER(GPU_brand[GPU brand], (GPU_brand[GPU brand text]&lt;&gt;"") * ISNUMBER(SEARCH(GPU_brand[GPU brand text], B265)), ""))</f>
        <v>Gigabyte</v>
      </c>
      <c r="H265" t="s">
        <v>329</v>
      </c>
      <c r="I265" t="s">
        <v>45</v>
      </c>
    </row>
    <row r="266" spans="1:9" hidden="1" x14ac:dyDescent="0.35">
      <c r="A266" t="s">
        <v>9</v>
      </c>
      <c r="B266" t="s">
        <v>489</v>
      </c>
      <c r="C266">
        <v>9990000</v>
      </c>
      <c r="D266">
        <v>6290000</v>
      </c>
      <c r="E266" t="s">
        <v>490</v>
      </c>
      <c r="F266" t="s">
        <v>12</v>
      </c>
      <c r="G266" t="str">
        <f>_xlfn.TEXTJOIN(",",TRUE,_xlfn._xlws.FILTER(GPU_brand[GPU brand], (GPU_brand[GPU brand text]&lt;&gt;"") * ISNUMBER(SEARCH(GPU_brand[GPU brand text], B266)), ""))</f>
        <v>Gigabyte</v>
      </c>
      <c r="H266" t="s">
        <v>491</v>
      </c>
      <c r="I266" t="str">
        <f>_xlfn.TEXTJOIN(",",TRUE,_xlfn._xlws.FILTER(VRAM_table[Video memory], (VRAM_table[Video memory text]&lt;&gt;"") * ISNUMBER(SEARCH(VRAM_table[Video memory text], B266)), ""))</f>
        <v>6GB</v>
      </c>
    </row>
    <row r="267" spans="1:9" hidden="1" x14ac:dyDescent="0.35">
      <c r="A267" t="s">
        <v>9</v>
      </c>
      <c r="B267" t="s">
        <v>492</v>
      </c>
      <c r="C267">
        <v>0</v>
      </c>
      <c r="D267">
        <v>4490000</v>
      </c>
      <c r="E267" t="s">
        <v>493</v>
      </c>
      <c r="F267" t="s">
        <v>12</v>
      </c>
      <c r="G267" t="str">
        <f>_xlfn.TEXTJOIN(",",TRUE,_xlfn._xlws.FILTER(GPU_brand[GPU brand], (GPU_brand[GPU brand text]&lt;&gt;"") * ISNUMBER(SEARCH(GPU_brand[GPU brand text], B267)), ""))</f>
        <v>ASUS</v>
      </c>
      <c r="H267" t="s">
        <v>348</v>
      </c>
      <c r="I267" t="s">
        <v>332</v>
      </c>
    </row>
    <row r="268" spans="1:9" hidden="1" x14ac:dyDescent="0.35">
      <c r="A268" t="s">
        <v>9</v>
      </c>
      <c r="B268" t="s">
        <v>494</v>
      </c>
      <c r="C268">
        <v>10990000</v>
      </c>
      <c r="D268">
        <v>10690000</v>
      </c>
      <c r="E268" t="s">
        <v>495</v>
      </c>
      <c r="F268" t="s">
        <v>12</v>
      </c>
      <c r="G268" t="str">
        <f>_xlfn.TEXTJOIN(",",TRUE,_xlfn._xlws.FILTER(GPU_brand[GPU brand], (GPU_brand[GPU brand text]&lt;&gt;"") * ISNUMBER(SEARCH(GPU_brand[GPU brand text], B268)), ""))</f>
        <v>ASUS</v>
      </c>
      <c r="H268" t="str">
        <f>_xlfn.TEXTJOIN(",",TRUE,_xlfn._xlws.FILTER(Chipset_Table[Chipset], (Chipset_Table[Chipset text]&lt;&gt;"") * ISNUMBER(SEARCH(Chipset_Table[Chipset text], B268)), ""))</f>
        <v>GeForce GTX 1660</v>
      </c>
      <c r="I268" t="s">
        <v>323</v>
      </c>
    </row>
    <row r="269" spans="1:9" hidden="1" x14ac:dyDescent="0.35">
      <c r="A269" t="s">
        <v>9</v>
      </c>
      <c r="B269" t="s">
        <v>496</v>
      </c>
      <c r="C269">
        <v>0</v>
      </c>
      <c r="D269">
        <v>10690000</v>
      </c>
      <c r="E269" t="s">
        <v>497</v>
      </c>
      <c r="F269" t="s">
        <v>12</v>
      </c>
      <c r="G269" t="str">
        <f>_xlfn.TEXTJOIN(",",TRUE,_xlfn._xlws.FILTER(GPU_brand[GPU brand], (GPU_brand[GPU brand text]&lt;&gt;"") * ISNUMBER(SEARCH(GPU_brand[GPU brand text], B269)), ""))</f>
        <v>ASUS</v>
      </c>
      <c r="H269" t="s">
        <v>407</v>
      </c>
      <c r="I269" t="s">
        <v>323</v>
      </c>
    </row>
    <row r="270" spans="1:9" hidden="1" x14ac:dyDescent="0.35">
      <c r="A270" t="s">
        <v>9</v>
      </c>
      <c r="B270" t="s">
        <v>498</v>
      </c>
      <c r="C270">
        <v>6990000</v>
      </c>
      <c r="D270">
        <v>3890000</v>
      </c>
      <c r="E270" t="s">
        <v>499</v>
      </c>
      <c r="F270" t="s">
        <v>12</v>
      </c>
      <c r="G270" t="str">
        <f>_xlfn.TEXTJOIN(",",TRUE,_xlfn._xlws.FILTER(GPU_brand[GPU brand], (GPU_brand[GPU brand text]&lt;&gt;"") * ISNUMBER(SEARCH(GPU_brand[GPU brand text], B270)), ""))</f>
        <v>MSI</v>
      </c>
      <c r="H270" t="s">
        <v>348</v>
      </c>
      <c r="I270" t="s">
        <v>332</v>
      </c>
    </row>
    <row r="271" spans="1:9" hidden="1" x14ac:dyDescent="0.35">
      <c r="A271" t="s">
        <v>9</v>
      </c>
      <c r="B271" t="s">
        <v>500</v>
      </c>
      <c r="C271">
        <v>8490000</v>
      </c>
      <c r="D271">
        <v>7690000</v>
      </c>
      <c r="E271" t="s">
        <v>501</v>
      </c>
      <c r="F271" t="s">
        <v>12</v>
      </c>
      <c r="G271" t="str">
        <f>_xlfn.TEXTJOIN(",",TRUE,_xlfn._xlws.FILTER(GPU_brand[GPU brand], (GPU_brand[GPU brand text]&lt;&gt;"") * ISNUMBER(SEARCH(GPU_brand[GPU brand text], B271)), ""))</f>
        <v>MSI</v>
      </c>
      <c r="H271" t="s">
        <v>348</v>
      </c>
      <c r="I271" t="s">
        <v>332</v>
      </c>
    </row>
    <row r="272" spans="1:9" hidden="1" x14ac:dyDescent="0.35">
      <c r="A272" t="s">
        <v>9</v>
      </c>
      <c r="B272" t="s">
        <v>502</v>
      </c>
      <c r="C272">
        <v>0</v>
      </c>
      <c r="D272">
        <v>6990000</v>
      </c>
      <c r="E272" t="s">
        <v>503</v>
      </c>
      <c r="F272" t="s">
        <v>12</v>
      </c>
      <c r="G272" t="str">
        <f>_xlfn.TEXTJOIN(",",TRUE,_xlfn._xlws.FILTER(GPU_brand[GPU brand], (GPU_brand[GPU brand text]&lt;&gt;"") * ISNUMBER(SEARCH(GPU_brand[GPU brand text], B272)), ""))</f>
        <v>MSI</v>
      </c>
      <c r="H272" t="s">
        <v>348</v>
      </c>
      <c r="I272" t="str">
        <f>_xlfn.TEXTJOIN(",",TRUE,_xlfn._xlws.FILTER(VRAM_table[Video memory], (VRAM_table[Video memory text]&lt;&gt;"") * ISNUMBER(SEARCH(VRAM_table[Video memory text], B272)), ""))</f>
        <v>4GB</v>
      </c>
    </row>
    <row r="273" spans="1:9" hidden="1" x14ac:dyDescent="0.35">
      <c r="A273" t="s">
        <v>9</v>
      </c>
      <c r="B273" t="s">
        <v>504</v>
      </c>
      <c r="C273">
        <v>14990000</v>
      </c>
      <c r="D273">
        <v>7890000</v>
      </c>
      <c r="E273" t="s">
        <v>505</v>
      </c>
      <c r="F273" t="s">
        <v>12</v>
      </c>
      <c r="G273" t="str">
        <f>_xlfn.TEXTJOIN(",",TRUE,_xlfn._xlws.FILTER(GPU_brand[GPU brand], (GPU_brand[GPU brand text]&lt;&gt;"") * ISNUMBER(SEARCH(GPU_brand[GPU brand text], B273)), ""))</f>
        <v>Leadtek</v>
      </c>
      <c r="H273" t="str">
        <f>_xlfn.TEXTJOIN(",",TRUE,_xlfn._xlws.FILTER(Chipset_Table[Chipset], (Chipset_Table[Chipset text]&lt;&gt;"") * ISNUMBER(SEARCH(Chipset_Table[Chipset text], B273)), ""))</f>
        <v xml:space="preserve"> GTX 1660 Super</v>
      </c>
      <c r="I273" t="str">
        <f>_xlfn.TEXTJOIN(",",TRUE,_xlfn._xlws.FILTER(VRAM_table[Video memory], (VRAM_table[Video memory text]&lt;&gt;"") * ISNUMBER(SEARCH(VRAM_table[Video memory text], B273)), ""))</f>
        <v>6GB</v>
      </c>
    </row>
    <row r="274" spans="1:9" hidden="1" x14ac:dyDescent="0.35">
      <c r="A274" t="s">
        <v>9</v>
      </c>
      <c r="B274" t="s">
        <v>506</v>
      </c>
      <c r="C274">
        <v>0</v>
      </c>
      <c r="D274">
        <v>7390000</v>
      </c>
      <c r="E274" t="s">
        <v>507</v>
      </c>
      <c r="F274" t="s">
        <v>12</v>
      </c>
      <c r="G274" t="str">
        <f>_xlfn.TEXTJOIN(",",TRUE,_xlfn._xlws.FILTER(GPU_brand[GPU brand], (GPU_brand[GPU brand text]&lt;&gt;"") * ISNUMBER(SEARCH(GPU_brand[GPU brand text], B274)), ""))</f>
        <v>Gigabyte</v>
      </c>
      <c r="H274" t="s">
        <v>348</v>
      </c>
      <c r="I274" t="str">
        <f>_xlfn.TEXTJOIN(",",TRUE,_xlfn._xlws.FILTER(VRAM_table[Video memory], (VRAM_table[Video memory text]&lt;&gt;"") * ISNUMBER(SEARCH(VRAM_table[Video memory text], B274)), ""))</f>
        <v>4GB</v>
      </c>
    </row>
    <row r="275" spans="1:9" hidden="1" x14ac:dyDescent="0.35">
      <c r="A275" t="s">
        <v>9</v>
      </c>
      <c r="B275" t="s">
        <v>508</v>
      </c>
      <c r="C275">
        <v>0</v>
      </c>
      <c r="D275">
        <v>13290000</v>
      </c>
      <c r="E275" t="s">
        <v>509</v>
      </c>
      <c r="F275" t="s">
        <v>12</v>
      </c>
      <c r="G275" t="str">
        <f>_xlfn.TEXTJOIN(",",TRUE,_xlfn._xlws.FILTER(GPU_brand[GPU brand], (GPU_brand[GPU brand text]&lt;&gt;"") * ISNUMBER(SEARCH(GPU_brand[GPU brand text], B275)), ""))</f>
        <v>Gigabyte</v>
      </c>
      <c r="H275" t="s">
        <v>407</v>
      </c>
      <c r="I275" t="str">
        <f>_xlfn.TEXTJOIN(",",TRUE,_xlfn._xlws.FILTER(VRAM_table[Video memory], (VRAM_table[Video memory text]&lt;&gt;"") * ISNUMBER(SEARCH(VRAM_table[Video memory text], B275)), ""))</f>
        <v>6GB</v>
      </c>
    </row>
    <row r="276" spans="1:9" hidden="1" x14ac:dyDescent="0.35">
      <c r="A276" t="s">
        <v>9</v>
      </c>
      <c r="B276" t="s">
        <v>510</v>
      </c>
      <c r="C276">
        <v>7490000</v>
      </c>
      <c r="D276">
        <v>6990000</v>
      </c>
      <c r="E276" t="s">
        <v>511</v>
      </c>
      <c r="F276" t="s">
        <v>12</v>
      </c>
      <c r="G276" t="str">
        <f>_xlfn.TEXTJOIN(",",TRUE,_xlfn._xlws.FILTER(GPU_brand[GPU brand], (GPU_brand[GPU brand text]&lt;&gt;"") * ISNUMBER(SEARCH(GPU_brand[GPU brand text], B276)), ""))</f>
        <v>MSI</v>
      </c>
      <c r="H276" t="s">
        <v>348</v>
      </c>
      <c r="I276" t="s">
        <v>332</v>
      </c>
    </row>
    <row r="277" spans="1:9" hidden="1" x14ac:dyDescent="0.35">
      <c r="A277" t="s">
        <v>9</v>
      </c>
      <c r="B277" t="s">
        <v>512</v>
      </c>
      <c r="C277">
        <v>0</v>
      </c>
      <c r="D277">
        <v>13290000</v>
      </c>
      <c r="E277" t="s">
        <v>513</v>
      </c>
      <c r="F277" t="s">
        <v>12</v>
      </c>
      <c r="G277" t="str">
        <f>_xlfn.TEXTJOIN(",",TRUE,_xlfn._xlws.FILTER(GPU_brand[GPU brand], (GPU_brand[GPU brand text]&lt;&gt;"") * ISNUMBER(SEARCH(GPU_brand[GPU brand text], B277)), ""))</f>
        <v>ASUS</v>
      </c>
      <c r="H277" t="s">
        <v>407</v>
      </c>
      <c r="I277" t="s">
        <v>323</v>
      </c>
    </row>
    <row r="278" spans="1:9" hidden="1" x14ac:dyDescent="0.35">
      <c r="A278" t="s">
        <v>9</v>
      </c>
      <c r="B278" t="s">
        <v>514</v>
      </c>
      <c r="C278">
        <v>7690000</v>
      </c>
      <c r="D278">
        <v>6990000</v>
      </c>
      <c r="E278" t="s">
        <v>515</v>
      </c>
      <c r="F278" t="s">
        <v>12</v>
      </c>
      <c r="G278" t="str">
        <f>_xlfn.TEXTJOIN(",",TRUE,_xlfn._xlws.FILTER(GPU_brand[GPU brand], (GPU_brand[GPU brand text]&lt;&gt;"") * ISNUMBER(SEARCH(GPU_brand[GPU brand text], B278)), ""))</f>
        <v>ASUS</v>
      </c>
      <c r="H278" t="s">
        <v>348</v>
      </c>
      <c r="I278" t="s">
        <v>332</v>
      </c>
    </row>
    <row r="279" spans="1:9" hidden="1" x14ac:dyDescent="0.35">
      <c r="A279" t="s">
        <v>9</v>
      </c>
      <c r="B279" t="s">
        <v>516</v>
      </c>
      <c r="C279">
        <v>0</v>
      </c>
      <c r="D279">
        <v>6990000</v>
      </c>
      <c r="E279" t="s">
        <v>517</v>
      </c>
      <c r="F279" t="s">
        <v>12</v>
      </c>
      <c r="G279" t="str">
        <f>_xlfn.TEXTJOIN(",",TRUE,_xlfn._xlws.FILTER(GPU_brand[GPU brand], (GPU_brand[GPU brand text]&lt;&gt;"") * ISNUMBER(SEARCH(GPU_brand[GPU brand text], B279)), ""))</f>
        <v>ASUS</v>
      </c>
      <c r="H279" t="s">
        <v>348</v>
      </c>
      <c r="I279" t="s">
        <v>332</v>
      </c>
    </row>
    <row r="280" spans="1:9" hidden="1" x14ac:dyDescent="0.35">
      <c r="A280" t="s">
        <v>9</v>
      </c>
      <c r="B280" t="s">
        <v>518</v>
      </c>
      <c r="C280">
        <v>9990000</v>
      </c>
      <c r="D280">
        <v>6590000</v>
      </c>
      <c r="E280" t="s">
        <v>519</v>
      </c>
      <c r="F280" t="s">
        <v>12</v>
      </c>
      <c r="G280" t="str">
        <f>_xlfn.TEXTJOIN(",",TRUE,_xlfn._xlws.FILTER(GPU_brand[GPU brand], (GPU_brand[GPU brand text]&lt;&gt;"") * ISNUMBER(SEARCH(GPU_brand[GPU brand text], B280)), ""))</f>
        <v>ASUS</v>
      </c>
      <c r="H280" t="s">
        <v>491</v>
      </c>
      <c r="I280" t="s">
        <v>323</v>
      </c>
    </row>
    <row r="281" spans="1:9" hidden="1" x14ac:dyDescent="0.35">
      <c r="A281" t="s">
        <v>9</v>
      </c>
      <c r="B281" t="s">
        <v>520</v>
      </c>
      <c r="C281">
        <v>0</v>
      </c>
      <c r="D281">
        <v>6990000</v>
      </c>
      <c r="E281" t="s">
        <v>521</v>
      </c>
      <c r="F281" t="s">
        <v>12</v>
      </c>
      <c r="G281" t="str">
        <f>_xlfn.TEXTJOIN(",",TRUE,_xlfn._xlws.FILTER(GPU_brand[GPU brand], (GPU_brand[GPU brand text]&lt;&gt;"") * ISNUMBER(SEARCH(GPU_brand[GPU brand text], B281)), ""))</f>
        <v>Leadtek</v>
      </c>
      <c r="H281" t="s">
        <v>348</v>
      </c>
      <c r="I281" t="str">
        <f>_xlfn.TEXTJOIN(",",TRUE,_xlfn._xlws.FILTER(VRAM_table[Video memory], (VRAM_table[Video memory text]&lt;&gt;"") * ISNUMBER(SEARCH(VRAM_table[Video memory text], B281)), ""))</f>
        <v>4GB</v>
      </c>
    </row>
    <row r="282" spans="1:9" hidden="1" x14ac:dyDescent="0.35">
      <c r="A282" t="s">
        <v>9</v>
      </c>
      <c r="B282" t="s">
        <v>522</v>
      </c>
      <c r="C282">
        <v>7490000</v>
      </c>
      <c r="D282">
        <v>6990000</v>
      </c>
      <c r="E282" t="s">
        <v>523</v>
      </c>
      <c r="F282" t="s">
        <v>12</v>
      </c>
      <c r="G282" t="str">
        <f>_xlfn.TEXTJOIN(",",TRUE,_xlfn._xlws.FILTER(GPU_brand[GPU brand], (GPU_brand[GPU brand text]&lt;&gt;"") * ISNUMBER(SEARCH(GPU_brand[GPU brand text], B282)), ""))</f>
        <v>INNO3D</v>
      </c>
      <c r="H282" t="s">
        <v>348</v>
      </c>
      <c r="I282" t="str">
        <f>_xlfn.TEXTJOIN(",",TRUE,_xlfn._xlws.FILTER(VRAM_table[Video memory], (VRAM_table[Video memory text]&lt;&gt;"") * ISNUMBER(SEARCH(VRAM_table[Video memory text], B282)), ""))</f>
        <v>4GB</v>
      </c>
    </row>
    <row r="283" spans="1:9" hidden="1" x14ac:dyDescent="0.35">
      <c r="A283" t="s">
        <v>9</v>
      </c>
      <c r="B283" t="s">
        <v>524</v>
      </c>
      <c r="C283">
        <v>15990000</v>
      </c>
      <c r="D283">
        <v>10490000</v>
      </c>
      <c r="E283" t="s">
        <v>525</v>
      </c>
      <c r="F283" t="s">
        <v>12</v>
      </c>
      <c r="G283" t="str">
        <f>_xlfn.TEXTJOIN(",",TRUE,_xlfn._xlws.FILTER(GPU_brand[GPU brand], (GPU_brand[GPU brand text]&lt;&gt;"") * ISNUMBER(SEARCH(GPU_brand[GPU brand text], B283)), ""))</f>
        <v>Gigabyte</v>
      </c>
      <c r="H283" t="s">
        <v>456</v>
      </c>
      <c r="I283" t="str">
        <f>_xlfn.TEXTJOIN(",",TRUE,_xlfn._xlws.FILTER(VRAM_table[Video memory], (VRAM_table[Video memory text]&lt;&gt;"") * ISNUMBER(SEARCH(VRAM_table[Video memory text], B283)), ""))</f>
        <v>8GB</v>
      </c>
    </row>
    <row r="284" spans="1:9" hidden="1" x14ac:dyDescent="0.35">
      <c r="A284" t="s">
        <v>9</v>
      </c>
      <c r="B284" t="s">
        <v>526</v>
      </c>
      <c r="C284">
        <v>7690000</v>
      </c>
      <c r="D284">
        <v>6990000</v>
      </c>
      <c r="E284" t="s">
        <v>527</v>
      </c>
      <c r="F284" t="s">
        <v>12</v>
      </c>
      <c r="G284" t="str">
        <f>_xlfn.TEXTJOIN(",",TRUE,_xlfn._xlws.FILTER(GPU_brand[GPU brand], (GPU_brand[GPU brand text]&lt;&gt;"") * ISNUMBER(SEARCH(GPU_brand[GPU brand text], B284)), ""))</f>
        <v>Gigabyte</v>
      </c>
      <c r="H284" t="s">
        <v>348</v>
      </c>
      <c r="I284" t="str">
        <f>_xlfn.TEXTJOIN(",",TRUE,_xlfn._xlws.FILTER(VRAM_table[Video memory], (VRAM_table[Video memory text]&lt;&gt;"") * ISNUMBER(SEARCH(VRAM_table[Video memory text], B284)), ""))</f>
        <v>4GB</v>
      </c>
    </row>
    <row r="285" spans="1:9" hidden="1" x14ac:dyDescent="0.35">
      <c r="A285" t="s">
        <v>9</v>
      </c>
      <c r="B285" t="s">
        <v>528</v>
      </c>
      <c r="C285">
        <v>46990000</v>
      </c>
      <c r="D285">
        <v>29990000</v>
      </c>
      <c r="E285" t="s">
        <v>529</v>
      </c>
      <c r="F285" t="s">
        <v>12</v>
      </c>
      <c r="G285" t="str">
        <f>_xlfn.TEXTJOIN(",",TRUE,_xlfn._xlws.FILTER(GPU_brand[GPU brand], (GPU_brand[GPU brand text]&lt;&gt;"") * ISNUMBER(SEARCH(GPU_brand[GPU brand text], B285)), ""))</f>
        <v>Gigabyte</v>
      </c>
      <c r="H285" t="str">
        <f>_xlfn.TEXTJOIN(",",TRUE,_xlfn._xlws.FILTER(Chipset_Table[Chipset], (Chipset_Table[Chipset text]&lt;&gt;"") * ISNUMBER(SEARCH(Chipset_Table[Chipset text], B285)), ""))</f>
        <v>GeForce RTX 3080 Ti</v>
      </c>
      <c r="I285" t="s">
        <v>45</v>
      </c>
    </row>
    <row r="286" spans="1:9" hidden="1" x14ac:dyDescent="0.35">
      <c r="A286" t="s">
        <v>9</v>
      </c>
      <c r="B286" t="s">
        <v>530</v>
      </c>
      <c r="C286">
        <v>14990000</v>
      </c>
      <c r="D286">
        <v>11990000</v>
      </c>
      <c r="E286" t="s">
        <v>531</v>
      </c>
      <c r="F286" t="s">
        <v>12</v>
      </c>
      <c r="G286" t="str">
        <f>_xlfn.TEXTJOIN(",",TRUE,_xlfn._xlws.FILTER(GPU_brand[GPU brand], (GPU_brand[GPU brand text]&lt;&gt;"") * ISNUMBER(SEARCH(GPU_brand[GPU brand text], B286)), ""))</f>
        <v>ASUS</v>
      </c>
      <c r="H286" t="s">
        <v>456</v>
      </c>
      <c r="I286" t="s">
        <v>23</v>
      </c>
    </row>
    <row r="287" spans="1:9" hidden="1" x14ac:dyDescent="0.35">
      <c r="A287" t="s">
        <v>9</v>
      </c>
      <c r="B287" t="s">
        <v>532</v>
      </c>
      <c r="C287">
        <v>50990000</v>
      </c>
      <c r="D287">
        <v>30990000</v>
      </c>
      <c r="E287" t="s">
        <v>533</v>
      </c>
      <c r="F287" t="s">
        <v>12</v>
      </c>
      <c r="G287" t="str">
        <f>_xlfn.TEXTJOIN(",",TRUE,_xlfn._xlws.FILTER(GPU_brand[GPU brand], (GPU_brand[GPU brand text]&lt;&gt;"") * ISNUMBER(SEARCH(GPU_brand[GPU brand text], B287)), ""))</f>
        <v>ASUS</v>
      </c>
      <c r="H287" t="str">
        <f>_xlfn.TEXTJOIN(",",TRUE,_xlfn._xlws.FILTER(Chipset_Table[Chipset], (Chipset_Table[Chipset text]&lt;&gt;"") * ISNUMBER(SEARCH(Chipset_Table[Chipset text], B287)), ""))</f>
        <v>GeForce RTX 3080 Ti</v>
      </c>
      <c r="I287" t="s">
        <v>45</v>
      </c>
    </row>
    <row r="288" spans="1:9" hidden="1" x14ac:dyDescent="0.35">
      <c r="A288" t="s">
        <v>9</v>
      </c>
      <c r="B288" t="s">
        <v>534</v>
      </c>
      <c r="C288">
        <v>34990000</v>
      </c>
      <c r="D288">
        <v>29990000</v>
      </c>
      <c r="E288" t="s">
        <v>535</v>
      </c>
      <c r="F288" t="s">
        <v>12</v>
      </c>
      <c r="G288" t="str">
        <f>_xlfn.TEXTJOIN(",",TRUE,_xlfn._xlws.FILTER(GPU_brand[GPU brand], (GPU_brand[GPU brand text]&lt;&gt;"") * ISNUMBER(SEARCH(GPU_brand[GPU brand text], B288)), ""))</f>
        <v>ASUS</v>
      </c>
      <c r="H288" t="str">
        <f>_xlfn.TEXTJOIN(",",TRUE,_xlfn._xlws.FILTER(Chipset_Table[Chipset], (Chipset_Table[Chipset text]&lt;&gt;"") * ISNUMBER(SEARCH(Chipset_Table[Chipset text], B288)), ""))</f>
        <v>GeForce RTX 3080 Ti</v>
      </c>
      <c r="I288" t="s">
        <v>45</v>
      </c>
    </row>
    <row r="289" spans="1:9" hidden="1" x14ac:dyDescent="0.35">
      <c r="A289" t="s">
        <v>9</v>
      </c>
      <c r="B289" t="s">
        <v>536</v>
      </c>
      <c r="C289">
        <v>9490000</v>
      </c>
      <c r="D289">
        <v>6290000</v>
      </c>
      <c r="E289" t="s">
        <v>537</v>
      </c>
      <c r="F289" t="s">
        <v>12</v>
      </c>
      <c r="G289" t="str">
        <f>_xlfn.TEXTJOIN(",",TRUE,_xlfn._xlws.FILTER(GPU_brand[GPU brand], (GPU_brand[GPU brand text]&lt;&gt;"") * ISNUMBER(SEARCH(GPU_brand[GPU brand text], B289)), ""))</f>
        <v>ASUS</v>
      </c>
      <c r="H289" t="s">
        <v>491</v>
      </c>
      <c r="I289" t="s">
        <v>323</v>
      </c>
    </row>
    <row r="290" spans="1:9" hidden="1" x14ac:dyDescent="0.35">
      <c r="A290" t="s">
        <v>9</v>
      </c>
      <c r="B290" t="s">
        <v>538</v>
      </c>
      <c r="C290">
        <v>13290000</v>
      </c>
      <c r="D290">
        <v>12490000</v>
      </c>
      <c r="E290" t="s">
        <v>539</v>
      </c>
      <c r="F290" t="s">
        <v>12</v>
      </c>
      <c r="G290" t="str">
        <f>_xlfn.TEXTJOIN(",",TRUE,_xlfn._xlws.FILTER(GPU_brand[GPU brand], (GPU_brand[GPU brand text]&lt;&gt;"") * ISNUMBER(SEARCH(GPU_brand[GPU brand text], B290)), ""))</f>
        <v>MSI</v>
      </c>
      <c r="H290" t="str">
        <f>_xlfn.TEXTJOIN(",",TRUE,_xlfn._xlws.FILTER(Chipset_Table[Chipset], (Chipset_Table[Chipset text]&lt;&gt;"") * ISNUMBER(SEARCH(Chipset_Table[Chipset text], B290)), ""))</f>
        <v>GeForce GTX 1660</v>
      </c>
      <c r="I290" t="str">
        <f>_xlfn.TEXTJOIN(",",TRUE,_xlfn._xlws.FILTER(VRAM_table[Video memory], (VRAM_table[Video memory text]&lt;&gt;"") * ISNUMBER(SEARCH(VRAM_table[Video memory text], B290)), ""))</f>
        <v>6GB</v>
      </c>
    </row>
    <row r="291" spans="1:9" hidden="1" x14ac:dyDescent="0.35">
      <c r="A291" t="s">
        <v>9</v>
      </c>
      <c r="B291" t="s">
        <v>540</v>
      </c>
      <c r="C291">
        <v>0</v>
      </c>
      <c r="D291">
        <v>10490000</v>
      </c>
      <c r="E291" t="s">
        <v>541</v>
      </c>
      <c r="F291" t="s">
        <v>12</v>
      </c>
      <c r="G291" t="str">
        <f>_xlfn.TEXTJOIN(",",TRUE,_xlfn._xlws.FILTER(GPU_brand[GPU brand], (GPU_brand[GPU brand text]&lt;&gt;"") * ISNUMBER(SEARCH(GPU_brand[GPU brand text], B291)), ""))</f>
        <v>MSI</v>
      </c>
      <c r="H291" t="str">
        <f>_xlfn.TEXTJOIN(",",TRUE,_xlfn._xlws.FILTER(Chipset_Table[Chipset], (Chipset_Table[Chipset text]&lt;&gt;"") * ISNUMBER(SEARCH(Chipset_Table[Chipset text], B291)), ""))</f>
        <v>RTX 2060</v>
      </c>
      <c r="I291" t="str">
        <f>_xlfn.TEXTJOIN(",",TRUE,_xlfn._xlws.FILTER(VRAM_table[Video memory], (VRAM_table[Video memory text]&lt;&gt;"") * ISNUMBER(SEARCH(VRAM_table[Video memory text], B291)), ""))</f>
        <v>6GB</v>
      </c>
    </row>
    <row r="292" spans="1:9" hidden="1" x14ac:dyDescent="0.35">
      <c r="A292" t="s">
        <v>9</v>
      </c>
      <c r="B292" t="s">
        <v>542</v>
      </c>
      <c r="C292">
        <v>0</v>
      </c>
      <c r="D292">
        <v>14990000</v>
      </c>
      <c r="E292" t="s">
        <v>543</v>
      </c>
      <c r="F292" t="s">
        <v>12</v>
      </c>
      <c r="G292" t="str">
        <f>_xlfn.TEXTJOIN(",",TRUE,_xlfn._xlws.FILTER(GPU_brand[GPU brand], (GPU_brand[GPU brand text]&lt;&gt;"") * ISNUMBER(SEARCH(GPU_brand[GPU brand text], B292)), ""))</f>
        <v>MSI</v>
      </c>
      <c r="H292" t="s">
        <v>491</v>
      </c>
      <c r="I292" t="str">
        <f>_xlfn.TEXTJOIN(",",TRUE,_xlfn._xlws.FILTER(VRAM_table[Video memory], (VRAM_table[Video memory text]&lt;&gt;"") * ISNUMBER(SEARCH(VRAM_table[Video memory text], B292)), ""))</f>
        <v>6GB</v>
      </c>
    </row>
    <row r="293" spans="1:9" hidden="1" x14ac:dyDescent="0.35">
      <c r="A293" t="s">
        <v>9</v>
      </c>
      <c r="B293" t="s">
        <v>544</v>
      </c>
      <c r="C293">
        <v>0</v>
      </c>
      <c r="D293">
        <v>8350000</v>
      </c>
      <c r="E293" t="s">
        <v>545</v>
      </c>
      <c r="F293" t="s">
        <v>12</v>
      </c>
      <c r="G293" t="str">
        <f>_xlfn.TEXTJOIN(",",TRUE,_xlfn._xlws.FILTER(GPU_brand[GPU brand], (GPU_brand[GPU brand text]&lt;&gt;"") * ISNUMBER(SEARCH(GPU_brand[GPU brand text], B293)), ""))</f>
        <v>Gigabyte</v>
      </c>
      <c r="H293" t="s">
        <v>491</v>
      </c>
      <c r="I293" t="str">
        <f>_xlfn.TEXTJOIN(",",TRUE,_xlfn._xlws.FILTER(VRAM_table[Video memory], (VRAM_table[Video memory text]&lt;&gt;"") * ISNUMBER(SEARCH(VRAM_table[Video memory text], B293)), ""))</f>
        <v>6GB</v>
      </c>
    </row>
    <row r="294" spans="1:9" hidden="1" x14ac:dyDescent="0.35">
      <c r="A294" t="s">
        <v>9</v>
      </c>
      <c r="B294" t="s">
        <v>546</v>
      </c>
      <c r="C294">
        <v>0</v>
      </c>
      <c r="D294">
        <v>10800000</v>
      </c>
      <c r="E294" t="s">
        <v>547</v>
      </c>
      <c r="F294" t="s">
        <v>12</v>
      </c>
      <c r="G294" t="str">
        <f>_xlfn.TEXTJOIN(",",TRUE,_xlfn._xlws.FILTER(GPU_brand[GPU brand], (GPU_brand[GPU brand text]&lt;&gt;"") * ISNUMBER(SEARCH(GPU_brand[GPU brand text], B294)), ""))</f>
        <v>Gigabyte</v>
      </c>
      <c r="H294" t="s">
        <v>491</v>
      </c>
      <c r="I294" t="str">
        <f>_xlfn.TEXTJOIN(",",TRUE,_xlfn._xlws.FILTER(VRAM_table[Video memory], (VRAM_table[Video memory text]&lt;&gt;"") * ISNUMBER(SEARCH(VRAM_table[Video memory text], B294)), ""))</f>
        <v>6GB</v>
      </c>
    </row>
    <row r="295" spans="1:9" hidden="1" x14ac:dyDescent="0.35">
      <c r="A295" t="s">
        <v>9</v>
      </c>
      <c r="B295" t="s">
        <v>548</v>
      </c>
      <c r="C295">
        <v>0</v>
      </c>
      <c r="D295">
        <v>10990000</v>
      </c>
      <c r="E295" t="s">
        <v>549</v>
      </c>
      <c r="F295" t="s">
        <v>12</v>
      </c>
      <c r="G295" t="str">
        <f>_xlfn.TEXTJOIN(",",TRUE,_xlfn._xlws.FILTER(GPU_brand[GPU brand], (GPU_brand[GPU brand text]&lt;&gt;"") * ISNUMBER(SEARCH(GPU_brand[GPU brand text], B295)), ""))</f>
        <v>Gigabyte</v>
      </c>
      <c r="H295" t="str">
        <f>_xlfn.TEXTJOIN(",",TRUE,_xlfn._xlws.FILTER(Chipset_Table[Chipset], (Chipset_Table[Chipset text]&lt;&gt;"") * ISNUMBER(SEARCH(Chipset_Table[Chipset text], B295)), ""))</f>
        <v>RTX 2060</v>
      </c>
      <c r="I295" t="str">
        <f>_xlfn.TEXTJOIN(",",TRUE,_xlfn._xlws.FILTER(VRAM_table[Video memory], (VRAM_table[Video memory text]&lt;&gt;"") * ISNUMBER(SEARCH(VRAM_table[Video memory text], B295)), ""))</f>
        <v>6GB</v>
      </c>
    </row>
    <row r="296" spans="1:9" hidden="1" x14ac:dyDescent="0.35">
      <c r="A296" t="s">
        <v>9</v>
      </c>
      <c r="B296" t="s">
        <v>550</v>
      </c>
      <c r="C296">
        <v>0</v>
      </c>
      <c r="D296">
        <v>11990000</v>
      </c>
      <c r="E296" t="s">
        <v>551</v>
      </c>
      <c r="F296" t="s">
        <v>12</v>
      </c>
      <c r="G296" t="str">
        <f>_xlfn.TEXTJOIN(",",TRUE,_xlfn._xlws.FILTER(GPU_brand[GPU brand], (GPU_brand[GPU brand text]&lt;&gt;"") * ISNUMBER(SEARCH(GPU_brand[GPU brand text], B296)), ""))</f>
        <v>EVGA</v>
      </c>
      <c r="H296" t="s">
        <v>491</v>
      </c>
      <c r="I296" t="s">
        <v>323</v>
      </c>
    </row>
    <row r="297" spans="1:9" hidden="1" x14ac:dyDescent="0.35">
      <c r="A297" t="s">
        <v>9</v>
      </c>
      <c r="B297" t="s">
        <v>552</v>
      </c>
      <c r="C297">
        <v>0</v>
      </c>
      <c r="D297">
        <v>12990000</v>
      </c>
      <c r="E297" t="s">
        <v>553</v>
      </c>
      <c r="F297" t="s">
        <v>12</v>
      </c>
      <c r="G297" t="str">
        <f>_xlfn.TEXTJOIN(",",TRUE,_xlfn._xlws.FILTER(GPU_brand[GPU brand], (GPU_brand[GPU brand text]&lt;&gt;"") * ISNUMBER(SEARCH(GPU_brand[GPU brand text], B297)), ""))</f>
        <v>ASUS</v>
      </c>
      <c r="H297" t="s">
        <v>491</v>
      </c>
      <c r="I297" t="s">
        <v>323</v>
      </c>
    </row>
    <row r="298" spans="1:9" hidden="1" x14ac:dyDescent="0.35">
      <c r="A298" t="s">
        <v>9</v>
      </c>
      <c r="B298" t="s">
        <v>554</v>
      </c>
      <c r="C298">
        <v>0</v>
      </c>
      <c r="D298">
        <v>10100000</v>
      </c>
      <c r="E298" t="s">
        <v>555</v>
      </c>
      <c r="F298" t="s">
        <v>12</v>
      </c>
      <c r="G298" t="str">
        <f>_xlfn.TEXTJOIN(",",TRUE,_xlfn._xlws.FILTER(GPU_brand[GPU brand], (GPU_brand[GPU brand text]&lt;&gt;"") * ISNUMBER(SEARCH(GPU_brand[GPU brand text], B298)), ""))</f>
        <v>ASUS</v>
      </c>
      <c r="H298" t="s">
        <v>491</v>
      </c>
      <c r="I298" t="s">
        <v>323</v>
      </c>
    </row>
    <row r="299" spans="1:9" hidden="1" x14ac:dyDescent="0.35">
      <c r="A299" t="s">
        <v>9</v>
      </c>
      <c r="B299" t="s">
        <v>556</v>
      </c>
      <c r="C299">
        <v>7690000</v>
      </c>
      <c r="D299">
        <v>5990000</v>
      </c>
      <c r="E299" t="s">
        <v>557</v>
      </c>
      <c r="F299" t="s">
        <v>12</v>
      </c>
      <c r="G299" t="str">
        <f>_xlfn.TEXTJOIN(",",TRUE,_xlfn._xlws.FILTER(GPU_brand[GPU brand], (GPU_brand[GPU brand text]&lt;&gt;"") * ISNUMBER(SEARCH(GPU_brand[GPU brand text], B299)), ""))</f>
        <v>Palit</v>
      </c>
      <c r="H299" t="s">
        <v>348</v>
      </c>
      <c r="I299" t="s">
        <v>332</v>
      </c>
    </row>
    <row r="300" spans="1:9" hidden="1" x14ac:dyDescent="0.35">
      <c r="A300" t="s">
        <v>9</v>
      </c>
      <c r="B300" t="s">
        <v>558</v>
      </c>
      <c r="C300">
        <v>16990000</v>
      </c>
      <c r="D300">
        <v>13190000</v>
      </c>
      <c r="E300" t="s">
        <v>559</v>
      </c>
      <c r="F300" t="s">
        <v>12</v>
      </c>
      <c r="G300" t="str">
        <f>_xlfn.TEXTJOIN(",",TRUE,_xlfn._xlws.FILTER(GPU_brand[GPU brand], (GPU_brand[GPU brand text]&lt;&gt;"") * ISNUMBER(SEARCH(GPU_brand[GPU brand text], B300)), ""))</f>
        <v>MSI</v>
      </c>
      <c r="H300" t="s">
        <v>456</v>
      </c>
      <c r="I300" t="str">
        <f>_xlfn.TEXTJOIN(",",TRUE,_xlfn._xlws.FILTER(VRAM_table[Video memory], (VRAM_table[Video memory text]&lt;&gt;"") * ISNUMBER(SEARCH(VRAM_table[Video memory text], B300)), ""))</f>
        <v>8GB</v>
      </c>
    </row>
    <row r="301" spans="1:9" hidden="1" x14ac:dyDescent="0.35">
      <c r="A301" t="s">
        <v>9</v>
      </c>
      <c r="B301" t="s">
        <v>560</v>
      </c>
      <c r="C301">
        <v>18990000</v>
      </c>
      <c r="D301">
        <v>11990000</v>
      </c>
      <c r="E301" t="s">
        <v>561</v>
      </c>
      <c r="F301" t="s">
        <v>12</v>
      </c>
      <c r="G301" t="str">
        <f>_xlfn.TEXTJOIN(",",TRUE,_xlfn._xlws.FILTER(GPU_brand[GPU brand], (GPU_brand[GPU brand text]&lt;&gt;"") * ISNUMBER(SEARCH(GPU_brand[GPU brand text], B301)), ""))</f>
        <v>MSI</v>
      </c>
      <c r="H301" t="s">
        <v>456</v>
      </c>
      <c r="I301" t="str">
        <f>_xlfn.TEXTJOIN(",",TRUE,_xlfn._xlws.FILTER(VRAM_table[Video memory], (VRAM_table[Video memory text]&lt;&gt;"") * ISNUMBER(SEARCH(VRAM_table[Video memory text], B301)), ""))</f>
        <v>8GB</v>
      </c>
    </row>
    <row r="302" spans="1:9" hidden="1" x14ac:dyDescent="0.35">
      <c r="A302" t="s">
        <v>9</v>
      </c>
      <c r="B302" t="s">
        <v>562</v>
      </c>
      <c r="C302">
        <v>7490000</v>
      </c>
      <c r="D302">
        <v>4990000</v>
      </c>
      <c r="E302" t="s">
        <v>563</v>
      </c>
      <c r="F302" t="s">
        <v>12</v>
      </c>
      <c r="G302" t="str">
        <f>_xlfn.TEXTJOIN(",",TRUE,_xlfn._xlws.FILTER(GPU_brand[GPU brand], (GPU_brand[GPU brand text]&lt;&gt;"") * ISNUMBER(SEARCH(GPU_brand[GPU brand text], B302)), ""))</f>
        <v>Manli</v>
      </c>
      <c r="H302" t="s">
        <v>348</v>
      </c>
      <c r="I302" t="s">
        <v>332</v>
      </c>
    </row>
    <row r="303" spans="1:9" hidden="1" x14ac:dyDescent="0.35">
      <c r="A303" t="s">
        <v>9</v>
      </c>
      <c r="B303" t="s">
        <v>564</v>
      </c>
      <c r="C303">
        <v>6990000</v>
      </c>
      <c r="D303">
        <v>5590000</v>
      </c>
      <c r="E303" t="s">
        <v>565</v>
      </c>
      <c r="F303" t="s">
        <v>12</v>
      </c>
      <c r="G303" t="str">
        <f>_xlfn.TEXTJOIN(",",TRUE,_xlfn._xlws.FILTER(GPU_brand[GPU brand], (GPU_brand[GPU brand text]&lt;&gt;"") * ISNUMBER(SEARCH(GPU_brand[GPU brand text], B303)), ""))</f>
        <v>Gigabyte</v>
      </c>
      <c r="H303" t="str">
        <f>_xlfn.TEXTJOIN(",",TRUE,_xlfn._xlws.FILTER(Chipset_Table[Chipset], (Chipset_Table[Chipset text]&lt;&gt;"") * ISNUMBER(SEARCH(Chipset_Table[Chipset text], B303)), ""))</f>
        <v>RX 6600</v>
      </c>
      <c r="I303" t="str">
        <f>_xlfn.TEXTJOIN(",",TRUE,_xlfn._xlws.FILTER(VRAM_table[Video memory], (VRAM_table[Video memory text]&lt;&gt;"") * ISNUMBER(SEARCH(VRAM_table[Video memory text], B303)), ""))</f>
        <v>8GB</v>
      </c>
    </row>
    <row r="304" spans="1:9" hidden="1" x14ac:dyDescent="0.35">
      <c r="A304" t="s">
        <v>9</v>
      </c>
      <c r="B304" t="s">
        <v>566</v>
      </c>
      <c r="C304">
        <v>0</v>
      </c>
      <c r="D304">
        <v>6690000</v>
      </c>
      <c r="E304" t="s">
        <v>567</v>
      </c>
      <c r="F304" t="s">
        <v>12</v>
      </c>
      <c r="G304" t="str">
        <f>_xlfn.TEXTJOIN(",",TRUE,_xlfn._xlws.FILTER(GPU_brand[GPU brand], (GPU_brand[GPU brand text]&lt;&gt;"") * ISNUMBER(SEARCH(GPU_brand[GPU brand text], B304)), ""))</f>
        <v>Gigabyte</v>
      </c>
      <c r="H304" t="s">
        <v>348</v>
      </c>
      <c r="I304" t="str">
        <f>_xlfn.TEXTJOIN(",",TRUE,_xlfn._xlws.FILTER(VRAM_table[Video memory], (VRAM_table[Video memory text]&lt;&gt;"") * ISNUMBER(SEARCH(VRAM_table[Video memory text], B304)), ""))</f>
        <v>4GB</v>
      </c>
    </row>
    <row r="305" spans="1:9" hidden="1" x14ac:dyDescent="0.35">
      <c r="A305" t="s">
        <v>9</v>
      </c>
      <c r="B305" t="s">
        <v>568</v>
      </c>
      <c r="C305">
        <v>7890000</v>
      </c>
      <c r="D305">
        <v>7290000</v>
      </c>
      <c r="E305" t="s">
        <v>569</v>
      </c>
      <c r="F305" t="s">
        <v>12</v>
      </c>
      <c r="G305" t="str">
        <f>_xlfn.TEXTJOIN(",",TRUE,_xlfn._xlws.FILTER(GPU_brand[GPU brand], (GPU_brand[GPU brand text]&lt;&gt;"") * ISNUMBER(SEARCH(GPU_brand[GPU brand text], B305)), ""))</f>
        <v>Gigabyte</v>
      </c>
      <c r="H305" t="s">
        <v>348</v>
      </c>
      <c r="I305" t="str">
        <f>_xlfn.TEXTJOIN(",",TRUE,_xlfn._xlws.FILTER(VRAM_table[Video memory], (VRAM_table[Video memory text]&lt;&gt;"") * ISNUMBER(SEARCH(VRAM_table[Video memory text], B305)), ""))</f>
        <v>4GB</v>
      </c>
    </row>
    <row r="306" spans="1:9" hidden="1" x14ac:dyDescent="0.35">
      <c r="A306" t="s">
        <v>9</v>
      </c>
      <c r="B306" t="s">
        <v>570</v>
      </c>
      <c r="C306">
        <v>19990000</v>
      </c>
      <c r="D306">
        <v>14490000</v>
      </c>
      <c r="E306" t="s">
        <v>571</v>
      </c>
      <c r="F306" t="s">
        <v>12</v>
      </c>
      <c r="G306" t="str">
        <f>_xlfn.TEXTJOIN(",",TRUE,_xlfn._xlws.FILTER(GPU_brand[GPU brand], (GPU_brand[GPU brand text]&lt;&gt;"") * ISNUMBER(SEARCH(GPU_brand[GPU brand text], B306)), ""))</f>
        <v>Gigabyte</v>
      </c>
      <c r="H306" t="s">
        <v>456</v>
      </c>
      <c r="I306" t="str">
        <f>_xlfn.TEXTJOIN(",",TRUE,_xlfn._xlws.FILTER(VRAM_table[Video memory], (VRAM_table[Video memory text]&lt;&gt;"") * ISNUMBER(SEARCH(VRAM_table[Video memory text], B306)), ""))</f>
        <v>8GB</v>
      </c>
    </row>
    <row r="307" spans="1:9" hidden="1" x14ac:dyDescent="0.35">
      <c r="A307" t="s">
        <v>9</v>
      </c>
      <c r="B307" t="s">
        <v>572</v>
      </c>
      <c r="C307">
        <v>7490000</v>
      </c>
      <c r="D307">
        <v>6890000</v>
      </c>
      <c r="E307" t="s">
        <v>573</v>
      </c>
      <c r="F307" t="s">
        <v>12</v>
      </c>
      <c r="G307" t="str">
        <f>_xlfn.TEXTJOIN(",",TRUE,_xlfn._xlws.FILTER(GPU_brand[GPU brand], (GPU_brand[GPU brand text]&lt;&gt;"") * ISNUMBER(SEARCH(GPU_brand[GPU brand text], B307)), ""))</f>
        <v>ASUS</v>
      </c>
      <c r="H307" t="s">
        <v>348</v>
      </c>
      <c r="I307" t="s">
        <v>332</v>
      </c>
    </row>
    <row r="308" spans="1:9" hidden="1" x14ac:dyDescent="0.35">
      <c r="A308" t="s">
        <v>9</v>
      </c>
      <c r="B308" t="s">
        <v>574</v>
      </c>
      <c r="C308">
        <v>14990000</v>
      </c>
      <c r="D308">
        <v>12990000</v>
      </c>
      <c r="E308" t="s">
        <v>575</v>
      </c>
      <c r="F308" t="s">
        <v>12</v>
      </c>
      <c r="G308" t="str">
        <f>_xlfn.TEXTJOIN(",",TRUE,_xlfn._xlws.FILTER(GPU_brand[GPU brand], (GPU_brand[GPU brand text]&lt;&gt;"") * ISNUMBER(SEARCH(GPU_brand[GPU brand text], B308)), ""))</f>
        <v>ASUS</v>
      </c>
      <c r="H308" t="s">
        <v>456</v>
      </c>
      <c r="I308" t="s">
        <v>23</v>
      </c>
    </row>
    <row r="309" spans="1:9" hidden="1" x14ac:dyDescent="0.35">
      <c r="A309" t="s">
        <v>9</v>
      </c>
      <c r="B309" t="s">
        <v>576</v>
      </c>
      <c r="C309">
        <v>14490000</v>
      </c>
      <c r="D309">
        <v>12490000</v>
      </c>
      <c r="E309" t="s">
        <v>577</v>
      </c>
      <c r="F309" t="s">
        <v>12</v>
      </c>
      <c r="G309" t="str">
        <f>_xlfn.TEXTJOIN(",",TRUE,_xlfn._xlws.FILTER(GPU_brand[GPU brand], (GPU_brand[GPU brand text]&lt;&gt;"") * ISNUMBER(SEARCH(GPU_brand[GPU brand text], B309)), ""))</f>
        <v>ASUS</v>
      </c>
      <c r="H309" t="s">
        <v>456</v>
      </c>
      <c r="I309" t="s">
        <v>23</v>
      </c>
    </row>
    <row r="310" spans="1:9" hidden="1" x14ac:dyDescent="0.35">
      <c r="A310" t="s">
        <v>9</v>
      </c>
      <c r="B310" t="s">
        <v>578</v>
      </c>
      <c r="C310">
        <v>7490000</v>
      </c>
      <c r="D310">
        <v>6390000</v>
      </c>
      <c r="E310" t="s">
        <v>579</v>
      </c>
      <c r="F310" t="s">
        <v>12</v>
      </c>
      <c r="G310" t="str">
        <f>_xlfn.TEXTJOIN(",",TRUE,_xlfn._xlws.FILTER(GPU_brand[GPU brand], (GPU_brand[GPU brand text]&lt;&gt;"") * ISNUMBER(SEARCH(GPU_brand[GPU brand text], B310)), ""))</f>
        <v>Palit</v>
      </c>
      <c r="H310" t="s">
        <v>348</v>
      </c>
      <c r="I310" t="str">
        <f>_xlfn.TEXTJOIN(",",TRUE,_xlfn._xlws.FILTER(VRAM_table[Video memory], (VRAM_table[Video memory text]&lt;&gt;"") * ISNUMBER(SEARCH(VRAM_table[Video memory text], B310)), ""))</f>
        <v>4GB</v>
      </c>
    </row>
    <row r="311" spans="1:9" hidden="1" x14ac:dyDescent="0.35">
      <c r="A311" t="s">
        <v>9</v>
      </c>
      <c r="B311" t="s">
        <v>580</v>
      </c>
      <c r="C311">
        <v>7690000</v>
      </c>
      <c r="D311">
        <v>7290000</v>
      </c>
      <c r="E311" t="s">
        <v>581</v>
      </c>
      <c r="F311" t="s">
        <v>12</v>
      </c>
      <c r="G311" t="str">
        <f>_xlfn.TEXTJOIN(",",TRUE,_xlfn._xlws.FILTER(GPU_brand[GPU brand], (GPU_brand[GPU brand text]&lt;&gt;"") * ISNUMBER(SEARCH(GPU_brand[GPU brand text], B311)), ""))</f>
        <v>MSI</v>
      </c>
      <c r="H311" t="s">
        <v>348</v>
      </c>
      <c r="I311" t="str">
        <f>_xlfn.TEXTJOIN(",",TRUE,_xlfn._xlws.FILTER(VRAM_table[Video memory], (VRAM_table[Video memory text]&lt;&gt;"") * ISNUMBER(SEARCH(VRAM_table[Video memory text], B311)), ""))</f>
        <v>4GB</v>
      </c>
    </row>
    <row r="312" spans="1:9" hidden="1" x14ac:dyDescent="0.35">
      <c r="A312" t="s">
        <v>9</v>
      </c>
      <c r="B312" t="s">
        <v>582</v>
      </c>
      <c r="C312">
        <v>12990000</v>
      </c>
      <c r="D312">
        <v>9990000</v>
      </c>
      <c r="E312" t="s">
        <v>583</v>
      </c>
      <c r="F312" t="s">
        <v>12</v>
      </c>
      <c r="G312" t="str">
        <f>_xlfn.TEXTJOIN(",",TRUE,_xlfn._xlws.FILTER(GPU_brand[GPU brand], (GPU_brand[GPU brand text]&lt;&gt;"") * ISNUMBER(SEARCH(GPU_brand[GPU brand text], B312)), ""))</f>
        <v>Gigabyte</v>
      </c>
      <c r="H312" t="s">
        <v>491</v>
      </c>
      <c r="I312" t="s">
        <v>45</v>
      </c>
    </row>
    <row r="313" spans="1:9" hidden="1" x14ac:dyDescent="0.35">
      <c r="A313" t="s">
        <v>9</v>
      </c>
      <c r="B313" t="s">
        <v>584</v>
      </c>
      <c r="C313">
        <v>0</v>
      </c>
      <c r="D313">
        <v>16790000</v>
      </c>
      <c r="E313" t="s">
        <v>585</v>
      </c>
      <c r="F313" t="s">
        <v>12</v>
      </c>
      <c r="G313" t="str">
        <f>_xlfn.TEXTJOIN(",",TRUE,_xlfn._xlws.FILTER(GPU_brand[GPU brand], (GPU_brand[GPU brand text]&lt;&gt;"") * ISNUMBER(SEARCH(GPU_brand[GPU brand text], B313)), ""))</f>
        <v>Gigabyte</v>
      </c>
      <c r="H313" t="s">
        <v>491</v>
      </c>
      <c r="I313" t="s">
        <v>45</v>
      </c>
    </row>
    <row r="314" spans="1:9" hidden="1" x14ac:dyDescent="0.35">
      <c r="A314" t="s">
        <v>9</v>
      </c>
      <c r="B314" t="s">
        <v>586</v>
      </c>
      <c r="C314">
        <v>9490000</v>
      </c>
      <c r="D314">
        <v>5990000</v>
      </c>
      <c r="E314" t="s">
        <v>587</v>
      </c>
      <c r="F314" t="s">
        <v>12</v>
      </c>
      <c r="G314" t="str">
        <f>_xlfn.TEXTJOIN(",",TRUE,_xlfn._xlws.FILTER(GPU_brand[GPU brand], (GPU_brand[GPU brand text]&lt;&gt;"") * ISNUMBER(SEARCH(GPU_brand[GPU brand text], B314)), ""))</f>
        <v>ASUS</v>
      </c>
      <c r="H314" t="str">
        <f>_xlfn.TEXTJOIN(",",TRUE,_xlfn._xlws.FILTER(Chipset_Table[Chipset], (Chipset_Table[Chipset text]&lt;&gt;"") * ISNUMBER(SEARCH(Chipset_Table[Chipset text], B314)), ""))</f>
        <v>GeForce GTX 1660</v>
      </c>
      <c r="I314" t="s">
        <v>323</v>
      </c>
    </row>
    <row r="315" spans="1:9" hidden="1" x14ac:dyDescent="0.35">
      <c r="A315" t="s">
        <v>9</v>
      </c>
      <c r="B315" t="s">
        <v>588</v>
      </c>
      <c r="C315">
        <v>1990000</v>
      </c>
      <c r="D315">
        <v>1550000</v>
      </c>
      <c r="E315" t="s">
        <v>589</v>
      </c>
      <c r="F315" t="s">
        <v>12</v>
      </c>
      <c r="G315" t="str">
        <f>_xlfn.TEXTJOIN(",",TRUE,_xlfn._xlws.FILTER(GPU_brand[GPU brand], (GPU_brand[GPU brand text]&lt;&gt;"") * ISNUMBER(SEARCH(GPU_brand[GPU brand text], B315)), ""))</f>
        <v>ASUS</v>
      </c>
      <c r="H315" t="str">
        <f>_xlfn.TEXTJOIN(",",TRUE,_xlfn._xlws.FILTER(Chipset_Table[Chipset], (Chipset_Table[Chipset text]&lt;&gt;"") * ISNUMBER(SEARCH(Chipset_Table[Chipset text], B315)), ""))</f>
        <v>GeForce GT 730</v>
      </c>
      <c r="I315" t="str">
        <f>_xlfn.TEXTJOIN(",",TRUE,_xlfn._xlws.FILTER(VRAM_table[Video memory], (VRAM_table[Video memory text]&lt;&gt;"") * ISNUMBER(SEARCH(VRAM_table[Video memory text], B315)), ""))</f>
        <v>2GB</v>
      </c>
    </row>
    <row r="316" spans="1:9" hidden="1" x14ac:dyDescent="0.35">
      <c r="A316" t="s">
        <v>9</v>
      </c>
      <c r="B316" t="s">
        <v>590</v>
      </c>
      <c r="C316">
        <v>7490000</v>
      </c>
      <c r="D316">
        <v>6790000</v>
      </c>
      <c r="E316" t="s">
        <v>591</v>
      </c>
      <c r="F316" t="s">
        <v>12</v>
      </c>
      <c r="G316" t="str">
        <f>_xlfn.TEXTJOIN(",",TRUE,_xlfn._xlws.FILTER(GPU_brand[GPU brand], (GPU_brand[GPU brand text]&lt;&gt;"") * ISNUMBER(SEARCH(GPU_brand[GPU brand text], B316)), ""))</f>
        <v>MSI</v>
      </c>
      <c r="H316" t="str">
        <f>_xlfn.TEXTJOIN(",",TRUE,_xlfn._xlws.FILTER(Chipset_Table[Chipset], (Chipset_Table[Chipset text]&lt;&gt;"") * ISNUMBER(SEARCH(Chipset_Table[Chipset text], B316)), ""))</f>
        <v>GTX 1650</v>
      </c>
      <c r="I316" t="s">
        <v>332</v>
      </c>
    </row>
    <row r="317" spans="1:9" hidden="1" x14ac:dyDescent="0.35">
      <c r="A317" t="s">
        <v>9</v>
      </c>
      <c r="B317" t="s">
        <v>592</v>
      </c>
      <c r="C317">
        <v>5390000</v>
      </c>
      <c r="D317">
        <v>5190000</v>
      </c>
      <c r="E317" t="s">
        <v>593</v>
      </c>
      <c r="F317" t="s">
        <v>12</v>
      </c>
      <c r="G317" t="str">
        <f>_xlfn.TEXTJOIN(",",TRUE,_xlfn._xlws.FILTER(GPU_brand[GPU brand], (GPU_brand[GPU brand text]&lt;&gt;"") * ISNUMBER(SEARCH(GPU_brand[GPU brand text], B317)), ""))</f>
        <v>ASUS</v>
      </c>
      <c r="H317" t="s">
        <v>407</v>
      </c>
      <c r="I317" t="s">
        <v>323</v>
      </c>
    </row>
    <row r="318" spans="1:9" hidden="1" x14ac:dyDescent="0.35">
      <c r="A318" t="s">
        <v>9</v>
      </c>
      <c r="B318" t="s">
        <v>594</v>
      </c>
      <c r="C318">
        <v>0</v>
      </c>
      <c r="D318">
        <v>100000000</v>
      </c>
      <c r="E318" t="s">
        <v>595</v>
      </c>
      <c r="F318" t="s">
        <v>12</v>
      </c>
      <c r="G318" t="str">
        <f>_xlfn.TEXTJOIN(",",TRUE,_xlfn._xlws.FILTER(GPU_brand[GPU brand], (GPU_brand[GPU brand text]&lt;&gt;"") * ISNUMBER(SEARCH(GPU_brand[GPU brand text], B318)), ""))</f>
        <v>MSI</v>
      </c>
      <c r="H318" t="s">
        <v>329</v>
      </c>
      <c r="I318" t="s">
        <v>45</v>
      </c>
    </row>
    <row r="319" spans="1:9" hidden="1" x14ac:dyDescent="0.35">
      <c r="A319" t="s">
        <v>9</v>
      </c>
      <c r="B319" t="s">
        <v>596</v>
      </c>
      <c r="C319">
        <v>6990000</v>
      </c>
      <c r="D319">
        <v>5990000</v>
      </c>
      <c r="E319" t="s">
        <v>597</v>
      </c>
      <c r="F319" t="s">
        <v>12</v>
      </c>
      <c r="G319" t="str">
        <f>_xlfn.TEXTJOIN(",",TRUE,_xlfn._xlws.FILTER(GPU_brand[GPU brand], (GPU_brand[GPU brand text]&lt;&gt;"") * ISNUMBER(SEARCH(GPU_brand[GPU brand text], B319)), ""))</f>
        <v>Gigabyte</v>
      </c>
      <c r="H319" t="str">
        <f>_xlfn.TEXTJOIN(",",TRUE,_xlfn._xlws.FILTER(Chipset_Table[Chipset], (Chipset_Table[Chipset text]&lt;&gt;"") * ISNUMBER(SEARCH(Chipset_Table[Chipset text], B319)), ""))</f>
        <v>GeForce RTX 3050</v>
      </c>
      <c r="I319" t="str">
        <f>_xlfn.TEXTJOIN(",",TRUE,_xlfn._xlws.FILTER(VRAM_table[Video memory], (VRAM_table[Video memory text]&lt;&gt;"") * ISNUMBER(SEARCH(VRAM_table[Video memory text], B319)), ""))</f>
        <v>8GB</v>
      </c>
    </row>
    <row r="320" spans="1:9" hidden="1" x14ac:dyDescent="0.35">
      <c r="A320" t="s">
        <v>9</v>
      </c>
      <c r="B320" t="s">
        <v>598</v>
      </c>
      <c r="C320">
        <v>6790000</v>
      </c>
      <c r="D320">
        <v>5890000</v>
      </c>
      <c r="E320" t="s">
        <v>599</v>
      </c>
      <c r="F320" t="s">
        <v>12</v>
      </c>
      <c r="G320" t="str">
        <f>_xlfn.TEXTJOIN(",",TRUE,_xlfn._xlws.FILTER(GPU_brand[GPU brand], (GPU_brand[GPU brand text]&lt;&gt;"") * ISNUMBER(SEARCH(GPU_brand[GPU brand text], B320)), ""))</f>
        <v>ASUS</v>
      </c>
      <c r="H320" t="str">
        <f>_xlfn.TEXTJOIN(",",TRUE,_xlfn._xlws.FILTER(Chipset_Table[Chipset], (Chipset_Table[Chipset text]&lt;&gt;"") * ISNUMBER(SEARCH(Chipset_Table[Chipset text], B320)), ""))</f>
        <v>GeForce RTX 3050</v>
      </c>
      <c r="I320" t="s">
        <v>23</v>
      </c>
    </row>
    <row r="321" spans="1:9" hidden="1" x14ac:dyDescent="0.35">
      <c r="A321" t="s">
        <v>9</v>
      </c>
      <c r="B321" t="s">
        <v>600</v>
      </c>
      <c r="C321">
        <v>16990000</v>
      </c>
      <c r="D321">
        <v>13990000</v>
      </c>
      <c r="E321" t="s">
        <v>601</v>
      </c>
      <c r="F321" t="s">
        <v>12</v>
      </c>
      <c r="G321" t="str">
        <f>_xlfn.TEXTJOIN(",",TRUE,_xlfn._xlws.FILTER(GPU_brand[GPU brand], (GPU_brand[GPU brand text]&lt;&gt;"") * ISNUMBER(SEARCH(GPU_brand[GPU brand text], B321)), ""))</f>
        <v>ASUS</v>
      </c>
      <c r="H321" t="s">
        <v>491</v>
      </c>
      <c r="I321" t="s">
        <v>45</v>
      </c>
    </row>
    <row r="322" spans="1:9" hidden="1" x14ac:dyDescent="0.35">
      <c r="A322" t="s">
        <v>9</v>
      </c>
      <c r="B322" t="s">
        <v>602</v>
      </c>
      <c r="C322">
        <v>7990000</v>
      </c>
      <c r="D322">
        <v>4190000</v>
      </c>
      <c r="E322" t="s">
        <v>603</v>
      </c>
      <c r="F322" t="s">
        <v>12</v>
      </c>
      <c r="G322" t="str">
        <f>_xlfn.TEXTJOIN(",",TRUE,_xlfn._xlws.FILTER(GPU_brand[GPU brand], (GPU_brand[GPU brand text]&lt;&gt;"") * ISNUMBER(SEARCH(GPU_brand[GPU brand text], B322)), ""))</f>
        <v>MSI</v>
      </c>
      <c r="H322" t="s">
        <v>348</v>
      </c>
      <c r="I322" t="s">
        <v>332</v>
      </c>
    </row>
    <row r="323" spans="1:9" hidden="1" x14ac:dyDescent="0.35">
      <c r="A323" t="s">
        <v>9</v>
      </c>
      <c r="B323" t="s">
        <v>604</v>
      </c>
      <c r="C323">
        <v>4190000</v>
      </c>
      <c r="D323">
        <v>3890000</v>
      </c>
      <c r="E323" t="s">
        <v>605</v>
      </c>
      <c r="F323" t="s">
        <v>12</v>
      </c>
      <c r="G323" t="str">
        <f>_xlfn.TEXTJOIN(",",TRUE,_xlfn._xlws.FILTER(GPU_brand[GPU brand], (GPU_brand[GPU brand text]&lt;&gt;"") * ISNUMBER(SEARCH(GPU_brand[GPU brand text], B323)), ""))</f>
        <v>Gigabyte</v>
      </c>
      <c r="H323" t="s">
        <v>348</v>
      </c>
      <c r="I323" t="str">
        <f>_xlfn.TEXTJOIN(",",TRUE,_xlfn._xlws.FILTER(VRAM_table[Video memory], (VRAM_table[Video memory text]&lt;&gt;"") * ISNUMBER(SEARCH(VRAM_table[Video memory text], B323)), ""))</f>
        <v>4GB</v>
      </c>
    </row>
    <row r="324" spans="1:9" hidden="1" x14ac:dyDescent="0.35">
      <c r="A324" t="s">
        <v>9</v>
      </c>
      <c r="B324" t="s">
        <v>606</v>
      </c>
      <c r="C324">
        <v>7990000</v>
      </c>
      <c r="D324">
        <v>7390000</v>
      </c>
      <c r="E324" t="s">
        <v>607</v>
      </c>
      <c r="F324" t="s">
        <v>12</v>
      </c>
      <c r="G324" t="str">
        <f>_xlfn.TEXTJOIN(",",TRUE,_xlfn._xlws.FILTER(GPU_brand[GPU brand], (GPU_brand[GPU brand text]&lt;&gt;"") * ISNUMBER(SEARCH(GPU_brand[GPU brand text], B324)), ""))</f>
        <v>Gigabyte</v>
      </c>
      <c r="H324" t="s">
        <v>348</v>
      </c>
      <c r="I324" t="str">
        <f>_xlfn.TEXTJOIN(",",TRUE,_xlfn._xlws.FILTER(VRAM_table[Video memory], (VRAM_table[Video memory text]&lt;&gt;"") * ISNUMBER(SEARCH(VRAM_table[Video memory text], B324)), ""))</f>
        <v>4GB</v>
      </c>
    </row>
    <row r="325" spans="1:9" hidden="1" x14ac:dyDescent="0.35">
      <c r="A325" t="s">
        <v>9</v>
      </c>
      <c r="B325" t="s">
        <v>608</v>
      </c>
      <c r="C325">
        <v>5500000</v>
      </c>
      <c r="D325">
        <v>4290000</v>
      </c>
      <c r="E325" t="s">
        <v>609</v>
      </c>
      <c r="F325" t="s">
        <v>12</v>
      </c>
      <c r="G325" t="str">
        <f>_xlfn.TEXTJOIN(",",TRUE,_xlfn._xlws.FILTER(GPU_brand[GPU brand], (GPU_brand[GPU brand text]&lt;&gt;"") * ISNUMBER(SEARCH(GPU_brand[GPU brand text], B325)), ""))</f>
        <v>ASUS</v>
      </c>
      <c r="H325" t="s">
        <v>348</v>
      </c>
      <c r="I325" t="str">
        <f>_xlfn.TEXTJOIN(",",TRUE,_xlfn._xlws.FILTER(VRAM_table[Video memory], (VRAM_table[Video memory text]&lt;&gt;"") * ISNUMBER(SEARCH(VRAM_table[Video memory text], B325)), ""))</f>
        <v>4GB</v>
      </c>
    </row>
    <row r="326" spans="1:9" hidden="1" x14ac:dyDescent="0.35">
      <c r="A326" t="s">
        <v>9</v>
      </c>
      <c r="B326" t="s">
        <v>610</v>
      </c>
      <c r="C326">
        <v>0</v>
      </c>
      <c r="D326">
        <v>4770000</v>
      </c>
      <c r="E326" t="s">
        <v>611</v>
      </c>
      <c r="F326" t="s">
        <v>12</v>
      </c>
      <c r="G326" t="str">
        <f>_xlfn.TEXTJOIN(",",TRUE,_xlfn._xlws.FILTER(GPU_brand[GPU brand], (GPU_brand[GPU brand text]&lt;&gt;"") * ISNUMBER(SEARCH(GPU_brand[GPU brand text], B326)), ""))</f>
        <v>ASUS</v>
      </c>
      <c r="H326" t="s">
        <v>348</v>
      </c>
      <c r="I326" t="s">
        <v>332</v>
      </c>
    </row>
    <row r="327" spans="1:9" hidden="1" x14ac:dyDescent="0.35">
      <c r="A327" t="s">
        <v>9</v>
      </c>
      <c r="B327" t="s">
        <v>612</v>
      </c>
      <c r="C327">
        <v>0</v>
      </c>
      <c r="D327">
        <v>5290000</v>
      </c>
      <c r="E327" t="s">
        <v>613</v>
      </c>
      <c r="F327" t="s">
        <v>12</v>
      </c>
      <c r="G327" t="str">
        <f>_xlfn.TEXTJOIN(",",TRUE,_xlfn._xlws.FILTER(GPU_brand[GPU brand], (GPU_brand[GPU brand text]&lt;&gt;"") * ISNUMBER(SEARCH(GPU_brand[GPU brand text], B327)), ""))</f>
        <v>MSI</v>
      </c>
      <c r="H327" t="s">
        <v>348</v>
      </c>
      <c r="I327" t="s">
        <v>332</v>
      </c>
    </row>
    <row r="328" spans="1:9" hidden="1" x14ac:dyDescent="0.35">
      <c r="A328" t="s">
        <v>9</v>
      </c>
      <c r="B328" t="s">
        <v>614</v>
      </c>
      <c r="C328">
        <v>0</v>
      </c>
      <c r="D328">
        <v>8690000</v>
      </c>
      <c r="E328" t="s">
        <v>615</v>
      </c>
      <c r="F328" t="s">
        <v>12</v>
      </c>
      <c r="G328" t="str">
        <f>_xlfn.TEXTJOIN(",",TRUE,_xlfn._xlws.FILTER(GPU_brand[GPU brand], (GPU_brand[GPU brand text]&lt;&gt;"") * ISNUMBER(SEARCH(GPU_brand[GPU brand text], B328)), ""))</f>
        <v>MSI</v>
      </c>
      <c r="H328" t="s">
        <v>491</v>
      </c>
      <c r="I328" t="str">
        <f>_xlfn.TEXTJOIN(",",TRUE,_xlfn._xlws.FILTER(VRAM_table[Video memory], (VRAM_table[Video memory text]&lt;&gt;"") * ISNUMBER(SEARCH(VRAM_table[Video memory text], B328)), ""))</f>
        <v>6GB</v>
      </c>
    </row>
    <row r="329" spans="1:9" hidden="1" x14ac:dyDescent="0.35">
      <c r="A329" t="s">
        <v>9</v>
      </c>
      <c r="B329" t="s">
        <v>616</v>
      </c>
      <c r="C329">
        <v>1290000</v>
      </c>
      <c r="D329">
        <v>1190000</v>
      </c>
      <c r="E329" t="s">
        <v>617</v>
      </c>
      <c r="F329" t="s">
        <v>12</v>
      </c>
      <c r="G329" t="str">
        <f>_xlfn.TEXTJOIN(",",TRUE,_xlfn._xlws.FILTER(GPU_brand[GPU brand], (GPU_brand[GPU brand text]&lt;&gt;"") * ISNUMBER(SEARCH(GPU_brand[GPU brand text], B329)), ""))</f>
        <v>Palit</v>
      </c>
      <c r="H329" t="str">
        <f>_xlfn.TEXTJOIN(",",TRUE,_xlfn._xlws.FILTER(Chipset_Table[Chipset], (Chipset_Table[Chipset text]&lt;&gt;"") * ISNUMBER(SEARCH(Chipset_Table[Chipset text], B329)), ""))</f>
        <v>GeForce GT 730</v>
      </c>
      <c r="I329" t="str">
        <f>_xlfn.TEXTJOIN(",",TRUE,_xlfn._xlws.FILTER(VRAM_table[Video memory], (VRAM_table[Video memory text]&lt;&gt;"") * ISNUMBER(SEARCH(VRAM_table[Video memory text], B329)), ""))</f>
        <v>2GB</v>
      </c>
    </row>
    <row r="330" spans="1:9" hidden="1" x14ac:dyDescent="0.35">
      <c r="A330" t="s">
        <v>9</v>
      </c>
      <c r="B330" t="s">
        <v>618</v>
      </c>
      <c r="C330">
        <v>5090000</v>
      </c>
      <c r="D330">
        <v>4790000</v>
      </c>
      <c r="E330" t="s">
        <v>619</v>
      </c>
      <c r="F330" t="s">
        <v>12</v>
      </c>
      <c r="G330" t="str">
        <f>_xlfn.TEXTJOIN(",",TRUE,_xlfn._xlws.FILTER(GPU_brand[GPU brand], (GPU_brand[GPU brand text]&lt;&gt;"") * ISNUMBER(SEARCH(GPU_brand[GPU brand text], B330)), ""))</f>
        <v>Gigabyte</v>
      </c>
      <c r="H330" t="s">
        <v>348</v>
      </c>
      <c r="I330" t="s">
        <v>332</v>
      </c>
    </row>
    <row r="331" spans="1:9" hidden="1" x14ac:dyDescent="0.35">
      <c r="A331" t="s">
        <v>9</v>
      </c>
      <c r="B331" t="s">
        <v>620</v>
      </c>
      <c r="C331">
        <v>7890000</v>
      </c>
      <c r="D331">
        <v>4290000</v>
      </c>
      <c r="E331" t="s">
        <v>621</v>
      </c>
      <c r="F331" t="s">
        <v>12</v>
      </c>
      <c r="G331" t="str">
        <f>_xlfn.TEXTJOIN(",",TRUE,_xlfn._xlws.FILTER(GPU_brand[GPU brand], (GPU_brand[GPU brand text]&lt;&gt;"") * ISNUMBER(SEARCH(GPU_brand[GPU brand text], B331)), ""))</f>
        <v>Gigabyte</v>
      </c>
      <c r="H331" t="s">
        <v>348</v>
      </c>
      <c r="I331" t="str">
        <f>_xlfn.TEXTJOIN(",",TRUE,_xlfn._xlws.FILTER(VRAM_table[Video memory], (VRAM_table[Video memory text]&lt;&gt;"") * ISNUMBER(SEARCH(VRAM_table[Video memory text], B331)), ""))</f>
        <v>4GB</v>
      </c>
    </row>
    <row r="332" spans="1:9" hidden="1" x14ac:dyDescent="0.35">
      <c r="A332" t="s">
        <v>9</v>
      </c>
      <c r="B332" t="s">
        <v>622</v>
      </c>
      <c r="C332">
        <v>7490000</v>
      </c>
      <c r="D332">
        <v>4890000</v>
      </c>
      <c r="E332" t="s">
        <v>623</v>
      </c>
      <c r="F332" t="s">
        <v>12</v>
      </c>
      <c r="G332" t="str">
        <f>_xlfn.TEXTJOIN(",",TRUE,_xlfn._xlws.FILTER(GPU_brand[GPU brand], (GPU_brand[GPU brand text]&lt;&gt;"") * ISNUMBER(SEARCH(GPU_brand[GPU brand text], B332)), ""))</f>
        <v>Gigabyte</v>
      </c>
      <c r="H332" t="s">
        <v>348</v>
      </c>
      <c r="I332" t="str">
        <f>_xlfn.TEXTJOIN(",",TRUE,_xlfn._xlws.FILTER(VRAM_table[Video memory], (VRAM_table[Video memory text]&lt;&gt;"") * ISNUMBER(SEARCH(VRAM_table[Video memory text], B332)), ""))</f>
        <v>4GB</v>
      </c>
    </row>
    <row r="333" spans="1:9" hidden="1" x14ac:dyDescent="0.35">
      <c r="A333" t="s">
        <v>9</v>
      </c>
      <c r="B333" t="s">
        <v>624</v>
      </c>
      <c r="C333">
        <v>0</v>
      </c>
      <c r="D333">
        <v>7090000</v>
      </c>
      <c r="E333" t="s">
        <v>625</v>
      </c>
      <c r="F333" t="s">
        <v>12</v>
      </c>
      <c r="G333" t="str">
        <f>_xlfn.TEXTJOIN(",",TRUE,_xlfn._xlws.FILTER(GPU_brand[GPU brand], (GPU_brand[GPU brand text]&lt;&gt;"") * ISNUMBER(SEARCH(GPU_brand[GPU brand text], B333)), ""))</f>
        <v>Gigabyte</v>
      </c>
      <c r="H333" t="s">
        <v>348</v>
      </c>
      <c r="I333" t="str">
        <f>_xlfn.TEXTJOIN(",",TRUE,_xlfn._xlws.FILTER(VRAM_table[Video memory], (VRAM_table[Video memory text]&lt;&gt;"") * ISNUMBER(SEARCH(VRAM_table[Video memory text], B333)), ""))</f>
        <v>4GB</v>
      </c>
    </row>
    <row r="334" spans="1:9" hidden="1" x14ac:dyDescent="0.35">
      <c r="A334" t="s">
        <v>9</v>
      </c>
      <c r="B334" t="s">
        <v>626</v>
      </c>
      <c r="C334">
        <v>11290000</v>
      </c>
      <c r="D334">
        <v>10890000</v>
      </c>
      <c r="E334" t="s">
        <v>627</v>
      </c>
      <c r="F334" t="s">
        <v>12</v>
      </c>
      <c r="G334" t="str">
        <f>_xlfn.TEXTJOIN(",",TRUE,_xlfn._xlws.FILTER(GPU_brand[GPU brand], (GPU_brand[GPU brand text]&lt;&gt;"") * ISNUMBER(SEARCH(GPU_brand[GPU brand text], B334)), ""))</f>
        <v>ASUS</v>
      </c>
      <c r="H334" t="str">
        <f>_xlfn.TEXTJOIN(",",TRUE,_xlfn._xlws.FILTER(Chipset_Table[Chipset], (Chipset_Table[Chipset text]&lt;&gt;"") * ISNUMBER(SEARCH(Chipset_Table[Chipset text], B334)), ""))</f>
        <v>GeForce GTX 1660</v>
      </c>
      <c r="I334" t="s">
        <v>323</v>
      </c>
    </row>
    <row r="335" spans="1:9" hidden="1" x14ac:dyDescent="0.35">
      <c r="A335" t="s">
        <v>9</v>
      </c>
      <c r="B335" t="s">
        <v>628</v>
      </c>
      <c r="C335">
        <v>7490000</v>
      </c>
      <c r="D335">
        <v>6690000</v>
      </c>
      <c r="E335" t="s">
        <v>629</v>
      </c>
      <c r="F335" t="s">
        <v>12</v>
      </c>
      <c r="G335" t="str">
        <f>_xlfn.TEXTJOIN(",",TRUE,_xlfn._xlws.FILTER(GPU_brand[GPU brand], (GPU_brand[GPU brand text]&lt;&gt;"") * ISNUMBER(SEARCH(GPU_brand[GPU brand text], B335)), ""))</f>
        <v>ASUS</v>
      </c>
      <c r="H335" t="s">
        <v>348</v>
      </c>
      <c r="I335" t="s">
        <v>332</v>
      </c>
    </row>
    <row r="336" spans="1:9" hidden="1" x14ac:dyDescent="0.35">
      <c r="A336" t="s">
        <v>9</v>
      </c>
      <c r="B336" t="s">
        <v>630</v>
      </c>
      <c r="C336">
        <v>4190000</v>
      </c>
      <c r="D336">
        <v>3890000</v>
      </c>
      <c r="E336" t="s">
        <v>631</v>
      </c>
      <c r="F336" t="s">
        <v>12</v>
      </c>
      <c r="G336" t="str">
        <f>_xlfn.TEXTJOIN(",",TRUE,_xlfn._xlws.FILTER(GPU_brand[GPU brand], (GPU_brand[GPU brand text]&lt;&gt;"") * ISNUMBER(SEARCH(GPU_brand[GPU brand text], B336)), ""))</f>
        <v>ASUS</v>
      </c>
      <c r="H336" t="s">
        <v>348</v>
      </c>
      <c r="I336" t="s">
        <v>332</v>
      </c>
    </row>
    <row r="337" spans="1:9" hidden="1" x14ac:dyDescent="0.35">
      <c r="A337" t="s">
        <v>9</v>
      </c>
      <c r="B337" t="s">
        <v>632</v>
      </c>
      <c r="C337">
        <v>0</v>
      </c>
      <c r="D337">
        <v>13990000</v>
      </c>
      <c r="E337" t="s">
        <v>633</v>
      </c>
      <c r="F337" t="s">
        <v>12</v>
      </c>
      <c r="G337" t="str">
        <f>_xlfn.TEXTJOIN(",",TRUE,_xlfn._xlws.FILTER(GPU_brand[GPU brand], (GPU_brand[GPU brand text]&lt;&gt;"") * ISNUMBER(SEARCH(GPU_brand[GPU brand text], B337)), ""))</f>
        <v>MSI</v>
      </c>
      <c r="H337" t="s">
        <v>491</v>
      </c>
      <c r="I337" t="str">
        <f>_xlfn.TEXTJOIN(",",TRUE,_xlfn._xlws.FILTER(VRAM_table[Video memory], (VRAM_table[Video memory text]&lt;&gt;"") * ISNUMBER(SEARCH(VRAM_table[Video memory text], B337)), ""))</f>
        <v>6GB</v>
      </c>
    </row>
    <row r="338" spans="1:9" hidden="1" x14ac:dyDescent="0.35">
      <c r="A338" t="s">
        <v>9</v>
      </c>
      <c r="B338" t="s">
        <v>634</v>
      </c>
      <c r="C338">
        <v>0</v>
      </c>
      <c r="D338">
        <v>10990000</v>
      </c>
      <c r="E338" t="s">
        <v>635</v>
      </c>
      <c r="F338" t="s">
        <v>12</v>
      </c>
      <c r="G338" t="str">
        <f>_xlfn.TEXTJOIN(",",TRUE,_xlfn._xlws.FILTER(GPU_brand[GPU brand], (GPU_brand[GPU brand text]&lt;&gt;"") * ISNUMBER(SEARCH(GPU_brand[GPU brand text], B338)), ""))</f>
        <v>Gigabyte</v>
      </c>
      <c r="H338" t="s">
        <v>491</v>
      </c>
      <c r="I338" t="str">
        <f>_xlfn.TEXTJOIN(",",TRUE,_xlfn._xlws.FILTER(VRAM_table[Video memory], (VRAM_table[Video memory text]&lt;&gt;"") * ISNUMBER(SEARCH(VRAM_table[Video memory text], B338)), ""))</f>
        <v>6GB</v>
      </c>
    </row>
    <row r="339" spans="1:9" hidden="1" x14ac:dyDescent="0.35">
      <c r="A339" t="s">
        <v>9</v>
      </c>
      <c r="B339" t="s">
        <v>636</v>
      </c>
      <c r="C339">
        <v>7990000</v>
      </c>
      <c r="D339">
        <v>5190000</v>
      </c>
      <c r="E339" t="s">
        <v>637</v>
      </c>
      <c r="F339" t="s">
        <v>12</v>
      </c>
      <c r="G339" t="str">
        <f>_xlfn.TEXTJOIN(",",TRUE,_xlfn._xlws.FILTER(GPU_brand[GPU brand], (GPU_brand[GPU brand text]&lt;&gt;"") * ISNUMBER(SEARCH(GPU_brand[GPU brand text], B339)), ""))</f>
        <v>Gigabyte</v>
      </c>
      <c r="H339" t="s">
        <v>407</v>
      </c>
      <c r="I339" t="str">
        <f>_xlfn.TEXTJOIN(",",TRUE,_xlfn._xlws.FILTER(VRAM_table[Video memory], (VRAM_table[Video memory text]&lt;&gt;"") * ISNUMBER(SEARCH(VRAM_table[Video memory text], B339)), ""))</f>
        <v>6GB</v>
      </c>
    </row>
    <row r="340" spans="1:9" hidden="1" x14ac:dyDescent="0.35">
      <c r="A340" t="s">
        <v>9</v>
      </c>
      <c r="B340" t="s">
        <v>638</v>
      </c>
      <c r="C340">
        <v>4290000</v>
      </c>
      <c r="D340">
        <v>3990000</v>
      </c>
      <c r="E340" t="s">
        <v>639</v>
      </c>
      <c r="F340" t="s">
        <v>12</v>
      </c>
      <c r="G340" t="str">
        <f>_xlfn.TEXTJOIN(",",TRUE,_xlfn._xlws.FILTER(GPU_brand[GPU brand], (GPU_brand[GPU brand text]&lt;&gt;"") * ISNUMBER(SEARCH(GPU_brand[GPU brand text], B340)), ""))</f>
        <v>ASUS</v>
      </c>
      <c r="H340" t="s">
        <v>348</v>
      </c>
      <c r="I340" t="s">
        <v>332</v>
      </c>
    </row>
    <row r="341" spans="1:9" hidden="1" x14ac:dyDescent="0.35">
      <c r="A341" t="s">
        <v>9</v>
      </c>
      <c r="B341" t="s">
        <v>640</v>
      </c>
      <c r="C341">
        <v>59990000</v>
      </c>
      <c r="D341">
        <v>55990000</v>
      </c>
      <c r="E341" t="s">
        <v>641</v>
      </c>
      <c r="F341" t="s">
        <v>12</v>
      </c>
      <c r="G341" t="str">
        <f>_xlfn.TEXTJOIN(",",TRUE,_xlfn._xlws.FILTER(GPU_brand[GPU brand], (GPU_brand[GPU brand text]&lt;&gt;"") * ISNUMBER(SEARCH(GPU_brand[GPU brand text], B341)), ""))</f>
        <v>MSI</v>
      </c>
      <c r="H341" t="str">
        <f>_xlfn.TEXTJOIN(",",TRUE,_xlfn._xlws.FILTER(Chipset_Table[Chipset], (Chipset_Table[Chipset text]&lt;&gt;"") * ISNUMBER(SEARCH(Chipset_Table[Chipset text], B341)), ""))</f>
        <v>GeForce RTX 4090</v>
      </c>
      <c r="I341" t="s">
        <v>373</v>
      </c>
    </row>
    <row r="342" spans="1:9" hidden="1" x14ac:dyDescent="0.35">
      <c r="A342" t="s">
        <v>9</v>
      </c>
      <c r="B342" t="s">
        <v>642</v>
      </c>
      <c r="C342">
        <v>0</v>
      </c>
      <c r="D342">
        <v>56990000</v>
      </c>
      <c r="E342" t="s">
        <v>643</v>
      </c>
      <c r="F342" t="s">
        <v>12</v>
      </c>
      <c r="G342" t="str">
        <f>_xlfn.TEXTJOIN(",",TRUE,_xlfn._xlws.FILTER(GPU_brand[GPU brand], (GPU_brand[GPU brand text]&lt;&gt;"") * ISNUMBER(SEARCH(GPU_brand[GPU brand text], B342)), ""))</f>
        <v>MSI</v>
      </c>
      <c r="H342" t="str">
        <f>_xlfn.TEXTJOIN(",",TRUE,_xlfn._xlws.FILTER(Chipset_Table[Chipset], (Chipset_Table[Chipset text]&lt;&gt;"") * ISNUMBER(SEARCH(Chipset_Table[Chipset text], B342)), ""))</f>
        <v>GeForce RTX 4090</v>
      </c>
      <c r="I342" t="s">
        <v>373</v>
      </c>
    </row>
    <row r="343" spans="1:9" hidden="1" x14ac:dyDescent="0.35">
      <c r="A343" t="s">
        <v>9</v>
      </c>
      <c r="B343" t="s">
        <v>644</v>
      </c>
      <c r="C343">
        <v>0</v>
      </c>
      <c r="D343">
        <v>55990000</v>
      </c>
      <c r="E343" t="s">
        <v>645</v>
      </c>
      <c r="F343" t="s">
        <v>12</v>
      </c>
      <c r="G343" t="str">
        <f>_xlfn.TEXTJOIN(",",TRUE,_xlfn._xlws.FILTER(GPU_brand[GPU brand], (GPU_brand[GPU brand text]&lt;&gt;"") * ISNUMBER(SEARCH(GPU_brand[GPU brand text], B343)), ""))</f>
        <v>MSI</v>
      </c>
      <c r="H343" t="str">
        <f>_xlfn.TEXTJOIN(",",TRUE,_xlfn._xlws.FILTER(Chipset_Table[Chipset], (Chipset_Table[Chipset text]&lt;&gt;"") * ISNUMBER(SEARCH(Chipset_Table[Chipset text], B343)), ""))</f>
        <v>GeForce RTX 4090</v>
      </c>
      <c r="I343" t="s">
        <v>373</v>
      </c>
    </row>
    <row r="344" spans="1:9" hidden="1" x14ac:dyDescent="0.35">
      <c r="A344" t="s">
        <v>9</v>
      </c>
      <c r="B344" t="s">
        <v>646</v>
      </c>
      <c r="C344">
        <v>0</v>
      </c>
      <c r="D344">
        <v>54990000</v>
      </c>
      <c r="E344" t="s">
        <v>647</v>
      </c>
      <c r="F344" t="s">
        <v>12</v>
      </c>
      <c r="G344" t="str">
        <f>_xlfn.TEXTJOIN(",",TRUE,_xlfn._xlws.FILTER(GPU_brand[GPU brand], (GPU_brand[GPU brand text]&lt;&gt;"") * ISNUMBER(SEARCH(GPU_brand[GPU brand text], B344)), ""))</f>
        <v>MSI</v>
      </c>
      <c r="H344" t="str">
        <f>_xlfn.TEXTJOIN(",",TRUE,_xlfn._xlws.FILTER(Chipset_Table[Chipset], (Chipset_Table[Chipset text]&lt;&gt;"") * ISNUMBER(SEARCH(Chipset_Table[Chipset text], B344)), ""))</f>
        <v>GeForce RTX 4090</v>
      </c>
      <c r="I344" t="s">
        <v>373</v>
      </c>
    </row>
    <row r="345" spans="1:9" hidden="1" x14ac:dyDescent="0.35">
      <c r="A345" t="s">
        <v>9</v>
      </c>
      <c r="B345" t="s">
        <v>648</v>
      </c>
      <c r="C345">
        <v>0</v>
      </c>
      <c r="D345">
        <v>53990000</v>
      </c>
      <c r="E345" t="s">
        <v>649</v>
      </c>
      <c r="F345" t="s">
        <v>12</v>
      </c>
      <c r="G345" t="str">
        <f>_xlfn.TEXTJOIN(",",TRUE,_xlfn._xlws.FILTER(GPU_brand[GPU brand], (GPU_brand[GPU brand text]&lt;&gt;"") * ISNUMBER(SEARCH(GPU_brand[GPU brand text], B345)), ""))</f>
        <v>MSI</v>
      </c>
      <c r="H345" t="str">
        <f>_xlfn.TEXTJOIN(",",TRUE,_xlfn._xlws.FILTER(Chipset_Table[Chipset], (Chipset_Table[Chipset text]&lt;&gt;"") * ISNUMBER(SEARCH(Chipset_Table[Chipset text], B345)), ""))</f>
        <v>GeForce RTX 4090</v>
      </c>
      <c r="I345" t="s">
        <v>373</v>
      </c>
    </row>
    <row r="346" spans="1:9" hidden="1" x14ac:dyDescent="0.35">
      <c r="A346" t="s">
        <v>9</v>
      </c>
      <c r="B346" t="s">
        <v>650</v>
      </c>
      <c r="C346">
        <v>0</v>
      </c>
      <c r="D346">
        <v>54990000</v>
      </c>
      <c r="E346" t="s">
        <v>651</v>
      </c>
      <c r="F346" t="s">
        <v>12</v>
      </c>
      <c r="G346" t="str">
        <f>_xlfn.TEXTJOIN(",",TRUE,_xlfn._xlws.FILTER(GPU_brand[GPU brand], (GPU_brand[GPU brand text]&lt;&gt;"") * ISNUMBER(SEARCH(GPU_brand[GPU brand text], B346)), ""))</f>
        <v>MSI</v>
      </c>
      <c r="H346" t="str">
        <f>_xlfn.TEXTJOIN(",",TRUE,_xlfn._xlws.FILTER(Chipset_Table[Chipset], (Chipset_Table[Chipset text]&lt;&gt;"") * ISNUMBER(SEARCH(Chipset_Table[Chipset text], B346)), ""))</f>
        <v>GeForce RTX 4090</v>
      </c>
      <c r="I346" t="s">
        <v>373</v>
      </c>
    </row>
    <row r="347" spans="1:9" hidden="1" x14ac:dyDescent="0.35">
      <c r="A347" t="s">
        <v>9</v>
      </c>
      <c r="B347" t="s">
        <v>652</v>
      </c>
      <c r="C347">
        <v>0</v>
      </c>
      <c r="D347">
        <v>47990000</v>
      </c>
      <c r="E347" t="s">
        <v>653</v>
      </c>
      <c r="F347" t="s">
        <v>12</v>
      </c>
      <c r="G347" t="str">
        <f>_xlfn.TEXTJOIN(",",TRUE,_xlfn._xlws.FILTER(GPU_brand[GPU brand], (GPU_brand[GPU brand text]&lt;&gt;"") * ISNUMBER(SEARCH(GPU_brand[GPU brand text], B347)), ""))</f>
        <v>Gigabyte</v>
      </c>
      <c r="H347" t="str">
        <f>_xlfn.TEXTJOIN(",",TRUE,_xlfn._xlws.FILTER(Chipset_Table[Chipset], (Chipset_Table[Chipset text]&lt;&gt;"") * ISNUMBER(SEARCH(Chipset_Table[Chipset text], B347)), ""))</f>
        <v>GeForce RTX 4090</v>
      </c>
      <c r="I347" t="s">
        <v>373</v>
      </c>
    </row>
    <row r="348" spans="1:9" hidden="1" x14ac:dyDescent="0.35">
      <c r="A348" t="s">
        <v>9</v>
      </c>
      <c r="B348" t="s">
        <v>654</v>
      </c>
      <c r="C348">
        <v>0</v>
      </c>
      <c r="D348">
        <v>60990000</v>
      </c>
      <c r="E348" t="s">
        <v>655</v>
      </c>
      <c r="F348" t="s">
        <v>12</v>
      </c>
      <c r="G348" t="str">
        <f>_xlfn.TEXTJOIN(",",TRUE,_xlfn._xlws.FILTER(GPU_brand[GPU brand], (GPU_brand[GPU brand text]&lt;&gt;"") * ISNUMBER(SEARCH(GPU_brand[GPU brand text], B348)), ""))</f>
        <v>Gigabyte</v>
      </c>
      <c r="H348" t="str">
        <f>_xlfn.TEXTJOIN(",",TRUE,_xlfn._xlws.FILTER(Chipset_Table[Chipset], (Chipset_Table[Chipset text]&lt;&gt;"") * ISNUMBER(SEARCH(Chipset_Table[Chipset text], B348)), ""))</f>
        <v>GeForce RTX 4090</v>
      </c>
      <c r="I348" t="s">
        <v>373</v>
      </c>
    </row>
    <row r="349" spans="1:9" hidden="1" x14ac:dyDescent="0.35">
      <c r="A349" t="s">
        <v>9</v>
      </c>
      <c r="B349" t="s">
        <v>656</v>
      </c>
      <c r="C349">
        <v>0</v>
      </c>
      <c r="D349">
        <v>56990000</v>
      </c>
      <c r="E349" t="s">
        <v>657</v>
      </c>
      <c r="F349" t="s">
        <v>12</v>
      </c>
      <c r="G349" t="str">
        <f>_xlfn.TEXTJOIN(",",TRUE,_xlfn._xlws.FILTER(GPU_brand[GPU brand], (GPU_brand[GPU brand text]&lt;&gt;"") * ISNUMBER(SEARCH(GPU_brand[GPU brand text], B349)), ""))</f>
        <v>Gigabyte</v>
      </c>
      <c r="H349" t="str">
        <f>_xlfn.TEXTJOIN(",",TRUE,_xlfn._xlws.FILTER(Chipset_Table[Chipset], (Chipset_Table[Chipset text]&lt;&gt;"") * ISNUMBER(SEARCH(Chipset_Table[Chipset text], B349)), ""))</f>
        <v>GeForce RTX 4090</v>
      </c>
      <c r="I349" t="s">
        <v>373</v>
      </c>
    </row>
    <row r="350" spans="1:9" hidden="1" x14ac:dyDescent="0.35">
      <c r="A350" t="s">
        <v>9</v>
      </c>
      <c r="B350" t="s">
        <v>658</v>
      </c>
      <c r="C350">
        <v>69900000</v>
      </c>
      <c r="D350">
        <v>62990000</v>
      </c>
      <c r="E350" t="s">
        <v>659</v>
      </c>
      <c r="F350" t="s">
        <v>12</v>
      </c>
      <c r="G350" t="str">
        <f>_xlfn.TEXTJOIN(",",TRUE,_xlfn._xlws.FILTER(GPU_brand[GPU brand], (GPU_brand[GPU brand text]&lt;&gt;"") * ISNUMBER(SEARCH(GPU_brand[GPU brand text], B350)), ""))</f>
        <v>Gigabyte</v>
      </c>
      <c r="H350" t="str">
        <f>_xlfn.TEXTJOIN(",",TRUE,_xlfn._xlws.FILTER(Chipset_Table[Chipset], (Chipset_Table[Chipset text]&lt;&gt;"") * ISNUMBER(SEARCH(Chipset_Table[Chipset text], B350)), ""))</f>
        <v>GeForce RTX 4090</v>
      </c>
      <c r="I350" t="s">
        <v>373</v>
      </c>
    </row>
    <row r="351" spans="1:9" hidden="1" x14ac:dyDescent="0.35">
      <c r="A351" t="s">
        <v>9</v>
      </c>
      <c r="B351" t="s">
        <v>660</v>
      </c>
      <c r="C351">
        <v>65990000</v>
      </c>
      <c r="D351">
        <v>62990000</v>
      </c>
      <c r="E351" t="s">
        <v>661</v>
      </c>
      <c r="F351" t="s">
        <v>12</v>
      </c>
      <c r="G351" t="str">
        <f>_xlfn.TEXTJOIN(",",TRUE,_xlfn._xlws.FILTER(GPU_brand[GPU brand], (GPU_brand[GPU brand text]&lt;&gt;"") * ISNUMBER(SEARCH(GPU_brand[GPU brand text], B351)), ""))</f>
        <v>ASUS</v>
      </c>
      <c r="H351" t="str">
        <f>_xlfn.TEXTJOIN(",",TRUE,_xlfn._xlws.FILTER(Chipset_Table[Chipset], (Chipset_Table[Chipset text]&lt;&gt;"") * ISNUMBER(SEARCH(Chipset_Table[Chipset text], B351)), ""))</f>
        <v>GeForce RTX 4090</v>
      </c>
      <c r="I351" t="s">
        <v>373</v>
      </c>
    </row>
    <row r="352" spans="1:9" hidden="1" x14ac:dyDescent="0.35">
      <c r="A352" t="s">
        <v>9</v>
      </c>
      <c r="B352" t="s">
        <v>662</v>
      </c>
      <c r="C352">
        <v>65990000</v>
      </c>
      <c r="D352">
        <v>58490000</v>
      </c>
      <c r="E352" t="s">
        <v>663</v>
      </c>
      <c r="F352" t="s">
        <v>12</v>
      </c>
      <c r="G352" t="str">
        <f>_xlfn.TEXTJOIN(",",TRUE,_xlfn._xlws.FILTER(GPU_brand[GPU brand], (GPU_brand[GPU brand text]&lt;&gt;"") * ISNUMBER(SEARCH(GPU_brand[GPU brand text], B352)), ""))</f>
        <v>ASUS</v>
      </c>
      <c r="H352" t="str">
        <f>_xlfn.TEXTJOIN(",",TRUE,_xlfn._xlws.FILTER(Chipset_Table[Chipset], (Chipset_Table[Chipset text]&lt;&gt;"") * ISNUMBER(SEARCH(Chipset_Table[Chipset text], B352)), ""))</f>
        <v>GeForce RTX 4090</v>
      </c>
      <c r="I352" t="s">
        <v>373</v>
      </c>
    </row>
    <row r="353" spans="1:9" hidden="1" x14ac:dyDescent="0.35">
      <c r="A353" t="s">
        <v>9</v>
      </c>
      <c r="B353" t="s">
        <v>664</v>
      </c>
      <c r="C353">
        <v>0</v>
      </c>
      <c r="D353">
        <v>66990000</v>
      </c>
      <c r="E353" t="s">
        <v>665</v>
      </c>
      <c r="F353" t="s">
        <v>12</v>
      </c>
      <c r="G353" t="str">
        <f>_xlfn.TEXTJOIN(",",TRUE,_xlfn._xlws.FILTER(GPU_brand[GPU brand], (GPU_brand[GPU brand text]&lt;&gt;"") * ISNUMBER(SEARCH(GPU_brand[GPU brand text], B353)), ""))</f>
        <v>ASUS</v>
      </c>
      <c r="H353" t="str">
        <f>_xlfn.TEXTJOIN(",",TRUE,_xlfn._xlws.FILTER(Chipset_Table[Chipset], (Chipset_Table[Chipset text]&lt;&gt;"") * ISNUMBER(SEARCH(Chipset_Table[Chipset text], B353)), ""))</f>
        <v>GeForce RTX 4090</v>
      </c>
      <c r="I353" t="s">
        <v>373</v>
      </c>
    </row>
    <row r="354" spans="1:9" hidden="1" x14ac:dyDescent="0.35">
      <c r="A354" t="s">
        <v>9</v>
      </c>
      <c r="B354" t="s">
        <v>666</v>
      </c>
      <c r="C354">
        <v>65990000</v>
      </c>
      <c r="D354">
        <v>62990000</v>
      </c>
      <c r="E354" t="s">
        <v>667</v>
      </c>
      <c r="F354" t="s">
        <v>12</v>
      </c>
      <c r="G354" t="str">
        <f>_xlfn.TEXTJOIN(",",TRUE,_xlfn._xlws.FILTER(GPU_brand[GPU brand], (GPU_brand[GPU brand text]&lt;&gt;"") * ISNUMBER(SEARCH(GPU_brand[GPU brand text], B354)), ""))</f>
        <v>ASUS</v>
      </c>
      <c r="H354" t="str">
        <f>_xlfn.TEXTJOIN(",",TRUE,_xlfn._xlws.FILTER(Chipset_Table[Chipset], (Chipset_Table[Chipset text]&lt;&gt;"") * ISNUMBER(SEARCH(Chipset_Table[Chipset text], B354)), ""))</f>
        <v>GeForce RTX 4090</v>
      </c>
      <c r="I354" t="s">
        <v>373</v>
      </c>
    </row>
    <row r="355" spans="1:9" hidden="1" x14ac:dyDescent="0.35">
      <c r="A355" t="s">
        <v>9</v>
      </c>
      <c r="B355" t="s">
        <v>668</v>
      </c>
      <c r="C355">
        <v>0</v>
      </c>
      <c r="D355">
        <v>8790000</v>
      </c>
      <c r="E355" t="s">
        <v>669</v>
      </c>
      <c r="F355" t="s">
        <v>12</v>
      </c>
      <c r="G355" t="str">
        <f>_xlfn.TEXTJOIN(",",TRUE,_xlfn._xlws.FILTER(GPU_brand[GPU brand], (GPU_brand[GPU brand text]&lt;&gt;"") * ISNUMBER(SEARCH(GPU_brand[GPU brand text], B355)), ""))</f>
        <v>Gigabyte</v>
      </c>
      <c r="H355" t="s">
        <v>348</v>
      </c>
      <c r="I355" t="s">
        <v>332</v>
      </c>
    </row>
    <row r="356" spans="1:9" hidden="1" x14ac:dyDescent="0.35">
      <c r="A356" t="s">
        <v>9</v>
      </c>
      <c r="B356" t="s">
        <v>670</v>
      </c>
      <c r="C356">
        <v>8990000</v>
      </c>
      <c r="D356">
        <v>8790000</v>
      </c>
      <c r="E356" t="s">
        <v>671</v>
      </c>
      <c r="F356" t="s">
        <v>12</v>
      </c>
      <c r="G356" t="str">
        <f>_xlfn.TEXTJOIN(",",TRUE,_xlfn._xlws.FILTER(GPU_brand[GPU brand], (GPU_brand[GPU brand text]&lt;&gt;"") * ISNUMBER(SEARCH(GPU_brand[GPU brand text], B356)), ""))</f>
        <v>ASUS</v>
      </c>
      <c r="H356" t="s">
        <v>348</v>
      </c>
      <c r="I356" t="s">
        <v>332</v>
      </c>
    </row>
    <row r="357" spans="1:9" hidden="1" x14ac:dyDescent="0.35">
      <c r="A357" t="s">
        <v>9</v>
      </c>
      <c r="B357" t="s">
        <v>672</v>
      </c>
      <c r="C357">
        <v>44990000</v>
      </c>
      <c r="D357">
        <v>36990000</v>
      </c>
      <c r="E357" t="s">
        <v>673</v>
      </c>
      <c r="F357" t="s">
        <v>12</v>
      </c>
      <c r="G357" t="str">
        <f>_xlfn.TEXTJOIN(",",TRUE,_xlfn._xlws.FILTER(GPU_brand[GPU brand], (GPU_brand[GPU brand text]&lt;&gt;"") * ISNUMBER(SEARCH(GPU_brand[GPU brand text], B357)), ""))</f>
        <v>MSI</v>
      </c>
      <c r="H357" t="str">
        <f>_xlfn.TEXTJOIN(",",TRUE,_xlfn._xlws.FILTER(Chipset_Table[Chipset], (Chipset_Table[Chipset text]&lt;&gt;"") * ISNUMBER(SEARCH(Chipset_Table[Chipset text], B357)), ""))</f>
        <v>GeForce RTX 4080</v>
      </c>
      <c r="I357" t="s">
        <v>17</v>
      </c>
    </row>
    <row r="358" spans="1:9" hidden="1" x14ac:dyDescent="0.35">
      <c r="A358" t="s">
        <v>9</v>
      </c>
      <c r="B358" t="s">
        <v>674</v>
      </c>
      <c r="C358">
        <v>0</v>
      </c>
      <c r="D358">
        <v>35990000</v>
      </c>
      <c r="E358" t="s">
        <v>675</v>
      </c>
      <c r="F358" t="s">
        <v>12</v>
      </c>
      <c r="G358" t="str">
        <f>_xlfn.TEXTJOIN(",",TRUE,_xlfn._xlws.FILTER(GPU_brand[GPU brand], (GPU_brand[GPU brand text]&lt;&gt;"") * ISNUMBER(SEARCH(GPU_brand[GPU brand text], B358)), ""))</f>
        <v>MSI</v>
      </c>
      <c r="H358" t="str">
        <f>_xlfn.TEXTJOIN(",",TRUE,_xlfn._xlws.FILTER(Chipset_Table[Chipset], (Chipset_Table[Chipset text]&lt;&gt;"") * ISNUMBER(SEARCH(Chipset_Table[Chipset text], B358)), ""))</f>
        <v>GeForce RTX 4080</v>
      </c>
      <c r="I358" t="s">
        <v>17</v>
      </c>
    </row>
    <row r="359" spans="1:9" hidden="1" x14ac:dyDescent="0.35">
      <c r="A359" t="s">
        <v>9</v>
      </c>
      <c r="B359" t="s">
        <v>676</v>
      </c>
      <c r="C359">
        <v>48990000</v>
      </c>
      <c r="D359">
        <v>39990000</v>
      </c>
      <c r="E359" t="s">
        <v>677</v>
      </c>
      <c r="F359" t="s">
        <v>12</v>
      </c>
      <c r="G359" t="str">
        <f>_xlfn.TEXTJOIN(",",TRUE,_xlfn._xlws.FILTER(GPU_brand[GPU brand], (GPU_brand[GPU brand text]&lt;&gt;"") * ISNUMBER(SEARCH(GPU_brand[GPU brand text], B359)), ""))</f>
        <v>MSI</v>
      </c>
      <c r="H359" t="str">
        <f>_xlfn.TEXTJOIN(",",TRUE,_xlfn._xlws.FILTER(Chipset_Table[Chipset], (Chipset_Table[Chipset text]&lt;&gt;"") * ISNUMBER(SEARCH(Chipset_Table[Chipset text], B359)), ""))</f>
        <v>GeForce RTX 4080</v>
      </c>
      <c r="I359" t="s">
        <v>17</v>
      </c>
    </row>
    <row r="360" spans="1:9" hidden="1" x14ac:dyDescent="0.35">
      <c r="A360" t="s">
        <v>9</v>
      </c>
      <c r="B360" t="s">
        <v>678</v>
      </c>
      <c r="C360">
        <v>0</v>
      </c>
      <c r="D360">
        <v>39490000</v>
      </c>
      <c r="E360" t="s">
        <v>679</v>
      </c>
      <c r="F360" t="s">
        <v>12</v>
      </c>
      <c r="G360" t="str">
        <f>_xlfn.TEXTJOIN(",",TRUE,_xlfn._xlws.FILTER(GPU_brand[GPU brand], (GPU_brand[GPU brand text]&lt;&gt;"") * ISNUMBER(SEARCH(GPU_brand[GPU brand text], B360)), ""))</f>
        <v>MSI</v>
      </c>
      <c r="H360" t="str">
        <f>_xlfn.TEXTJOIN(",",TRUE,_xlfn._xlws.FILTER(Chipset_Table[Chipset], (Chipset_Table[Chipset text]&lt;&gt;"") * ISNUMBER(SEARCH(Chipset_Table[Chipset text], B360)), ""))</f>
        <v>GeForce RTX 4080</v>
      </c>
      <c r="I360" t="s">
        <v>17</v>
      </c>
    </row>
    <row r="361" spans="1:9" hidden="1" x14ac:dyDescent="0.35">
      <c r="A361" t="s">
        <v>9</v>
      </c>
      <c r="B361" t="s">
        <v>680</v>
      </c>
      <c r="C361">
        <v>46990000</v>
      </c>
      <c r="D361">
        <v>37990000</v>
      </c>
      <c r="E361" t="s">
        <v>681</v>
      </c>
      <c r="F361" t="s">
        <v>12</v>
      </c>
      <c r="G361" t="str">
        <f>_xlfn.TEXTJOIN(",",TRUE,_xlfn._xlws.FILTER(GPU_brand[GPU brand], (GPU_brand[GPU brand text]&lt;&gt;"") * ISNUMBER(SEARCH(GPU_brand[GPU brand text], B361)), ""))</f>
        <v>MSI</v>
      </c>
      <c r="H361" t="str">
        <f>_xlfn.TEXTJOIN(",",TRUE,_xlfn._xlws.FILTER(Chipset_Table[Chipset], (Chipset_Table[Chipset text]&lt;&gt;"") * ISNUMBER(SEARCH(Chipset_Table[Chipset text], B361)), ""))</f>
        <v>GeForce RTX 4080</v>
      </c>
      <c r="I361" t="s">
        <v>17</v>
      </c>
    </row>
    <row r="362" spans="1:9" hidden="1" x14ac:dyDescent="0.35">
      <c r="A362" t="s">
        <v>9</v>
      </c>
      <c r="B362" t="s">
        <v>682</v>
      </c>
      <c r="C362">
        <v>0</v>
      </c>
      <c r="D362">
        <v>36990000</v>
      </c>
      <c r="E362" t="s">
        <v>683</v>
      </c>
      <c r="F362" t="s">
        <v>12</v>
      </c>
      <c r="G362" t="str">
        <f>_xlfn.TEXTJOIN(",",TRUE,_xlfn._xlws.FILTER(GPU_brand[GPU brand], (GPU_brand[GPU brand text]&lt;&gt;"") * ISNUMBER(SEARCH(GPU_brand[GPU brand text], B362)), ""))</f>
        <v>MSI</v>
      </c>
      <c r="H362" t="str">
        <f>_xlfn.TEXTJOIN(",",TRUE,_xlfn._xlws.FILTER(Chipset_Table[Chipset], (Chipset_Table[Chipset text]&lt;&gt;"") * ISNUMBER(SEARCH(Chipset_Table[Chipset text], B362)), ""))</f>
        <v>GeForce RTX 4080</v>
      </c>
      <c r="I362" t="s">
        <v>17</v>
      </c>
    </row>
    <row r="363" spans="1:9" hidden="1" x14ac:dyDescent="0.35">
      <c r="A363" t="s">
        <v>9</v>
      </c>
      <c r="B363" t="s">
        <v>684</v>
      </c>
      <c r="C363">
        <v>48490000</v>
      </c>
      <c r="D363">
        <v>37490000</v>
      </c>
      <c r="E363" t="s">
        <v>685</v>
      </c>
      <c r="F363" t="s">
        <v>12</v>
      </c>
      <c r="G363" t="str">
        <f>_xlfn.TEXTJOIN(",",TRUE,_xlfn._xlws.FILTER(GPU_brand[GPU brand], (GPU_brand[GPU brand text]&lt;&gt;"") * ISNUMBER(SEARCH(GPU_brand[GPU brand text], B363)), ""))</f>
        <v>Gigabyte</v>
      </c>
      <c r="H363" t="str">
        <f>_xlfn.TEXTJOIN(",",TRUE,_xlfn._xlws.FILTER(Chipset_Table[Chipset], (Chipset_Table[Chipset text]&lt;&gt;"") * ISNUMBER(SEARCH(Chipset_Table[Chipset text], B363)), ""))</f>
        <v>GeForce RTX 4080</v>
      </c>
      <c r="I363" t="s">
        <v>17</v>
      </c>
    </row>
    <row r="364" spans="1:9" hidden="1" x14ac:dyDescent="0.35">
      <c r="A364" t="s">
        <v>9</v>
      </c>
      <c r="B364" t="s">
        <v>686</v>
      </c>
      <c r="C364">
        <v>45990000</v>
      </c>
      <c r="D364">
        <v>35490000</v>
      </c>
      <c r="E364" t="s">
        <v>687</v>
      </c>
      <c r="F364" t="s">
        <v>12</v>
      </c>
      <c r="G364" t="str">
        <f>_xlfn.TEXTJOIN(",",TRUE,_xlfn._xlws.FILTER(GPU_brand[GPU brand], (GPU_brand[GPU brand text]&lt;&gt;"") * ISNUMBER(SEARCH(GPU_brand[GPU brand text], B364)), ""))</f>
        <v>Gigabyte</v>
      </c>
      <c r="H364" t="str">
        <f>_xlfn.TEXTJOIN(",",TRUE,_xlfn._xlws.FILTER(Chipset_Table[Chipset], (Chipset_Table[Chipset text]&lt;&gt;"") * ISNUMBER(SEARCH(Chipset_Table[Chipset text], B364)), ""))</f>
        <v>GeForce RTX 4080</v>
      </c>
      <c r="I364" t="s">
        <v>17</v>
      </c>
    </row>
    <row r="365" spans="1:9" hidden="1" x14ac:dyDescent="0.35">
      <c r="A365" t="s">
        <v>9</v>
      </c>
      <c r="B365" t="s">
        <v>688</v>
      </c>
      <c r="C365">
        <v>46990000</v>
      </c>
      <c r="D365">
        <v>35990000</v>
      </c>
      <c r="E365" t="s">
        <v>689</v>
      </c>
      <c r="F365" t="s">
        <v>12</v>
      </c>
      <c r="G365" t="str">
        <f>_xlfn.TEXTJOIN(",",TRUE,_xlfn._xlws.FILTER(GPU_brand[GPU brand], (GPU_brand[GPU brand text]&lt;&gt;"") * ISNUMBER(SEARCH(GPU_brand[GPU brand text], B365)), ""))</f>
        <v>Gigabyte</v>
      </c>
      <c r="H365" t="str">
        <f>_xlfn.TEXTJOIN(",",TRUE,_xlfn._xlws.FILTER(Chipset_Table[Chipset], (Chipset_Table[Chipset text]&lt;&gt;"") * ISNUMBER(SEARCH(Chipset_Table[Chipset text], B365)), ""))</f>
        <v>GeForce RTX 4080</v>
      </c>
      <c r="I365" t="s">
        <v>17</v>
      </c>
    </row>
    <row r="366" spans="1:9" hidden="1" x14ac:dyDescent="0.35">
      <c r="A366" t="s">
        <v>9</v>
      </c>
      <c r="B366" t="s">
        <v>690</v>
      </c>
      <c r="C366">
        <v>48990000</v>
      </c>
      <c r="D366">
        <v>37990000</v>
      </c>
      <c r="E366" t="s">
        <v>691</v>
      </c>
      <c r="F366" t="s">
        <v>12</v>
      </c>
      <c r="G366" t="str">
        <f>_xlfn.TEXTJOIN(",",TRUE,_xlfn._xlws.FILTER(GPU_brand[GPU brand], (GPU_brand[GPU brand text]&lt;&gt;"") * ISNUMBER(SEARCH(GPU_brand[GPU brand text], B366)), ""))</f>
        <v>Gigabyte</v>
      </c>
      <c r="H366" t="str">
        <f>_xlfn.TEXTJOIN(",",TRUE,_xlfn._xlws.FILTER(Chipset_Table[Chipset], (Chipset_Table[Chipset text]&lt;&gt;"") * ISNUMBER(SEARCH(Chipset_Table[Chipset text], B366)), ""))</f>
        <v>GeForce RTX 4080</v>
      </c>
      <c r="I366" t="s">
        <v>17</v>
      </c>
    </row>
    <row r="367" spans="1:9" hidden="1" x14ac:dyDescent="0.35">
      <c r="A367" t="s">
        <v>9</v>
      </c>
      <c r="B367" t="s">
        <v>692</v>
      </c>
      <c r="C367">
        <v>0</v>
      </c>
      <c r="D367">
        <v>40490000</v>
      </c>
      <c r="E367" t="s">
        <v>693</v>
      </c>
      <c r="F367" t="s">
        <v>12</v>
      </c>
      <c r="G367" t="str">
        <f>_xlfn.TEXTJOIN(",",TRUE,_xlfn._xlws.FILTER(GPU_brand[GPU brand], (GPU_brand[GPU brand text]&lt;&gt;"") * ISNUMBER(SEARCH(GPU_brand[GPU brand text], B367)), ""))</f>
        <v>Gigabyte</v>
      </c>
      <c r="H367" t="str">
        <f>_xlfn.TEXTJOIN(",",TRUE,_xlfn._xlws.FILTER(Chipset_Table[Chipset], (Chipset_Table[Chipset text]&lt;&gt;"") * ISNUMBER(SEARCH(Chipset_Table[Chipset text], B367)), ""))</f>
        <v>GeForce RTX 4080</v>
      </c>
      <c r="I367" t="s">
        <v>17</v>
      </c>
    </row>
    <row r="368" spans="1:9" hidden="1" x14ac:dyDescent="0.35">
      <c r="A368" t="s">
        <v>9</v>
      </c>
      <c r="B368" t="s">
        <v>694</v>
      </c>
      <c r="C368">
        <v>0</v>
      </c>
      <c r="D368">
        <v>42990000</v>
      </c>
      <c r="E368" t="s">
        <v>695</v>
      </c>
      <c r="F368" t="s">
        <v>12</v>
      </c>
      <c r="G368" t="str">
        <f>_xlfn.TEXTJOIN(",",TRUE,_xlfn._xlws.FILTER(GPU_brand[GPU brand], (GPU_brand[GPU brand text]&lt;&gt;"") * ISNUMBER(SEARCH(GPU_brand[GPU brand text], B368)), ""))</f>
        <v>Gigabyte</v>
      </c>
      <c r="H368" t="str">
        <f>_xlfn.TEXTJOIN(",",TRUE,_xlfn._xlws.FILTER(Chipset_Table[Chipset], (Chipset_Table[Chipset text]&lt;&gt;"") * ISNUMBER(SEARCH(Chipset_Table[Chipset text], B368)), ""))</f>
        <v>GeForce RTX 4080</v>
      </c>
      <c r="I368" t="s">
        <v>17</v>
      </c>
    </row>
    <row r="369" spans="1:9" hidden="1" x14ac:dyDescent="0.35">
      <c r="A369" t="s">
        <v>9</v>
      </c>
      <c r="B369" t="s">
        <v>696</v>
      </c>
      <c r="C369">
        <v>49990000</v>
      </c>
      <c r="D369">
        <v>39990000</v>
      </c>
      <c r="E369" t="s">
        <v>697</v>
      </c>
      <c r="F369" t="s">
        <v>12</v>
      </c>
      <c r="G369" t="str">
        <f>_xlfn.TEXTJOIN(",",TRUE,_xlfn._xlws.FILTER(GPU_brand[GPU brand], (GPU_brand[GPU brand text]&lt;&gt;"") * ISNUMBER(SEARCH(GPU_brand[GPU brand text], B369)), ""))</f>
        <v>Gigabyte</v>
      </c>
      <c r="H369" t="str">
        <f>_xlfn.TEXTJOIN(",",TRUE,_xlfn._xlws.FILTER(Chipset_Table[Chipset], (Chipset_Table[Chipset text]&lt;&gt;"") * ISNUMBER(SEARCH(Chipset_Table[Chipset text], B369)), ""))</f>
        <v>GeForce RTX 4080</v>
      </c>
      <c r="I369" t="s">
        <v>17</v>
      </c>
    </row>
    <row r="370" spans="1:9" hidden="1" x14ac:dyDescent="0.35">
      <c r="A370" t="s">
        <v>9</v>
      </c>
      <c r="B370" t="s">
        <v>698</v>
      </c>
      <c r="C370">
        <v>47200000</v>
      </c>
      <c r="D370">
        <v>38490000</v>
      </c>
      <c r="E370" t="s">
        <v>699</v>
      </c>
      <c r="F370" t="s">
        <v>12</v>
      </c>
      <c r="G370" t="str">
        <f>_xlfn.TEXTJOIN(",",TRUE,_xlfn._xlws.FILTER(GPU_brand[GPU brand], (GPU_brand[GPU brand text]&lt;&gt;"") * ISNUMBER(SEARCH(GPU_brand[GPU brand text], B370)), ""))</f>
        <v>ASUS</v>
      </c>
      <c r="H370" t="str">
        <f>_xlfn.TEXTJOIN(",",TRUE,_xlfn._xlws.FILTER(Chipset_Table[Chipset], (Chipset_Table[Chipset text]&lt;&gt;"") * ISNUMBER(SEARCH(Chipset_Table[Chipset text], B370)), ""))</f>
        <v>GeForce RTX 4080</v>
      </c>
      <c r="I370" t="s">
        <v>17</v>
      </c>
    </row>
    <row r="371" spans="1:9" hidden="1" x14ac:dyDescent="0.35">
      <c r="A371" t="s">
        <v>9</v>
      </c>
      <c r="B371" t="s">
        <v>700</v>
      </c>
      <c r="C371">
        <v>46000000</v>
      </c>
      <c r="D371">
        <v>37990000</v>
      </c>
      <c r="E371" t="s">
        <v>701</v>
      </c>
      <c r="F371" t="s">
        <v>12</v>
      </c>
      <c r="G371" t="str">
        <f>_xlfn.TEXTJOIN(",",TRUE,_xlfn._xlws.FILTER(GPU_brand[GPU brand], (GPU_brand[GPU brand text]&lt;&gt;"") * ISNUMBER(SEARCH(GPU_brand[GPU brand text], B371)), ""))</f>
        <v>ASUS</v>
      </c>
      <c r="H371" t="str">
        <f>_xlfn.TEXTJOIN(",",TRUE,_xlfn._xlws.FILTER(Chipset_Table[Chipset], (Chipset_Table[Chipset text]&lt;&gt;"") * ISNUMBER(SEARCH(Chipset_Table[Chipset text], B371)), ""))</f>
        <v>GeForce RTX 4080</v>
      </c>
      <c r="I371" t="s">
        <v>17</v>
      </c>
    </row>
    <row r="372" spans="1:9" hidden="1" x14ac:dyDescent="0.35">
      <c r="A372" t="s">
        <v>9</v>
      </c>
      <c r="B372" t="s">
        <v>702</v>
      </c>
      <c r="C372">
        <v>29990000</v>
      </c>
      <c r="D372">
        <v>26990000</v>
      </c>
      <c r="E372" t="s">
        <v>703</v>
      </c>
      <c r="F372" t="s">
        <v>12</v>
      </c>
      <c r="G372" t="str">
        <f>_xlfn.TEXTJOIN(",",TRUE,_xlfn._xlws.FILTER(GPU_brand[GPU brand], (GPU_brand[GPU brand text]&lt;&gt;"") * ISNUMBER(SEARCH(GPU_brand[GPU brand text], B372)), ""))</f>
        <v>ASUS</v>
      </c>
      <c r="H372" t="str">
        <f>_xlfn.TEXTJOIN(",",TRUE,_xlfn._xlws.FILTER(Chipset_Table[Chipset], (Chipset_Table[Chipset text]&lt;&gt;"") * ISNUMBER(SEARCH(Chipset_Table[Chipset text], B372)), ""))</f>
        <v>GeForce RTX 4070</v>
      </c>
      <c r="I372" t="s">
        <v>45</v>
      </c>
    </row>
    <row r="373" spans="1:9" hidden="1" x14ac:dyDescent="0.35">
      <c r="A373" t="s">
        <v>9</v>
      </c>
      <c r="B373" t="s">
        <v>704</v>
      </c>
      <c r="C373">
        <v>24990000</v>
      </c>
      <c r="D373">
        <v>24390000</v>
      </c>
      <c r="E373" t="s">
        <v>705</v>
      </c>
      <c r="F373" t="s">
        <v>12</v>
      </c>
      <c r="G373" t="str">
        <f>_xlfn.TEXTJOIN(",",TRUE,_xlfn._xlws.FILTER(GPU_brand[GPU brand], (GPU_brand[GPU brand text]&lt;&gt;"") * ISNUMBER(SEARCH(GPU_brand[GPU brand text], B373)), ""))</f>
        <v>ASUS</v>
      </c>
      <c r="H373" t="str">
        <f>_xlfn.TEXTJOIN(",",TRUE,_xlfn._xlws.FILTER(Chipset_Table[Chipset], (Chipset_Table[Chipset text]&lt;&gt;"") * ISNUMBER(SEARCH(Chipset_Table[Chipset text], B373)), ""))</f>
        <v>GeForce RTX 4070</v>
      </c>
      <c r="I373" t="s">
        <v>45</v>
      </c>
    </row>
    <row r="374" spans="1:9" hidden="1" x14ac:dyDescent="0.35">
      <c r="A374" t="s">
        <v>9</v>
      </c>
      <c r="B374" t="s">
        <v>706</v>
      </c>
      <c r="C374">
        <v>69990000</v>
      </c>
      <c r="D374">
        <v>64990000</v>
      </c>
      <c r="E374" t="s">
        <v>707</v>
      </c>
      <c r="F374" t="s">
        <v>12</v>
      </c>
      <c r="G374" t="str">
        <f>_xlfn.TEXTJOIN(",",TRUE,_xlfn._xlws.FILTER(GPU_brand[GPU brand], (GPU_brand[GPU brand text]&lt;&gt;"") * ISNUMBER(SEARCH(GPU_brand[GPU brand text], B374)), ""))</f>
        <v>ASUS</v>
      </c>
      <c r="H374" t="str">
        <f>_xlfn.TEXTJOIN(",",TRUE,_xlfn._xlws.FILTER(Chipset_Table[Chipset], (Chipset_Table[Chipset text]&lt;&gt;"") * ISNUMBER(SEARCH(Chipset_Table[Chipset text], B374)), ""))</f>
        <v>GeForce RTX 4090</v>
      </c>
      <c r="I374" t="s">
        <v>373</v>
      </c>
    </row>
    <row r="375" spans="1:9" hidden="1" x14ac:dyDescent="0.35">
      <c r="A375" t="s">
        <v>9</v>
      </c>
      <c r="B375" t="s">
        <v>708</v>
      </c>
      <c r="C375">
        <v>45990000</v>
      </c>
      <c r="D375">
        <v>42990000</v>
      </c>
      <c r="E375" t="s">
        <v>709</v>
      </c>
      <c r="F375" t="s">
        <v>12</v>
      </c>
      <c r="G375" t="str">
        <f>_xlfn.TEXTJOIN(",",TRUE,_xlfn._xlws.FILTER(GPU_brand[GPU brand], (GPU_brand[GPU brand text]&lt;&gt;"") * ISNUMBER(SEARCH(GPU_brand[GPU brand text], B375)), ""))</f>
        <v>ASUS</v>
      </c>
      <c r="H375" t="str">
        <f>_xlfn.TEXTJOIN(",",TRUE,_xlfn._xlws.FILTER(Chipset_Table[Chipset], (Chipset_Table[Chipset text]&lt;&gt;"") * ISNUMBER(SEARCH(Chipset_Table[Chipset text], B375)), ""))</f>
        <v>GeForce RTX 4080</v>
      </c>
      <c r="I375" t="s">
        <v>17</v>
      </c>
    </row>
    <row r="376" spans="1:9" hidden="1" x14ac:dyDescent="0.35">
      <c r="A376" t="s">
        <v>9</v>
      </c>
      <c r="B376" t="s">
        <v>710</v>
      </c>
      <c r="C376">
        <v>0</v>
      </c>
      <c r="D376">
        <v>40990000</v>
      </c>
      <c r="E376" t="s">
        <v>711</v>
      </c>
      <c r="F376" t="s">
        <v>12</v>
      </c>
      <c r="G376" t="str">
        <f>_xlfn.TEXTJOIN(",",TRUE,_xlfn._xlws.FILTER(GPU_brand[GPU brand], (GPU_brand[GPU brand text]&lt;&gt;"") * ISNUMBER(SEARCH(GPU_brand[GPU brand text], B376)), ""))</f>
        <v>ASUS</v>
      </c>
      <c r="H376" t="str">
        <f>_xlfn.TEXTJOIN(",",TRUE,_xlfn._xlws.FILTER(Chipset_Table[Chipset], (Chipset_Table[Chipset text]&lt;&gt;"") * ISNUMBER(SEARCH(Chipset_Table[Chipset text], B376)), ""))</f>
        <v>GeForce RTX 4080</v>
      </c>
      <c r="I376" t="s">
        <v>17</v>
      </c>
    </row>
    <row r="377" spans="1:9" hidden="1" x14ac:dyDescent="0.35">
      <c r="A377" t="s">
        <v>9</v>
      </c>
      <c r="B377" t="s">
        <v>712</v>
      </c>
      <c r="C377">
        <v>49500000</v>
      </c>
      <c r="D377">
        <v>40490000</v>
      </c>
      <c r="E377" t="s">
        <v>713</v>
      </c>
      <c r="F377" t="s">
        <v>12</v>
      </c>
      <c r="G377" t="str">
        <f>_xlfn.TEXTJOIN(",",TRUE,_xlfn._xlws.FILTER(GPU_brand[GPU brand], (GPU_brand[GPU brand text]&lt;&gt;"") * ISNUMBER(SEARCH(GPU_brand[GPU brand text], B377)), ""))</f>
        <v>ASUS</v>
      </c>
      <c r="H377" t="str">
        <f>_xlfn.TEXTJOIN(",",TRUE,_xlfn._xlws.FILTER(Chipset_Table[Chipset], (Chipset_Table[Chipset text]&lt;&gt;"") * ISNUMBER(SEARCH(Chipset_Table[Chipset text], B377)), ""))</f>
        <v>GeForce RTX 4080</v>
      </c>
      <c r="I377" t="s">
        <v>17</v>
      </c>
    </row>
    <row r="378" spans="1:9" hidden="1" x14ac:dyDescent="0.35">
      <c r="A378" t="s">
        <v>9</v>
      </c>
      <c r="B378" t="s">
        <v>714</v>
      </c>
      <c r="C378">
        <v>28490000</v>
      </c>
      <c r="D378">
        <v>27490000</v>
      </c>
      <c r="E378" t="s">
        <v>715</v>
      </c>
      <c r="F378" t="s">
        <v>12</v>
      </c>
      <c r="G378" t="str">
        <f>_xlfn.TEXTJOIN(",",TRUE,_xlfn._xlws.FILTER(GPU_brand[GPU brand], (GPU_brand[GPU brand text]&lt;&gt;"") * ISNUMBER(SEARCH(GPU_brand[GPU brand text], B378)), ""))</f>
        <v>MSI</v>
      </c>
      <c r="H378" t="str">
        <f>_xlfn.TEXTJOIN(",",TRUE,_xlfn._xlws.FILTER(Chipset_Table[Chipset], (Chipset_Table[Chipset text]&lt;&gt;"") * ISNUMBER(SEARCH(Chipset_Table[Chipset text], B378)), ""))</f>
        <v>GeForce RTX 4070</v>
      </c>
      <c r="I378" t="s">
        <v>45</v>
      </c>
    </row>
    <row r="379" spans="1:9" hidden="1" x14ac:dyDescent="0.35">
      <c r="A379" t="s">
        <v>9</v>
      </c>
      <c r="B379" t="s">
        <v>716</v>
      </c>
      <c r="C379">
        <v>29990000</v>
      </c>
      <c r="D379">
        <v>27790000</v>
      </c>
      <c r="E379" t="s">
        <v>717</v>
      </c>
      <c r="F379" t="s">
        <v>12</v>
      </c>
      <c r="G379" t="str">
        <f>_xlfn.TEXTJOIN(",",TRUE,_xlfn._xlws.FILTER(GPU_brand[GPU brand], (GPU_brand[GPU brand text]&lt;&gt;"") * ISNUMBER(SEARCH(GPU_brand[GPU brand text], B379)), ""))</f>
        <v>MSI</v>
      </c>
      <c r="H379" t="str">
        <f>_xlfn.TEXTJOIN(",",TRUE,_xlfn._xlws.FILTER(Chipset_Table[Chipset], (Chipset_Table[Chipset text]&lt;&gt;"") * ISNUMBER(SEARCH(Chipset_Table[Chipset text], B379)), ""))</f>
        <v>GeForce RTX 4070</v>
      </c>
      <c r="I379" t="s">
        <v>45</v>
      </c>
    </row>
    <row r="380" spans="1:9" hidden="1" x14ac:dyDescent="0.35">
      <c r="A380" t="s">
        <v>9</v>
      </c>
      <c r="B380" t="s">
        <v>718</v>
      </c>
      <c r="C380">
        <v>25990000</v>
      </c>
      <c r="D380">
        <v>24990000</v>
      </c>
      <c r="E380" t="s">
        <v>719</v>
      </c>
      <c r="F380" t="s">
        <v>12</v>
      </c>
      <c r="G380" t="str">
        <f>_xlfn.TEXTJOIN(",",TRUE,_xlfn._xlws.FILTER(GPU_brand[GPU brand], (GPU_brand[GPU brand text]&lt;&gt;"") * ISNUMBER(SEARCH(GPU_brand[GPU brand text], B380)), ""))</f>
        <v>MSI</v>
      </c>
      <c r="H380" t="str">
        <f>_xlfn.TEXTJOIN(",",TRUE,_xlfn._xlws.FILTER(Chipset_Table[Chipset], (Chipset_Table[Chipset text]&lt;&gt;"") * ISNUMBER(SEARCH(Chipset_Table[Chipset text], B380)), ""))</f>
        <v>GeForce RTX 4070</v>
      </c>
      <c r="I380" t="s">
        <v>45</v>
      </c>
    </row>
    <row r="381" spans="1:9" hidden="1" x14ac:dyDescent="0.35">
      <c r="A381" t="s">
        <v>9</v>
      </c>
      <c r="B381" t="s">
        <v>720</v>
      </c>
      <c r="C381">
        <v>29990000</v>
      </c>
      <c r="D381">
        <v>27990000</v>
      </c>
      <c r="E381" t="s">
        <v>721</v>
      </c>
      <c r="F381" t="s">
        <v>12</v>
      </c>
      <c r="G381" t="str">
        <f>_xlfn.TEXTJOIN(",",TRUE,_xlfn._xlws.FILTER(GPU_brand[GPU brand], (GPU_brand[GPU brand text]&lt;&gt;"") * ISNUMBER(SEARCH(GPU_brand[GPU brand text], B381)), ""))</f>
        <v>Gigabyte</v>
      </c>
      <c r="H381" t="str">
        <f>_xlfn.TEXTJOIN(",",TRUE,_xlfn._xlws.FILTER(Chipset_Table[Chipset], (Chipset_Table[Chipset text]&lt;&gt;"") * ISNUMBER(SEARCH(Chipset_Table[Chipset text], B381)), ""))</f>
        <v>GeForce RTX 4070</v>
      </c>
      <c r="I381" t="s">
        <v>45</v>
      </c>
    </row>
    <row r="382" spans="1:9" hidden="1" x14ac:dyDescent="0.35">
      <c r="A382" t="s">
        <v>9</v>
      </c>
      <c r="B382" t="s">
        <v>722</v>
      </c>
      <c r="C382">
        <v>27990000</v>
      </c>
      <c r="D382">
        <v>25990000</v>
      </c>
      <c r="E382" t="s">
        <v>723</v>
      </c>
      <c r="F382" t="s">
        <v>12</v>
      </c>
      <c r="G382" t="str">
        <f>_xlfn.TEXTJOIN(",",TRUE,_xlfn._xlws.FILTER(GPU_brand[GPU brand], (GPU_brand[GPU brand text]&lt;&gt;"") * ISNUMBER(SEARCH(GPU_brand[GPU brand text], B382)), ""))</f>
        <v>Gigabyte</v>
      </c>
      <c r="H382" t="str">
        <f>_xlfn.TEXTJOIN(",",TRUE,_xlfn._xlws.FILTER(Chipset_Table[Chipset], (Chipset_Table[Chipset text]&lt;&gt;"") * ISNUMBER(SEARCH(Chipset_Table[Chipset text], B382)), ""))</f>
        <v>GeForce RTX 4070</v>
      </c>
      <c r="I382" t="s">
        <v>45</v>
      </c>
    </row>
    <row r="383" spans="1:9" hidden="1" x14ac:dyDescent="0.35">
      <c r="A383" t="s">
        <v>9</v>
      </c>
      <c r="B383" t="s">
        <v>724</v>
      </c>
      <c r="C383">
        <v>30990000</v>
      </c>
      <c r="D383">
        <v>27990000</v>
      </c>
      <c r="E383" t="s">
        <v>725</v>
      </c>
      <c r="F383" t="s">
        <v>12</v>
      </c>
      <c r="G383" t="str">
        <f>_xlfn.TEXTJOIN(",",TRUE,_xlfn._xlws.FILTER(GPU_brand[GPU brand], (GPU_brand[GPU brand text]&lt;&gt;"") * ISNUMBER(SEARCH(GPU_brand[GPU brand text], B383)), ""))</f>
        <v>Gigabyte</v>
      </c>
      <c r="H383" t="str">
        <f>_xlfn.TEXTJOIN(",",TRUE,_xlfn._xlws.FILTER(Chipset_Table[Chipset], (Chipset_Table[Chipset text]&lt;&gt;"") * ISNUMBER(SEARCH(Chipset_Table[Chipset text], B383)), ""))</f>
        <v>GeForce RTX 4070</v>
      </c>
      <c r="I383" t="s">
        <v>45</v>
      </c>
    </row>
    <row r="384" spans="1:9" hidden="1" x14ac:dyDescent="0.35">
      <c r="A384" t="s">
        <v>9</v>
      </c>
      <c r="B384" t="s">
        <v>726</v>
      </c>
      <c r="C384">
        <v>30990000</v>
      </c>
      <c r="D384">
        <v>29490000</v>
      </c>
      <c r="E384" t="s">
        <v>727</v>
      </c>
      <c r="F384" t="s">
        <v>12</v>
      </c>
      <c r="G384" t="str">
        <f>_xlfn.TEXTJOIN(",",TRUE,_xlfn._xlws.FILTER(GPU_brand[GPU brand], (GPU_brand[GPU brand text]&lt;&gt;"") * ISNUMBER(SEARCH(GPU_brand[GPU brand text], B384)), ""))</f>
        <v>Gigabyte</v>
      </c>
      <c r="H384" t="str">
        <f>_xlfn.TEXTJOIN(",",TRUE,_xlfn._xlws.FILTER(Chipset_Table[Chipset], (Chipset_Table[Chipset text]&lt;&gt;"") * ISNUMBER(SEARCH(Chipset_Table[Chipset text], B384)), ""))</f>
        <v>GeForce RTX 4070</v>
      </c>
      <c r="I384" t="s">
        <v>45</v>
      </c>
    </row>
    <row r="385" spans="1:9" hidden="1" x14ac:dyDescent="0.35">
      <c r="A385" t="s">
        <v>9</v>
      </c>
      <c r="B385" t="s">
        <v>728</v>
      </c>
      <c r="C385">
        <v>29290000</v>
      </c>
      <c r="D385">
        <v>28990000</v>
      </c>
      <c r="E385" t="s">
        <v>729</v>
      </c>
      <c r="F385" t="s">
        <v>12</v>
      </c>
      <c r="G385" t="str">
        <f>_xlfn.TEXTJOIN(",",TRUE,_xlfn._xlws.FILTER(GPU_brand[GPU brand], (GPU_brand[GPU brand text]&lt;&gt;"") * ISNUMBER(SEARCH(GPU_brand[GPU brand text], B385)), ""))</f>
        <v>Gigabyte</v>
      </c>
      <c r="H385" t="str">
        <f>_xlfn.TEXTJOIN(",",TRUE,_xlfn._xlws.FILTER(Chipset_Table[Chipset], (Chipset_Table[Chipset text]&lt;&gt;"") * ISNUMBER(SEARCH(Chipset_Table[Chipset text], B385)), ""))</f>
        <v>GeForce RTX 4070</v>
      </c>
      <c r="I385" t="s">
        <v>45</v>
      </c>
    </row>
    <row r="386" spans="1:9" hidden="1" x14ac:dyDescent="0.35">
      <c r="A386" t="s">
        <v>9</v>
      </c>
      <c r="B386" t="s">
        <v>730</v>
      </c>
      <c r="C386">
        <v>30490000</v>
      </c>
      <c r="D386">
        <v>29990000</v>
      </c>
      <c r="E386" t="s">
        <v>731</v>
      </c>
      <c r="F386" t="s">
        <v>12</v>
      </c>
      <c r="G386" t="str">
        <f>_xlfn.TEXTJOIN(",",TRUE,_xlfn._xlws.FILTER(GPU_brand[GPU brand], (GPU_brand[GPU brand text]&lt;&gt;"") * ISNUMBER(SEARCH(GPU_brand[GPU brand text], B386)), ""))</f>
        <v>ASUS</v>
      </c>
      <c r="H386" t="str">
        <f>_xlfn.TEXTJOIN(",",TRUE,_xlfn._xlws.FILTER(Chipset_Table[Chipset], (Chipset_Table[Chipset text]&lt;&gt;"") * ISNUMBER(SEARCH(Chipset_Table[Chipset text], B386)), ""))</f>
        <v>GeForce RTX 4070</v>
      </c>
      <c r="I386" t="s">
        <v>45</v>
      </c>
    </row>
    <row r="387" spans="1:9" hidden="1" x14ac:dyDescent="0.35">
      <c r="A387" t="s">
        <v>9</v>
      </c>
      <c r="B387" t="s">
        <v>732</v>
      </c>
      <c r="C387">
        <v>29990000</v>
      </c>
      <c r="D387">
        <v>26790000</v>
      </c>
      <c r="E387" t="s">
        <v>733</v>
      </c>
      <c r="F387" t="s">
        <v>12</v>
      </c>
      <c r="G387" t="str">
        <f>_xlfn.TEXTJOIN(",",TRUE,_xlfn._xlws.FILTER(GPU_brand[GPU brand], (GPU_brand[GPU brand text]&lt;&gt;"") * ISNUMBER(SEARCH(GPU_brand[GPU brand text], B387)), ""))</f>
        <v>ASUS</v>
      </c>
      <c r="H387" t="str">
        <f>_xlfn.TEXTJOIN(",",TRUE,_xlfn._xlws.FILTER(Chipset_Table[Chipset], (Chipset_Table[Chipset text]&lt;&gt;"") * ISNUMBER(SEARCH(Chipset_Table[Chipset text], B387)), ""))</f>
        <v>GeForce RTX 4070</v>
      </c>
      <c r="I387" t="s">
        <v>45</v>
      </c>
    </row>
    <row r="388" spans="1:9" hidden="1" x14ac:dyDescent="0.35">
      <c r="A388" t="s">
        <v>9</v>
      </c>
      <c r="B388" t="s">
        <v>734</v>
      </c>
      <c r="C388">
        <v>0</v>
      </c>
      <c r="D388">
        <v>17490000</v>
      </c>
      <c r="E388" t="s">
        <v>735</v>
      </c>
      <c r="F388" t="s">
        <v>12</v>
      </c>
      <c r="G388" t="str">
        <f>_xlfn.TEXTJOIN(",",TRUE,_xlfn._xlws.FILTER(GPU_brand[GPU brand], (GPU_brand[GPU brand text]&lt;&gt;"") * ISNUMBER(SEARCH(GPU_brand[GPU brand text], B388)), ""))</f>
        <v>MSI</v>
      </c>
      <c r="H388" t="str">
        <f>_xlfn.TEXTJOIN(",",TRUE,_xlfn._xlws.FILTER(Chipset_Table[Chipset], (Chipset_Table[Chipset text]&lt;&gt;"") * ISNUMBER(SEARCH(Chipset_Table[Chipset text], B388)), ""))</f>
        <v>GeForce RTX 4070</v>
      </c>
      <c r="I388" t="s">
        <v>45</v>
      </c>
    </row>
    <row r="389" spans="1:9" hidden="1" x14ac:dyDescent="0.35">
      <c r="A389" t="s">
        <v>9</v>
      </c>
      <c r="B389" t="s">
        <v>736</v>
      </c>
      <c r="C389">
        <v>0</v>
      </c>
      <c r="D389">
        <v>16990000</v>
      </c>
      <c r="E389" t="s">
        <v>737</v>
      </c>
      <c r="F389" t="s">
        <v>12</v>
      </c>
      <c r="G389" t="str">
        <f>_xlfn.TEXTJOIN(",",TRUE,_xlfn._xlws.FILTER(GPU_brand[GPU brand], (GPU_brand[GPU brand text]&lt;&gt;"") * ISNUMBER(SEARCH(GPU_brand[GPU brand text], B389)), ""))</f>
        <v>MSI</v>
      </c>
      <c r="H389" t="str">
        <f>_xlfn.TEXTJOIN(",",TRUE,_xlfn._xlws.FILTER(Chipset_Table[Chipset], (Chipset_Table[Chipset text]&lt;&gt;"") * ISNUMBER(SEARCH(Chipset_Table[Chipset text], B389)), ""))</f>
        <v>GeForce RTX 4070</v>
      </c>
      <c r="I389" t="s">
        <v>45</v>
      </c>
    </row>
    <row r="390" spans="1:9" hidden="1" x14ac:dyDescent="0.35">
      <c r="A390" t="s">
        <v>9</v>
      </c>
      <c r="B390" t="s">
        <v>738</v>
      </c>
      <c r="C390">
        <v>0</v>
      </c>
      <c r="D390">
        <v>16790000</v>
      </c>
      <c r="E390" t="s">
        <v>739</v>
      </c>
      <c r="F390" t="s">
        <v>12</v>
      </c>
      <c r="G390" t="str">
        <f>_xlfn.TEXTJOIN(",",TRUE,_xlfn._xlws.FILTER(GPU_brand[GPU brand], (GPU_brand[GPU brand text]&lt;&gt;"") * ISNUMBER(SEARCH(GPU_brand[GPU brand text], B390)), ""))</f>
        <v>MSI</v>
      </c>
      <c r="H390" t="str">
        <f>_xlfn.TEXTJOIN(",",TRUE,_xlfn._xlws.FILTER(Chipset_Table[Chipset], (Chipset_Table[Chipset text]&lt;&gt;"") * ISNUMBER(SEARCH(Chipset_Table[Chipset text], B390)), ""))</f>
        <v>GeForce RTX 4070</v>
      </c>
      <c r="I390" t="s">
        <v>45</v>
      </c>
    </row>
    <row r="391" spans="1:9" hidden="1" x14ac:dyDescent="0.35">
      <c r="A391" t="s">
        <v>9</v>
      </c>
      <c r="B391" t="s">
        <v>740</v>
      </c>
      <c r="C391">
        <v>27990000</v>
      </c>
      <c r="D391">
        <v>26990000</v>
      </c>
      <c r="E391" t="s">
        <v>741</v>
      </c>
      <c r="F391" t="s">
        <v>12</v>
      </c>
      <c r="G391" t="str">
        <f>_xlfn.TEXTJOIN(",",TRUE,_xlfn._xlws.FILTER(GPU_brand[GPU brand], (GPU_brand[GPU brand text]&lt;&gt;"") * ISNUMBER(SEARCH(GPU_brand[GPU brand text], B391)), ""))</f>
        <v>MSI</v>
      </c>
      <c r="H391" t="str">
        <f>_xlfn.TEXTJOIN(",",TRUE,_xlfn._xlws.FILTER(Chipset_Table[Chipset], (Chipset_Table[Chipset text]&lt;&gt;"") * ISNUMBER(SEARCH(Chipset_Table[Chipset text], B391)), ""))</f>
        <v>GeForce RTX 4070</v>
      </c>
      <c r="I391" t="s">
        <v>45</v>
      </c>
    </row>
    <row r="392" spans="1:9" hidden="1" x14ac:dyDescent="0.35">
      <c r="A392" t="s">
        <v>9</v>
      </c>
      <c r="B392" t="s">
        <v>742</v>
      </c>
      <c r="C392">
        <v>19490000</v>
      </c>
      <c r="D392">
        <v>18990000</v>
      </c>
      <c r="E392" t="s">
        <v>743</v>
      </c>
      <c r="F392" t="s">
        <v>12</v>
      </c>
      <c r="G392" t="str">
        <f>_xlfn.TEXTJOIN(",",TRUE,_xlfn._xlws.FILTER(GPU_brand[GPU brand], (GPU_brand[GPU brand text]&lt;&gt;"") * ISNUMBER(SEARCH(GPU_brand[GPU brand text], B392)), ""))</f>
        <v>MSI</v>
      </c>
      <c r="H392" t="str">
        <f>_xlfn.TEXTJOIN(",",TRUE,_xlfn._xlws.FILTER(Chipset_Table[Chipset], (Chipset_Table[Chipset text]&lt;&gt;"") * ISNUMBER(SEARCH(Chipset_Table[Chipset text], B392)), ""))</f>
        <v>GeForce RTX 4070</v>
      </c>
      <c r="I392" t="s">
        <v>45</v>
      </c>
    </row>
    <row r="393" spans="1:9" hidden="1" x14ac:dyDescent="0.35">
      <c r="A393" t="s">
        <v>9</v>
      </c>
      <c r="B393" t="s">
        <v>744</v>
      </c>
      <c r="C393">
        <v>13990000</v>
      </c>
      <c r="D393">
        <v>13490000</v>
      </c>
      <c r="E393" t="s">
        <v>745</v>
      </c>
      <c r="F393" t="s">
        <v>12</v>
      </c>
      <c r="G393" t="str">
        <f>_xlfn.TEXTJOIN(",",TRUE,_xlfn._xlws.FILTER(GPU_brand[GPU brand], (GPU_brand[GPU brand text]&lt;&gt;"") * ISNUMBER(SEARCH(GPU_brand[GPU brand text], B393)), ""))</f>
        <v>MSI</v>
      </c>
      <c r="H393" t="str">
        <f>_xlfn.TEXTJOIN(",",TRUE,_xlfn._xlws.FILTER(Chipset_Table[Chipset], (Chipset_Table[Chipset text]&lt;&gt;"") * ISNUMBER(SEARCH(Chipset_Table[Chipset text], B393)), ""))</f>
        <v>GeForce RTX 4060</v>
      </c>
      <c r="I393" t="str">
        <f>_xlfn.TEXTJOIN(",",TRUE,_xlfn._xlws.FILTER(VRAM_table[Video memory], (VRAM_table[Video memory text]&lt;&gt;"") * ISNUMBER(SEARCH(VRAM_table[Video memory text], B393)), ""))</f>
        <v>8GB</v>
      </c>
    </row>
    <row r="394" spans="1:9" hidden="1" x14ac:dyDescent="0.35">
      <c r="A394" t="s">
        <v>9</v>
      </c>
      <c r="B394" t="s">
        <v>746</v>
      </c>
      <c r="C394">
        <v>17990000</v>
      </c>
      <c r="D394">
        <v>17490000</v>
      </c>
      <c r="E394" t="s">
        <v>747</v>
      </c>
      <c r="F394" t="s">
        <v>12</v>
      </c>
      <c r="G394" t="str">
        <f>_xlfn.TEXTJOIN(",",TRUE,_xlfn._xlws.FILTER(GPU_brand[GPU brand], (GPU_brand[GPU brand text]&lt;&gt;"") * ISNUMBER(SEARCH(GPU_brand[GPU brand text], B394)), ""))</f>
        <v>Gigabyte</v>
      </c>
      <c r="H394" t="str">
        <f>_xlfn.TEXTJOIN(",",TRUE,_xlfn._xlws.FILTER(Chipset_Table[Chipset], (Chipset_Table[Chipset text]&lt;&gt;"") * ISNUMBER(SEARCH(Chipset_Table[Chipset text], B394)), ""))</f>
        <v>GeForce RTX 4070</v>
      </c>
      <c r="I394" t="s">
        <v>45</v>
      </c>
    </row>
    <row r="395" spans="1:9" hidden="1" x14ac:dyDescent="0.35">
      <c r="A395" t="s">
        <v>9</v>
      </c>
      <c r="B395" t="s">
        <v>748</v>
      </c>
      <c r="C395">
        <v>19990000</v>
      </c>
      <c r="D395">
        <v>18990000</v>
      </c>
      <c r="E395" t="s">
        <v>749</v>
      </c>
      <c r="F395" t="s">
        <v>12</v>
      </c>
      <c r="G395" t="str">
        <f>_xlfn.TEXTJOIN(",",TRUE,_xlfn._xlws.FILTER(GPU_brand[GPU brand], (GPU_brand[GPU brand text]&lt;&gt;"") * ISNUMBER(SEARCH(GPU_brand[GPU brand text], B395)), ""))</f>
        <v>Gigabyte</v>
      </c>
      <c r="H395" t="str">
        <f>_xlfn.TEXTJOIN(",",TRUE,_xlfn._xlws.FILTER(Chipset_Table[Chipset], (Chipset_Table[Chipset text]&lt;&gt;"") * ISNUMBER(SEARCH(Chipset_Table[Chipset text], B395)), ""))</f>
        <v>GeForce RTX 4070</v>
      </c>
      <c r="I395" t="s">
        <v>45</v>
      </c>
    </row>
    <row r="396" spans="1:9" hidden="1" x14ac:dyDescent="0.35">
      <c r="A396" t="s">
        <v>9</v>
      </c>
      <c r="B396" t="s">
        <v>750</v>
      </c>
      <c r="C396">
        <v>17990000</v>
      </c>
      <c r="D396">
        <v>17690000</v>
      </c>
      <c r="E396" t="s">
        <v>751</v>
      </c>
      <c r="F396" t="s">
        <v>12</v>
      </c>
      <c r="G396" t="str">
        <f>_xlfn.TEXTJOIN(",",TRUE,_xlfn._xlws.FILTER(GPU_brand[GPU brand], (GPU_brand[GPU brand text]&lt;&gt;"") * ISNUMBER(SEARCH(GPU_brand[GPU brand text], B396)), ""))</f>
        <v>Gigabyte</v>
      </c>
      <c r="H396" t="str">
        <f>_xlfn.TEXTJOIN(",",TRUE,_xlfn._xlws.FILTER(Chipset_Table[Chipset], (Chipset_Table[Chipset text]&lt;&gt;"") * ISNUMBER(SEARCH(Chipset_Table[Chipset text], B396)), ""))</f>
        <v>GeForce RTX 4070</v>
      </c>
      <c r="I396" t="s">
        <v>45</v>
      </c>
    </row>
    <row r="397" spans="1:9" hidden="1" x14ac:dyDescent="0.35">
      <c r="A397" t="s">
        <v>9</v>
      </c>
      <c r="B397" t="s">
        <v>752</v>
      </c>
      <c r="C397">
        <v>19990000</v>
      </c>
      <c r="D397">
        <v>19290000</v>
      </c>
      <c r="E397" t="s">
        <v>753</v>
      </c>
      <c r="F397" t="s">
        <v>12</v>
      </c>
      <c r="G397" t="str">
        <f>_xlfn.TEXTJOIN(",",TRUE,_xlfn._xlws.FILTER(GPU_brand[GPU brand], (GPU_brand[GPU brand text]&lt;&gt;"") * ISNUMBER(SEARCH(GPU_brand[GPU brand text], B397)), ""))</f>
        <v>Gigabyte</v>
      </c>
      <c r="H397" t="str">
        <f>_xlfn.TEXTJOIN(",",TRUE,_xlfn._xlws.FILTER(Chipset_Table[Chipset], (Chipset_Table[Chipset text]&lt;&gt;"") * ISNUMBER(SEARCH(Chipset_Table[Chipset text], B397)), ""))</f>
        <v>GeForce RTX 4070</v>
      </c>
      <c r="I397" t="s">
        <v>45</v>
      </c>
    </row>
    <row r="398" spans="1:9" hidden="1" x14ac:dyDescent="0.35">
      <c r="A398" t="s">
        <v>9</v>
      </c>
      <c r="B398" t="s">
        <v>754</v>
      </c>
      <c r="C398">
        <v>13990000</v>
      </c>
      <c r="D398">
        <v>13490000</v>
      </c>
      <c r="E398" t="s">
        <v>755</v>
      </c>
      <c r="F398" t="s">
        <v>12</v>
      </c>
      <c r="G398" t="str">
        <f>_xlfn.TEXTJOIN(",",TRUE,_xlfn._xlws.FILTER(GPU_brand[GPU brand], (GPU_brand[GPU brand text]&lt;&gt;"") * ISNUMBER(SEARCH(GPU_brand[GPU brand text], B398)), ""))</f>
        <v>Gigabyte</v>
      </c>
      <c r="H398" t="str">
        <f>_xlfn.TEXTJOIN(",",TRUE,_xlfn._xlws.FILTER(Chipset_Table[Chipset], (Chipset_Table[Chipset text]&lt;&gt;"") * ISNUMBER(SEARCH(Chipset_Table[Chipset text], B398)), ""))</f>
        <v>GeForce RTX 4060</v>
      </c>
      <c r="I398" t="str">
        <f>_xlfn.TEXTJOIN(",",TRUE,_xlfn._xlws.FILTER(VRAM_table[Video memory], (VRAM_table[Video memory text]&lt;&gt;"") * ISNUMBER(SEARCH(VRAM_table[Video memory text], B398)), ""))</f>
        <v>8GB</v>
      </c>
    </row>
    <row r="399" spans="1:9" hidden="1" x14ac:dyDescent="0.35">
      <c r="A399" t="s">
        <v>9</v>
      </c>
      <c r="B399" t="s">
        <v>756</v>
      </c>
      <c r="C399">
        <v>20990000</v>
      </c>
      <c r="D399">
        <v>20490000</v>
      </c>
      <c r="E399" t="s">
        <v>757</v>
      </c>
      <c r="F399" t="s">
        <v>12</v>
      </c>
      <c r="G399" t="str">
        <f>_xlfn.TEXTJOIN(",",TRUE,_xlfn._xlws.FILTER(GPU_brand[GPU brand], (GPU_brand[GPU brand text]&lt;&gt;"") * ISNUMBER(SEARCH(GPU_brand[GPU brand text], B399)), ""))</f>
        <v>Gigabyte</v>
      </c>
      <c r="H399" t="str">
        <f>_xlfn.TEXTJOIN(",",TRUE,_xlfn._xlws.FILTER(Chipset_Table[Chipset], (Chipset_Table[Chipset text]&lt;&gt;"") * ISNUMBER(SEARCH(Chipset_Table[Chipset text], B399)), ""))</f>
        <v>GeForce RTX 4070</v>
      </c>
      <c r="I399" t="s">
        <v>45</v>
      </c>
    </row>
    <row r="400" spans="1:9" hidden="1" x14ac:dyDescent="0.35">
      <c r="A400" t="s">
        <v>9</v>
      </c>
      <c r="B400" t="s">
        <v>758</v>
      </c>
      <c r="C400">
        <v>20490000</v>
      </c>
      <c r="D400">
        <v>19990000</v>
      </c>
      <c r="E400" t="s">
        <v>759</v>
      </c>
      <c r="F400" t="s">
        <v>12</v>
      </c>
      <c r="G400" t="str">
        <f>_xlfn.TEXTJOIN(",",TRUE,_xlfn._xlws.FILTER(GPU_brand[GPU brand], (GPU_brand[GPU brand text]&lt;&gt;"") * ISNUMBER(SEARCH(GPU_brand[GPU brand text], B400)), ""))</f>
        <v>ASUS</v>
      </c>
      <c r="H400" t="str">
        <f>_xlfn.TEXTJOIN(",",TRUE,_xlfn._xlws.FILTER(Chipset_Table[Chipset], (Chipset_Table[Chipset text]&lt;&gt;"") * ISNUMBER(SEARCH(Chipset_Table[Chipset text], B400)), ""))</f>
        <v>GeForce RTX 4070</v>
      </c>
      <c r="I400" t="s">
        <v>45</v>
      </c>
    </row>
    <row r="401" spans="1:9" hidden="1" x14ac:dyDescent="0.35">
      <c r="A401" t="s">
        <v>9</v>
      </c>
      <c r="B401" t="s">
        <v>760</v>
      </c>
      <c r="C401">
        <v>0</v>
      </c>
      <c r="D401">
        <v>19490000</v>
      </c>
      <c r="E401" t="s">
        <v>761</v>
      </c>
      <c r="F401" t="s">
        <v>12</v>
      </c>
      <c r="G401" t="str">
        <f>_xlfn.TEXTJOIN(",",TRUE,_xlfn._xlws.FILTER(GPU_brand[GPU brand], (GPU_brand[GPU brand text]&lt;&gt;"") * ISNUMBER(SEARCH(GPU_brand[GPU brand text], B401)), ""))</f>
        <v>ASUS</v>
      </c>
      <c r="H401" t="str">
        <f>_xlfn.TEXTJOIN(",",TRUE,_xlfn._xlws.FILTER(Chipset_Table[Chipset], (Chipset_Table[Chipset text]&lt;&gt;"") * ISNUMBER(SEARCH(Chipset_Table[Chipset text], B401)), ""))</f>
        <v>GeForce RTX 4070</v>
      </c>
      <c r="I401" t="s">
        <v>45</v>
      </c>
    </row>
    <row r="402" spans="1:9" hidden="1" x14ac:dyDescent="0.35">
      <c r="A402" t="s">
        <v>9</v>
      </c>
      <c r="B402" t="s">
        <v>762</v>
      </c>
      <c r="C402">
        <v>0</v>
      </c>
      <c r="D402">
        <v>21990000</v>
      </c>
      <c r="E402" t="s">
        <v>763</v>
      </c>
      <c r="F402" t="s">
        <v>12</v>
      </c>
      <c r="G402" t="str">
        <f>_xlfn.TEXTJOIN(",",TRUE,_xlfn._xlws.FILTER(GPU_brand[GPU brand], (GPU_brand[GPU brand text]&lt;&gt;"") * ISNUMBER(SEARCH(GPU_brand[GPU brand text], B402)), ""))</f>
        <v>ASUS</v>
      </c>
      <c r="H402" t="str">
        <f>_xlfn.TEXTJOIN(",",TRUE,_xlfn._xlws.FILTER(Chipset_Table[Chipset], (Chipset_Table[Chipset text]&lt;&gt;"") * ISNUMBER(SEARCH(Chipset_Table[Chipset text], B402)), ""))</f>
        <v>GeForce RTX 4070</v>
      </c>
      <c r="I402" t="s">
        <v>45</v>
      </c>
    </row>
    <row r="403" spans="1:9" hidden="1" x14ac:dyDescent="0.35">
      <c r="A403" t="s">
        <v>9</v>
      </c>
      <c r="B403" t="s">
        <v>764</v>
      </c>
      <c r="C403">
        <v>0</v>
      </c>
      <c r="D403">
        <v>21490000</v>
      </c>
      <c r="E403" t="s">
        <v>765</v>
      </c>
      <c r="F403" t="s">
        <v>12</v>
      </c>
      <c r="G403" t="str">
        <f>_xlfn.TEXTJOIN(",",TRUE,_xlfn._xlws.FILTER(GPU_brand[GPU brand], (GPU_brand[GPU brand text]&lt;&gt;"") * ISNUMBER(SEARCH(GPU_brand[GPU brand text], B403)), ""))</f>
        <v>ASUS</v>
      </c>
      <c r="H403" t="str">
        <f>_xlfn.TEXTJOIN(",",TRUE,_xlfn._xlws.FILTER(Chipset_Table[Chipset], (Chipset_Table[Chipset text]&lt;&gt;"") * ISNUMBER(SEARCH(Chipset_Table[Chipset text], B403)), ""))</f>
        <v>GeForce RTX 4070</v>
      </c>
      <c r="I403" t="s">
        <v>45</v>
      </c>
    </row>
    <row r="404" spans="1:9" hidden="1" x14ac:dyDescent="0.35">
      <c r="A404" t="s">
        <v>9</v>
      </c>
      <c r="B404" t="s">
        <v>766</v>
      </c>
      <c r="C404">
        <v>0</v>
      </c>
      <c r="D404">
        <v>35990000</v>
      </c>
      <c r="E404" t="s">
        <v>767</v>
      </c>
      <c r="F404" t="s">
        <v>12</v>
      </c>
      <c r="G404" t="str">
        <f>_xlfn.TEXTJOIN(",",TRUE,_xlfn._xlws.FILTER(GPU_brand[GPU brand], (GPU_brand[GPU brand text]&lt;&gt;"") * ISNUMBER(SEARCH(GPU_brand[GPU brand text], B404)), ""))</f>
        <v>ASUS</v>
      </c>
      <c r="H404" t="str">
        <f>_xlfn.TEXTJOIN(",",TRUE,_xlfn._xlws.FILTER(Chipset_Table[Chipset], (Chipset_Table[Chipset text]&lt;&gt;"") * ISNUMBER(SEARCH(Chipset_Table[Chipset text], B404)), ""))</f>
        <v>GeForce RTX 4080</v>
      </c>
      <c r="I404" t="s">
        <v>17</v>
      </c>
    </row>
    <row r="405" spans="1:9" hidden="1" x14ac:dyDescent="0.35">
      <c r="A405" t="s">
        <v>9</v>
      </c>
      <c r="B405" t="s">
        <v>768</v>
      </c>
      <c r="C405">
        <v>0</v>
      </c>
      <c r="D405">
        <v>35490000</v>
      </c>
      <c r="E405" t="s">
        <v>769</v>
      </c>
      <c r="F405" t="s">
        <v>12</v>
      </c>
      <c r="G405" t="str">
        <f>_xlfn.TEXTJOIN(",",TRUE,_xlfn._xlws.FILTER(GPU_brand[GPU brand], (GPU_brand[GPU brand text]&lt;&gt;"") * ISNUMBER(SEARCH(GPU_brand[GPU brand text], B405)), ""))</f>
        <v>ASUS</v>
      </c>
      <c r="H405" t="str">
        <f>_xlfn.TEXTJOIN(",",TRUE,_xlfn._xlws.FILTER(Chipset_Table[Chipset], (Chipset_Table[Chipset text]&lt;&gt;"") * ISNUMBER(SEARCH(Chipset_Table[Chipset text], B405)), ""))</f>
        <v>GeForce RTX 4080</v>
      </c>
      <c r="I405" t="s">
        <v>17</v>
      </c>
    </row>
    <row r="406" spans="1:9" hidden="1" x14ac:dyDescent="0.35">
      <c r="A406" t="s">
        <v>9</v>
      </c>
      <c r="B406" t="s">
        <v>770</v>
      </c>
      <c r="C406">
        <v>0</v>
      </c>
      <c r="D406">
        <v>23990000</v>
      </c>
      <c r="E406" t="s">
        <v>771</v>
      </c>
      <c r="F406" t="s">
        <v>12</v>
      </c>
      <c r="G406" t="str">
        <f>_xlfn.TEXTJOIN(",",TRUE,_xlfn._xlws.FILTER(GPU_brand[GPU brand], (GPU_brand[GPU brand text]&lt;&gt;"") * ISNUMBER(SEARCH(GPU_brand[GPU brand text], B406)), ""))</f>
        <v>ASUS</v>
      </c>
      <c r="H406" t="str">
        <f>_xlfn.TEXTJOIN(",",TRUE,_xlfn._xlws.FILTER(Chipset_Table[Chipset], (Chipset_Table[Chipset text]&lt;&gt;"") * ISNUMBER(SEARCH(Chipset_Table[Chipset text], B406)), ""))</f>
        <v>GeForce RTX 4070</v>
      </c>
      <c r="I406" t="s">
        <v>45</v>
      </c>
    </row>
    <row r="407" spans="1:9" hidden="1" x14ac:dyDescent="0.35">
      <c r="A407" t="s">
        <v>9</v>
      </c>
      <c r="B407" t="s">
        <v>772</v>
      </c>
      <c r="C407">
        <v>0</v>
      </c>
      <c r="D407">
        <v>23490000</v>
      </c>
      <c r="E407" t="s">
        <v>773</v>
      </c>
      <c r="F407" t="s">
        <v>12</v>
      </c>
      <c r="G407" t="str">
        <f>_xlfn.TEXTJOIN(",",TRUE,_xlfn._xlws.FILTER(GPU_brand[GPU brand], (GPU_brand[GPU brand text]&lt;&gt;"") * ISNUMBER(SEARCH(GPU_brand[GPU brand text], B407)), ""))</f>
        <v>ASUS</v>
      </c>
      <c r="H407" t="str">
        <f>_xlfn.TEXTJOIN(",",TRUE,_xlfn._xlws.FILTER(Chipset_Table[Chipset], (Chipset_Table[Chipset text]&lt;&gt;"") * ISNUMBER(SEARCH(Chipset_Table[Chipset text], B407)), ""))</f>
        <v>GeForce RTX 4070</v>
      </c>
      <c r="I407" t="s">
        <v>45</v>
      </c>
    </row>
    <row r="408" spans="1:9" hidden="1" x14ac:dyDescent="0.35">
      <c r="A408" t="s">
        <v>9</v>
      </c>
      <c r="B408" t="s">
        <v>774</v>
      </c>
      <c r="C408">
        <v>0</v>
      </c>
      <c r="D408">
        <v>17690000</v>
      </c>
      <c r="E408" t="s">
        <v>775</v>
      </c>
      <c r="F408" t="s">
        <v>12</v>
      </c>
      <c r="G408" t="str">
        <f>_xlfn.TEXTJOIN(",",TRUE,_xlfn._xlws.FILTER(GPU_brand[GPU brand], (GPU_brand[GPU brand text]&lt;&gt;"") * ISNUMBER(SEARCH(GPU_brand[GPU brand text], B408)), ""))</f>
        <v>ASUS</v>
      </c>
      <c r="H408" t="str">
        <f>_xlfn.TEXTJOIN(",",TRUE,_xlfn._xlws.FILTER(Chipset_Table[Chipset], (Chipset_Table[Chipset text]&lt;&gt;"") * ISNUMBER(SEARCH(Chipset_Table[Chipset text], B408)), ""))</f>
        <v>GeForce RTX 4070</v>
      </c>
      <c r="I408" t="s">
        <v>45</v>
      </c>
    </row>
    <row r="409" spans="1:9" hidden="1" x14ac:dyDescent="0.35">
      <c r="A409" t="s">
        <v>9</v>
      </c>
      <c r="B409" t="s">
        <v>776</v>
      </c>
      <c r="C409">
        <v>0</v>
      </c>
      <c r="D409">
        <v>17490000</v>
      </c>
      <c r="E409" t="s">
        <v>777</v>
      </c>
      <c r="F409" t="s">
        <v>12</v>
      </c>
      <c r="G409" t="str">
        <f>_xlfn.TEXTJOIN(",",TRUE,_xlfn._xlws.FILTER(GPU_brand[GPU brand], (GPU_brand[GPU brand text]&lt;&gt;"") * ISNUMBER(SEARCH(GPU_brand[GPU brand text], B409)), ""))</f>
        <v>ASUS</v>
      </c>
      <c r="H409" t="str">
        <f>_xlfn.TEXTJOIN(",",TRUE,_xlfn._xlws.FILTER(Chipset_Table[Chipset], (Chipset_Table[Chipset text]&lt;&gt;"") * ISNUMBER(SEARCH(Chipset_Table[Chipset text], B409)), ""))</f>
        <v>GeForce RTX 4070</v>
      </c>
      <c r="I409" t="s">
        <v>45</v>
      </c>
    </row>
    <row r="410" spans="1:9" hidden="1" x14ac:dyDescent="0.35">
      <c r="A410" t="s">
        <v>9</v>
      </c>
      <c r="B410" t="s">
        <v>778</v>
      </c>
      <c r="C410">
        <v>18990000</v>
      </c>
      <c r="D410">
        <v>17290000</v>
      </c>
      <c r="E410" t="s">
        <v>779</v>
      </c>
      <c r="F410" t="s">
        <v>12</v>
      </c>
      <c r="G410" t="str">
        <f>_xlfn.TEXTJOIN(",",TRUE,_xlfn._xlws.FILTER(GPU_brand[GPU brand], (GPU_brand[GPU brand text]&lt;&gt;"") * ISNUMBER(SEARCH(GPU_brand[GPU brand text], B410)), ""))</f>
        <v>ASUS</v>
      </c>
      <c r="H410" t="str">
        <f>_xlfn.TEXTJOIN(",",TRUE,_xlfn._xlws.FILTER(Chipset_Table[Chipset], (Chipset_Table[Chipset text]&lt;&gt;"") * ISNUMBER(SEARCH(Chipset_Table[Chipset text], B410)), ""))</f>
        <v>GeForce RTX 4070</v>
      </c>
      <c r="I410" t="s">
        <v>45</v>
      </c>
    </row>
    <row r="411" spans="1:9" hidden="1" x14ac:dyDescent="0.35">
      <c r="A411" t="s">
        <v>9</v>
      </c>
      <c r="B411" t="s">
        <v>780</v>
      </c>
      <c r="C411">
        <v>0</v>
      </c>
      <c r="D411">
        <v>16990000</v>
      </c>
      <c r="E411" t="s">
        <v>781</v>
      </c>
      <c r="F411" t="s">
        <v>12</v>
      </c>
      <c r="G411" t="str">
        <f>_xlfn.TEXTJOIN(",",TRUE,_xlfn._xlws.FILTER(GPU_brand[GPU brand], (GPU_brand[GPU brand text]&lt;&gt;"") * ISNUMBER(SEARCH(GPU_brand[GPU brand text], B411)), ""))</f>
        <v>ASUS</v>
      </c>
      <c r="H411" t="str">
        <f>_xlfn.TEXTJOIN(",",TRUE,_xlfn._xlws.FILTER(Chipset_Table[Chipset], (Chipset_Table[Chipset text]&lt;&gt;"") * ISNUMBER(SEARCH(Chipset_Table[Chipset text], B411)), ""))</f>
        <v>GeForce RTX 4070</v>
      </c>
      <c r="I411" t="s">
        <v>45</v>
      </c>
    </row>
    <row r="412" spans="1:9" hidden="1" x14ac:dyDescent="0.35">
      <c r="A412" t="s">
        <v>782</v>
      </c>
      <c r="B412" t="s">
        <v>783</v>
      </c>
      <c r="C412">
        <v>5290000</v>
      </c>
      <c r="D412">
        <v>5290000</v>
      </c>
      <c r="E412" t="s">
        <v>784</v>
      </c>
      <c r="F412" t="s">
        <v>12</v>
      </c>
      <c r="G412" t="str">
        <f>_xlfn.TEXTJOIN(",",TRUE,_xlfn._xlws.FILTER(GPU_brand[GPU brand], (GPU_brand[GPU brand text]&lt;&gt;"") * ISNUMBER(SEARCH(GPU_brand[GPU brand text], B412)), ""))</f>
        <v>INNO3D</v>
      </c>
      <c r="H412" t="str">
        <f>_xlfn.TEXTJOIN(",",TRUE,_xlfn._xlws.FILTER(Chipset_Table[Chipset], (Chipset_Table[Chipset text]&lt;&gt;"") * ISNUMBER(SEARCH(Chipset_Table[Chipset text], B412)), ""))</f>
        <v>GeForce RTX 3050</v>
      </c>
      <c r="I412" t="s">
        <v>323</v>
      </c>
    </row>
    <row r="413" spans="1:9" hidden="1" x14ac:dyDescent="0.35">
      <c r="A413" t="s">
        <v>782</v>
      </c>
      <c r="B413" t="s">
        <v>785</v>
      </c>
      <c r="C413">
        <v>5590000</v>
      </c>
      <c r="D413">
        <v>5590000</v>
      </c>
      <c r="E413" t="s">
        <v>786</v>
      </c>
      <c r="F413" t="s">
        <v>12</v>
      </c>
      <c r="G413" t="str">
        <f>_xlfn.TEXTJOIN(",",TRUE,_xlfn._xlws.FILTER(GPU_brand[GPU brand], (GPU_brand[GPU brand text]&lt;&gt;"") * ISNUMBER(SEARCH(GPU_brand[GPU brand text], B413)), ""))</f>
        <v>Colorful</v>
      </c>
      <c r="H413" t="str">
        <f>_xlfn.TEXTJOIN(",",TRUE,_xlfn._xlws.FILTER(Chipset_Table[Chipset], (Chipset_Table[Chipset text]&lt;&gt;"") * ISNUMBER(SEARCH(Chipset_Table[Chipset text], B413)), ""))</f>
        <v>GeForce RTX 3050</v>
      </c>
      <c r="I413" t="s">
        <v>323</v>
      </c>
    </row>
    <row r="414" spans="1:9" hidden="1" x14ac:dyDescent="0.35">
      <c r="A414" t="s">
        <v>782</v>
      </c>
      <c r="B414" t="s">
        <v>787</v>
      </c>
      <c r="C414">
        <v>6490000</v>
      </c>
      <c r="D414">
        <v>6490000</v>
      </c>
      <c r="E414" t="s">
        <v>788</v>
      </c>
      <c r="F414" t="s">
        <v>12</v>
      </c>
      <c r="G414" t="str">
        <f>_xlfn.TEXTJOIN(",",TRUE,_xlfn._xlws.FILTER(GPU_brand[GPU brand], (GPU_brand[GPU brand text]&lt;&gt;"") * ISNUMBER(SEARCH(GPU_brand[GPU brand text], B414)), ""))</f>
        <v>Gigabyte</v>
      </c>
      <c r="H414" t="str">
        <f>_xlfn.TEXTJOIN(",",TRUE,_xlfn._xlws.FILTER(Chipset_Table[Chipset], (Chipset_Table[Chipset text]&lt;&gt;"") * ISNUMBER(SEARCH(Chipset_Table[Chipset text], B414)), ""))</f>
        <v>GeForce RTX 3050</v>
      </c>
      <c r="I414" t="s">
        <v>23</v>
      </c>
    </row>
    <row r="415" spans="1:9" hidden="1" x14ac:dyDescent="0.35">
      <c r="A415" t="s">
        <v>782</v>
      </c>
      <c r="B415" t="s">
        <v>789</v>
      </c>
      <c r="C415">
        <v>1750000</v>
      </c>
      <c r="D415">
        <v>1750000</v>
      </c>
      <c r="E415" t="s">
        <v>790</v>
      </c>
      <c r="F415" t="s">
        <v>12</v>
      </c>
      <c r="G415" t="str">
        <f>_xlfn.TEXTJOIN(",",TRUE,_xlfn._xlws.FILTER(GPU_brand[GPU brand], (GPU_brand[GPU brand text]&lt;&gt;"") * ISNUMBER(SEARCH(GPU_brand[GPU brand text], B415)), ""))</f>
        <v>ASUS</v>
      </c>
      <c r="H415" t="str">
        <f>_xlfn.TEXTJOIN(",",TRUE,_xlfn._xlws.FILTER(Chipset_Table[Chipset], (Chipset_Table[Chipset text]&lt;&gt;"") * ISNUMBER(SEARCH(Chipset_Table[Chipset text], B415)), ""))</f>
        <v>GeForce GT 730</v>
      </c>
      <c r="I415" t="str">
        <f>_xlfn.TEXTJOIN(",",TRUE,_xlfn._xlws.FILTER(VRAM_table[Video memory], (VRAM_table[Video memory text]&lt;&gt;"") * ISNUMBER(SEARCH(VRAM_table[Video memory text], B415)), ""))</f>
        <v>2GB</v>
      </c>
    </row>
    <row r="416" spans="1:9" hidden="1" x14ac:dyDescent="0.35">
      <c r="A416" t="s">
        <v>782</v>
      </c>
      <c r="B416" t="s">
        <v>791</v>
      </c>
      <c r="C416">
        <v>5590000</v>
      </c>
      <c r="D416">
        <v>5590000</v>
      </c>
      <c r="E416" t="s">
        <v>792</v>
      </c>
      <c r="F416" t="s">
        <v>12</v>
      </c>
      <c r="G416" t="str">
        <f>_xlfn.TEXTJOIN(",",TRUE,_xlfn._xlws.FILTER(GPU_brand[GPU brand], (GPU_brand[GPU brand text]&lt;&gt;"") * ISNUMBER(SEARCH(GPU_brand[GPU brand text], B416)), ""))</f>
        <v>ASUS</v>
      </c>
      <c r="H416" t="str">
        <f>_xlfn.TEXTJOIN(",",TRUE,_xlfn._xlws.FILTER(Chipset_Table[Chipset], (Chipset_Table[Chipset text]&lt;&gt;"") * ISNUMBER(SEARCH(Chipset_Table[Chipset text], B416)), ""))</f>
        <v>GeForce RTX 3050</v>
      </c>
      <c r="I416" t="s">
        <v>323</v>
      </c>
    </row>
    <row r="417" spans="1:9" hidden="1" x14ac:dyDescent="0.35">
      <c r="A417" t="s">
        <v>782</v>
      </c>
      <c r="B417" t="s">
        <v>793</v>
      </c>
      <c r="C417">
        <v>2190000</v>
      </c>
      <c r="D417">
        <v>2190000</v>
      </c>
      <c r="E417" t="s">
        <v>794</v>
      </c>
      <c r="F417" t="s">
        <v>12</v>
      </c>
      <c r="G417" t="str">
        <f>_xlfn.TEXTJOIN(",",TRUE,_xlfn._xlws.FILTER(GPU_brand[GPU brand], (GPU_brand[GPU brand text]&lt;&gt;"") * ISNUMBER(SEARCH(GPU_brand[GPU brand text], B417)), ""))</f>
        <v>INNO3D</v>
      </c>
      <c r="H417" t="s">
        <v>795</v>
      </c>
      <c r="I417" t="str">
        <f>_xlfn.TEXTJOIN(",",TRUE,_xlfn._xlws.FILTER(VRAM_table[Video memory], (VRAM_table[Video memory text]&lt;&gt;"") * ISNUMBER(SEARCH(VRAM_table[Video memory text], B417)), ""))</f>
        <v>2GB</v>
      </c>
    </row>
    <row r="418" spans="1:9" hidden="1" x14ac:dyDescent="0.35">
      <c r="A418" t="s">
        <v>782</v>
      </c>
      <c r="B418" t="s">
        <v>796</v>
      </c>
      <c r="C418">
        <v>8490000</v>
      </c>
      <c r="D418">
        <v>8490000</v>
      </c>
      <c r="E418" t="s">
        <v>797</v>
      </c>
      <c r="F418" t="s">
        <v>12</v>
      </c>
      <c r="G418" t="str">
        <f>_xlfn.TEXTJOIN(",",TRUE,_xlfn._xlws.FILTER(GPU_brand[GPU brand], (GPU_brand[GPU brand text]&lt;&gt;"") * ISNUMBER(SEARCH(GPU_brand[GPU brand text], B418)), ""))</f>
        <v>Gigabyte</v>
      </c>
      <c r="H418" t="str">
        <f>_xlfn.TEXTJOIN(",",TRUE,_xlfn._xlws.FILTER(Chipset_Table[Chipset], (Chipset_Table[Chipset text]&lt;&gt;"") * ISNUMBER(SEARCH(Chipset_Table[Chipset text], B418)), ""))</f>
        <v>RTX 3060</v>
      </c>
      <c r="I418" t="s">
        <v>23</v>
      </c>
    </row>
    <row r="419" spans="1:9" hidden="1" x14ac:dyDescent="0.35">
      <c r="A419" t="s">
        <v>782</v>
      </c>
      <c r="B419" t="s">
        <v>798</v>
      </c>
      <c r="C419">
        <v>5590000</v>
      </c>
      <c r="D419">
        <v>5590000</v>
      </c>
      <c r="E419" t="s">
        <v>799</v>
      </c>
      <c r="F419" t="s">
        <v>12</v>
      </c>
      <c r="G419" t="str">
        <f>_xlfn.TEXTJOIN(",",TRUE,_xlfn._xlws.FILTER(GPU_brand[GPU brand], (GPU_brand[GPU brand text]&lt;&gt;"") * ISNUMBER(SEARCH(GPU_brand[GPU brand text], B419)), ""))</f>
        <v>Gigabyte</v>
      </c>
      <c r="H419" t="str">
        <f>_xlfn.TEXTJOIN(",",TRUE,_xlfn._xlws.FILTER(Chipset_Table[Chipset], (Chipset_Table[Chipset text]&lt;&gt;"") * ISNUMBER(SEARCH(Chipset_Table[Chipset text], B419)), ""))</f>
        <v>GeForce RTX 3050</v>
      </c>
      <c r="I419" t="s">
        <v>323</v>
      </c>
    </row>
    <row r="420" spans="1:9" hidden="1" x14ac:dyDescent="0.35">
      <c r="A420" t="s">
        <v>782</v>
      </c>
      <c r="B420" t="s">
        <v>800</v>
      </c>
      <c r="C420">
        <v>9590000</v>
      </c>
      <c r="D420">
        <v>9590000</v>
      </c>
      <c r="E420" t="s">
        <v>801</v>
      </c>
      <c r="F420" t="s">
        <v>12</v>
      </c>
      <c r="G420" t="str">
        <f>_xlfn.TEXTJOIN(",",TRUE,_xlfn._xlws.FILTER(GPU_brand[GPU brand], (GPU_brand[GPU brand text]&lt;&gt;"") * ISNUMBER(SEARCH(GPU_brand[GPU brand text], B420)), ""))</f>
        <v>MSI</v>
      </c>
      <c r="H420" t="str">
        <f>_xlfn.TEXTJOIN(",",TRUE,_xlfn._xlws.FILTER(Chipset_Table[Chipset], (Chipset_Table[Chipset text]&lt;&gt;"") * ISNUMBER(SEARCH(Chipset_Table[Chipset text], B420)), ""))</f>
        <v>GeForce RTX 5060</v>
      </c>
      <c r="I420" t="s">
        <v>23</v>
      </c>
    </row>
    <row r="421" spans="1:9" hidden="1" x14ac:dyDescent="0.35">
      <c r="A421" t="s">
        <v>782</v>
      </c>
      <c r="B421" t="s">
        <v>802</v>
      </c>
      <c r="C421">
        <v>9990000</v>
      </c>
      <c r="D421">
        <v>9990000</v>
      </c>
      <c r="E421" t="s">
        <v>803</v>
      </c>
      <c r="F421" t="s">
        <v>12</v>
      </c>
      <c r="G421" t="str">
        <f>_xlfn.TEXTJOIN(",",TRUE,_xlfn._xlws.FILTER(GPU_brand[GPU brand], (GPU_brand[GPU brand text]&lt;&gt;"") * ISNUMBER(SEARCH(GPU_brand[GPU brand text], B421)), ""))</f>
        <v>ASUS</v>
      </c>
      <c r="H421" t="str">
        <f>_xlfn.TEXTJOIN(",",TRUE,_xlfn._xlws.FILTER(Chipset_Table[Chipset], (Chipset_Table[Chipset text]&lt;&gt;"") * ISNUMBER(SEARCH(Chipset_Table[Chipset text], B421)), ""))</f>
        <v>GeForce RTX 5060</v>
      </c>
      <c r="I421" t="s">
        <v>23</v>
      </c>
    </row>
    <row r="422" spans="1:9" hidden="1" x14ac:dyDescent="0.35">
      <c r="A422" t="s">
        <v>782</v>
      </c>
      <c r="B422" t="s">
        <v>804</v>
      </c>
      <c r="C422">
        <v>7190000</v>
      </c>
      <c r="D422">
        <v>7190000</v>
      </c>
      <c r="E422" t="s">
        <v>805</v>
      </c>
      <c r="F422" t="s">
        <v>12</v>
      </c>
      <c r="G422" t="str">
        <f>_xlfn.TEXTJOIN(",",TRUE,_xlfn._xlws.FILTER(GPU_brand[GPU brand], (GPU_brand[GPU brand text]&lt;&gt;"") * ISNUMBER(SEARCH(GPU_brand[GPU brand text], B422)), ""))</f>
        <v>ASUS</v>
      </c>
      <c r="H422" t="str">
        <f>_xlfn.TEXTJOIN(",",TRUE,_xlfn._xlws.FILTER(Chipset_Table[Chipset], (Chipset_Table[Chipset text]&lt;&gt;"") * ISNUMBER(SEARCH(Chipset_Table[Chipset text], B422)), ""))</f>
        <v>RX 7600</v>
      </c>
      <c r="I422" t="s">
        <v>23</v>
      </c>
    </row>
    <row r="423" spans="1:9" hidden="1" x14ac:dyDescent="0.35">
      <c r="A423" t="s">
        <v>782</v>
      </c>
      <c r="B423" t="s">
        <v>806</v>
      </c>
      <c r="C423">
        <v>6490000</v>
      </c>
      <c r="D423">
        <v>6490000</v>
      </c>
      <c r="E423" t="s">
        <v>807</v>
      </c>
      <c r="F423" t="s">
        <v>12</v>
      </c>
      <c r="G423" t="str">
        <f>_xlfn.TEXTJOIN(",",TRUE,_xlfn._xlws.FILTER(GPU_brand[GPU brand], (GPU_brand[GPU brand text]&lt;&gt;"") * ISNUMBER(SEARCH(GPU_brand[GPU brand text], B423)), ""))</f>
        <v>ASUS</v>
      </c>
      <c r="H423" t="str">
        <f>_xlfn.TEXTJOIN(",",TRUE,_xlfn._xlws.FILTER(Chipset_Table[Chipset], (Chipset_Table[Chipset text]&lt;&gt;"") * ISNUMBER(SEARCH(Chipset_Table[Chipset text], B423)), ""))</f>
        <v>GeForce RTX 3050</v>
      </c>
      <c r="I423" t="s">
        <v>23</v>
      </c>
    </row>
    <row r="424" spans="1:9" hidden="1" x14ac:dyDescent="0.35">
      <c r="A424" t="s">
        <v>782</v>
      </c>
      <c r="B424" t="s">
        <v>808</v>
      </c>
      <c r="C424">
        <v>5490000</v>
      </c>
      <c r="D424">
        <v>5490000</v>
      </c>
      <c r="E424" t="s">
        <v>809</v>
      </c>
      <c r="F424" t="s">
        <v>12</v>
      </c>
      <c r="G424" t="str">
        <f>_xlfn.TEXTJOIN(",",TRUE,_xlfn._xlws.FILTER(GPU_brand[GPU brand], (GPU_brand[GPU brand text]&lt;&gt;"") * ISNUMBER(SEARCH(GPU_brand[GPU brand text], B424)), ""))</f>
        <v>ZOTAC</v>
      </c>
      <c r="H424" t="str">
        <f>_xlfn.TEXTJOIN(",",TRUE,_xlfn._xlws.FILTER(Chipset_Table[Chipset], (Chipset_Table[Chipset text]&lt;&gt;"") * ISNUMBER(SEARCH(Chipset_Table[Chipset text], B424)), ""))</f>
        <v>GeForce RTX 3050</v>
      </c>
      <c r="I424" t="s">
        <v>323</v>
      </c>
    </row>
    <row r="425" spans="1:9" hidden="1" x14ac:dyDescent="0.35">
      <c r="A425" t="s">
        <v>782</v>
      </c>
      <c r="B425" t="s">
        <v>810</v>
      </c>
      <c r="C425">
        <v>11390000</v>
      </c>
      <c r="D425">
        <v>11390000</v>
      </c>
      <c r="E425" t="s">
        <v>811</v>
      </c>
      <c r="F425" t="s">
        <v>12</v>
      </c>
      <c r="G425" t="str">
        <f>_xlfn.TEXTJOIN(",",TRUE,_xlfn._xlws.FILTER(GPU_brand[GPU brand], (GPU_brand[GPU brand text]&lt;&gt;"") * ISNUMBER(SEARCH(GPU_brand[GPU brand text], B425)), ""))</f>
        <v>ASUS</v>
      </c>
      <c r="H425" t="s">
        <v>31</v>
      </c>
      <c r="I425" t="s">
        <v>23</v>
      </c>
    </row>
    <row r="426" spans="1:9" hidden="1" x14ac:dyDescent="0.35">
      <c r="A426" t="s">
        <v>782</v>
      </c>
      <c r="B426" t="s">
        <v>812</v>
      </c>
      <c r="C426">
        <v>2490000</v>
      </c>
      <c r="D426">
        <v>2490000</v>
      </c>
      <c r="E426" t="s">
        <v>813</v>
      </c>
      <c r="F426" t="s">
        <v>12</v>
      </c>
      <c r="G426" t="str">
        <f>_xlfn.TEXTJOIN(",",TRUE,_xlfn._xlws.FILTER(GPU_brand[GPU brand], (GPU_brand[GPU brand text]&lt;&gt;"") * ISNUMBER(SEARCH(GPU_brand[GPU brand text], B426)), ""))</f>
        <v>ASUS</v>
      </c>
      <c r="H426" t="str">
        <f>_xlfn.TEXTJOIN(",",TRUE,_xlfn._xlws.FILTER(Chipset_Table[Chipset], (Chipset_Table[Chipset text]&lt;&gt;"") * ISNUMBER(SEARCH(Chipset_Table[Chipset text], B426)), ""))</f>
        <v>GT 1030</v>
      </c>
      <c r="I426" t="str">
        <f>_xlfn.TEXTJOIN(",",TRUE,_xlfn._xlws.FILTER(VRAM_table[Video memory], (VRAM_table[Video memory text]&lt;&gt;"") * ISNUMBER(SEARCH(VRAM_table[Video memory text], B426)), ""))</f>
        <v>2GB</v>
      </c>
    </row>
    <row r="427" spans="1:9" hidden="1" x14ac:dyDescent="0.35">
      <c r="A427" t="s">
        <v>782</v>
      </c>
      <c r="B427" t="s">
        <v>814</v>
      </c>
      <c r="C427">
        <v>10790000</v>
      </c>
      <c r="D427">
        <v>10790000</v>
      </c>
      <c r="E427" t="s">
        <v>815</v>
      </c>
      <c r="F427" t="s">
        <v>12</v>
      </c>
      <c r="G427" t="str">
        <f>_xlfn.TEXTJOIN(",",TRUE,_xlfn._xlws.FILTER(GPU_brand[GPU brand], (GPU_brand[GPU brand text]&lt;&gt;"") * ISNUMBER(SEARCH(GPU_brand[GPU brand text], B427)), ""))</f>
        <v>MSI</v>
      </c>
      <c r="H427" t="str">
        <f>_xlfn.TEXTJOIN(",",TRUE,_xlfn._xlws.FILTER(Chipset_Table[Chipset], (Chipset_Table[Chipset text]&lt;&gt;"") * ISNUMBER(SEARCH(Chipset_Table[Chipset text], B427)), ""))</f>
        <v>GeForce RTX 5060</v>
      </c>
      <c r="I427" t="s">
        <v>23</v>
      </c>
    </row>
    <row r="428" spans="1:9" hidden="1" x14ac:dyDescent="0.35">
      <c r="A428" t="s">
        <v>782</v>
      </c>
      <c r="B428" t="s">
        <v>816</v>
      </c>
      <c r="C428">
        <v>18990000</v>
      </c>
      <c r="D428">
        <v>18990000</v>
      </c>
      <c r="E428" t="s">
        <v>817</v>
      </c>
      <c r="F428" t="s">
        <v>12</v>
      </c>
      <c r="G428" t="str">
        <f>_xlfn.TEXTJOIN(",",TRUE,_xlfn._xlws.FILTER(GPU_brand[GPU brand], (GPU_brand[GPU brand text]&lt;&gt;"") * ISNUMBER(SEARCH(GPU_brand[GPU brand text], B428)), ""))</f>
        <v>Colorful</v>
      </c>
      <c r="H428" t="s">
        <v>13</v>
      </c>
      <c r="I428" t="s">
        <v>45</v>
      </c>
    </row>
    <row r="429" spans="1:9" hidden="1" x14ac:dyDescent="0.35">
      <c r="A429" t="s">
        <v>782</v>
      </c>
      <c r="B429" t="s">
        <v>818</v>
      </c>
      <c r="C429">
        <v>9290000</v>
      </c>
      <c r="D429">
        <v>9290000</v>
      </c>
      <c r="E429" t="s">
        <v>819</v>
      </c>
      <c r="F429" t="s">
        <v>12</v>
      </c>
      <c r="G429" t="str">
        <f>_xlfn.TEXTJOIN(",",TRUE,_xlfn._xlws.FILTER(GPU_brand[GPU brand], (GPU_brand[GPU brand text]&lt;&gt;"") * ISNUMBER(SEARCH(GPU_brand[GPU brand text], B429)), ""))</f>
        <v>Palit</v>
      </c>
      <c r="H429" t="str">
        <f>_xlfn.TEXTJOIN(",",TRUE,_xlfn._xlws.FILTER(Chipset_Table[Chipset], (Chipset_Table[Chipset text]&lt;&gt;"") * ISNUMBER(SEARCH(Chipset_Table[Chipset text], B429)), ""))</f>
        <v>GeForce RTX 5060</v>
      </c>
      <c r="I429" t="s">
        <v>23</v>
      </c>
    </row>
    <row r="430" spans="1:9" hidden="1" x14ac:dyDescent="0.35">
      <c r="A430" t="s">
        <v>782</v>
      </c>
      <c r="B430" t="s">
        <v>820</v>
      </c>
      <c r="C430">
        <v>5690000</v>
      </c>
      <c r="D430">
        <v>5690000</v>
      </c>
      <c r="E430" t="s">
        <v>821</v>
      </c>
      <c r="F430" t="s">
        <v>12</v>
      </c>
      <c r="G430" t="str">
        <f>_xlfn.TEXTJOIN(",",TRUE,_xlfn._xlws.FILTER(GPU_brand[GPU brand], (GPU_brand[GPU brand text]&lt;&gt;"") * ISNUMBER(SEARCH(GPU_brand[GPU brand text], B430)), ""))</f>
        <v>ASUS</v>
      </c>
      <c r="H430" t="str">
        <f>_xlfn.TEXTJOIN(",",TRUE,_xlfn._xlws.FILTER(Chipset_Table[Chipset], (Chipset_Table[Chipset text]&lt;&gt;"") * ISNUMBER(SEARCH(Chipset_Table[Chipset text], B430)), ""))</f>
        <v>GeForce RTX 3050</v>
      </c>
      <c r="I430" t="s">
        <v>323</v>
      </c>
    </row>
    <row r="431" spans="1:9" hidden="1" x14ac:dyDescent="0.35">
      <c r="A431" t="s">
        <v>782</v>
      </c>
      <c r="B431" t="s">
        <v>822</v>
      </c>
      <c r="C431">
        <v>12790000</v>
      </c>
      <c r="D431">
        <v>12790000</v>
      </c>
      <c r="E431" t="s">
        <v>823</v>
      </c>
      <c r="F431" t="s">
        <v>12</v>
      </c>
      <c r="G431" t="str">
        <f>_xlfn.TEXTJOIN(",",TRUE,_xlfn._xlws.FILTER(GPU_brand[GPU brand], (GPU_brand[GPU brand text]&lt;&gt;"") * ISNUMBER(SEARCH(GPU_brand[GPU brand text], B431)), ""))</f>
        <v>ASRock</v>
      </c>
      <c r="H431" t="str">
        <f>_xlfn.TEXTJOIN(",",TRUE,_xlfn._xlws.FILTER(Chipset_Table[Chipset], (Chipset_Table[Chipset text]&lt;&gt;"") * ISNUMBER(SEARCH(Chipset_Table[Chipset text], B431)), ""))</f>
        <v>RX 9060 XT</v>
      </c>
      <c r="I431" t="s">
        <v>17</v>
      </c>
    </row>
    <row r="432" spans="1:9" hidden="1" x14ac:dyDescent="0.35">
      <c r="A432" t="s">
        <v>782</v>
      </c>
      <c r="B432" t="s">
        <v>824</v>
      </c>
      <c r="C432">
        <v>8690000</v>
      </c>
      <c r="D432">
        <v>8690000</v>
      </c>
      <c r="E432" t="s">
        <v>825</v>
      </c>
      <c r="F432" t="s">
        <v>12</v>
      </c>
      <c r="G432" t="str">
        <f>_xlfn.TEXTJOIN(",",TRUE,_xlfn._xlws.FILTER(GPU_brand[GPU brand], (GPU_brand[GPU brand text]&lt;&gt;"") * ISNUMBER(SEARCH(GPU_brand[GPU brand text], B432)), ""))</f>
        <v>ASUS</v>
      </c>
      <c r="H432" t="str">
        <f>_xlfn.TEXTJOIN(",",TRUE,_xlfn._xlws.FILTER(Chipset_Table[Chipset], (Chipset_Table[Chipset text]&lt;&gt;"") * ISNUMBER(SEARCH(Chipset_Table[Chipset text], B432)), ""))</f>
        <v>RTX 5050</v>
      </c>
      <c r="I432" t="s">
        <v>23</v>
      </c>
    </row>
    <row r="433" spans="1:9" hidden="1" x14ac:dyDescent="0.35">
      <c r="A433" t="s">
        <v>782</v>
      </c>
      <c r="B433" t="s">
        <v>826</v>
      </c>
      <c r="C433">
        <v>7290000</v>
      </c>
      <c r="D433">
        <v>7290000</v>
      </c>
      <c r="E433" t="s">
        <v>827</v>
      </c>
      <c r="F433" t="s">
        <v>12</v>
      </c>
      <c r="G433" t="str">
        <f>_xlfn.TEXTJOIN(",",TRUE,_xlfn._xlws.FILTER(GPU_brand[GPU brand], (GPU_brand[GPU brand text]&lt;&gt;"") * ISNUMBER(SEARCH(GPU_brand[GPU brand text], B433)), ""))</f>
        <v>Gigabyte</v>
      </c>
      <c r="H433" t="str">
        <f>_xlfn.TEXTJOIN(",",TRUE,_xlfn._xlws.FILTER(Chipset_Table[Chipset], (Chipset_Table[Chipset text]&lt;&gt;"") * ISNUMBER(SEARCH(Chipset_Table[Chipset text], B433)), ""))</f>
        <v>RX 7600</v>
      </c>
      <c r="I433" t="s">
        <v>23</v>
      </c>
    </row>
    <row r="434" spans="1:9" hidden="1" x14ac:dyDescent="0.35">
      <c r="A434" t="s">
        <v>782</v>
      </c>
      <c r="B434" t="s">
        <v>828</v>
      </c>
      <c r="C434">
        <v>2190000</v>
      </c>
      <c r="D434">
        <v>2190000</v>
      </c>
      <c r="E434" s="1" t="s">
        <v>829</v>
      </c>
      <c r="F434" t="s">
        <v>12</v>
      </c>
      <c r="G434" t="str">
        <f>_xlfn.TEXTJOIN(",",TRUE,_xlfn._xlws.FILTER(GPU_brand[GPU brand], (GPU_brand[GPU brand text]&lt;&gt;"") * ISNUMBER(SEARCH(GPU_brand[GPU brand text], B434)), ""))</f>
        <v>ARK</v>
      </c>
      <c r="H434" t="str">
        <f>_xlfn.TEXTJOIN(",",TRUE,_xlfn._xlws.FILTER(Chipset_Table[Chipset], (Chipset_Table[Chipset text]&lt;&gt;"") * ISNUMBER(SEARCH(Chipset_Table[Chipset text], B434)), ""))</f>
        <v>RX 550</v>
      </c>
      <c r="I434" t="s">
        <v>332</v>
      </c>
    </row>
    <row r="435" spans="1:9" hidden="1" x14ac:dyDescent="0.35">
      <c r="A435" t="s">
        <v>782</v>
      </c>
      <c r="B435" t="s">
        <v>830</v>
      </c>
      <c r="C435">
        <v>10890000</v>
      </c>
      <c r="D435">
        <v>10890000</v>
      </c>
      <c r="E435" t="s">
        <v>831</v>
      </c>
      <c r="F435" t="s">
        <v>12</v>
      </c>
      <c r="G435" t="str">
        <f>_xlfn.TEXTJOIN(",",TRUE,_xlfn._xlws.FILTER(GPU_brand[GPU brand], (GPU_brand[GPU brand text]&lt;&gt;"") * ISNUMBER(SEARCH(GPU_brand[GPU brand text], B435)), ""))</f>
        <v>Colorful</v>
      </c>
      <c r="H435" t="str">
        <f>_xlfn.TEXTJOIN(",",TRUE,_xlfn._xlws.FILTER(Chipset_Table[Chipset], (Chipset_Table[Chipset text]&lt;&gt;"") * ISNUMBER(SEARCH(Chipset_Table[Chipset text], B435)), ""))</f>
        <v>GeForce RTX 5060</v>
      </c>
      <c r="I435" t="s">
        <v>23</v>
      </c>
    </row>
    <row r="436" spans="1:9" hidden="1" x14ac:dyDescent="0.35">
      <c r="A436" t="s">
        <v>782</v>
      </c>
      <c r="B436" t="s">
        <v>832</v>
      </c>
      <c r="C436">
        <v>4190000</v>
      </c>
      <c r="D436">
        <v>4190000</v>
      </c>
      <c r="E436" t="s">
        <v>833</v>
      </c>
      <c r="F436" t="s">
        <v>12</v>
      </c>
      <c r="G436" t="str">
        <f>_xlfn.TEXTJOIN(",",TRUE,_xlfn._xlws.FILTER(GPU_brand[GPU brand], (GPU_brand[GPU brand text]&lt;&gt;"") * ISNUMBER(SEARCH(GPU_brand[GPU brand text], B436)), ""))</f>
        <v>Unika</v>
      </c>
      <c r="H436" t="s">
        <v>348</v>
      </c>
      <c r="I436" t="s">
        <v>332</v>
      </c>
    </row>
    <row r="437" spans="1:9" hidden="1" x14ac:dyDescent="0.35">
      <c r="A437" t="s">
        <v>782</v>
      </c>
      <c r="B437" t="s">
        <v>834</v>
      </c>
      <c r="C437">
        <v>7590000</v>
      </c>
      <c r="D437">
        <v>7590000</v>
      </c>
      <c r="E437" t="s">
        <v>835</v>
      </c>
      <c r="F437" t="s">
        <v>12</v>
      </c>
      <c r="G437" t="str">
        <f>_xlfn.TEXTJOIN(",",TRUE,_xlfn._xlws.FILTER(GPU_brand[GPU brand], (GPU_brand[GPU brand text]&lt;&gt;"") * ISNUMBER(SEARCH(GPU_brand[GPU brand text], B437)), ""))</f>
        <v>ZOTAC</v>
      </c>
      <c r="H437" t="s">
        <v>26</v>
      </c>
      <c r="I437" t="s">
        <v>23</v>
      </c>
    </row>
    <row r="438" spans="1:9" hidden="1" x14ac:dyDescent="0.35">
      <c r="A438" t="s">
        <v>782</v>
      </c>
      <c r="B438" t="s">
        <v>836</v>
      </c>
      <c r="C438">
        <v>1990000</v>
      </c>
      <c r="D438">
        <v>1990000</v>
      </c>
      <c r="E438" t="s">
        <v>837</v>
      </c>
      <c r="F438" t="s">
        <v>12</v>
      </c>
      <c r="G438" t="str">
        <f>_xlfn.TEXTJOIN(",",TRUE,_xlfn._xlws.FILTER(GPU_brand[GPU brand], (GPU_brand[GPU brand text]&lt;&gt;"") * ISNUMBER(SEARCH(GPU_brand[GPU brand text], B438)), ""))</f>
        <v>Unika</v>
      </c>
      <c r="H438" t="s">
        <v>795</v>
      </c>
      <c r="I438" t="s">
        <v>332</v>
      </c>
    </row>
    <row r="439" spans="1:9" hidden="1" x14ac:dyDescent="0.35">
      <c r="A439" t="s">
        <v>782</v>
      </c>
      <c r="B439" t="s">
        <v>838</v>
      </c>
      <c r="C439">
        <v>18990000</v>
      </c>
      <c r="D439">
        <v>18990000</v>
      </c>
      <c r="E439" t="s">
        <v>839</v>
      </c>
      <c r="F439" t="s">
        <v>12</v>
      </c>
      <c r="G439" t="str">
        <f>_xlfn.TEXTJOIN(",",TRUE,_xlfn._xlws.FILTER(GPU_brand[GPU brand], (GPU_brand[GPU brand text]&lt;&gt;"") * ISNUMBER(SEARCH(GPU_brand[GPU brand text], B439)), ""))</f>
        <v>Gigabyte</v>
      </c>
      <c r="H439" t="str">
        <f>_xlfn.TEXTJOIN(",",TRUE,_xlfn._xlws.FILTER(Chipset_Table[Chipset], (Chipset_Table[Chipset text]&lt;&gt;"") * ISNUMBER(SEARCH(Chipset_Table[Chipset text], B439)), ""))</f>
        <v>RTX 5070</v>
      </c>
      <c r="I439" t="s">
        <v>45</v>
      </c>
    </row>
    <row r="440" spans="1:9" hidden="1" x14ac:dyDescent="0.35">
      <c r="A440" t="s">
        <v>782</v>
      </c>
      <c r="B440" t="s">
        <v>840</v>
      </c>
      <c r="C440">
        <v>5150000</v>
      </c>
      <c r="D440">
        <v>5150000</v>
      </c>
      <c r="E440" t="s">
        <v>841</v>
      </c>
      <c r="F440" t="s">
        <v>12</v>
      </c>
      <c r="G440" t="str">
        <f>_xlfn.TEXTJOIN(",",TRUE,_xlfn._xlws.FILTER(GPU_brand[GPU brand], (GPU_brand[GPU brand text]&lt;&gt;"") * ISNUMBER(SEARCH(GPU_brand[GPU brand text], B440)), ""))</f>
        <v>Unika</v>
      </c>
      <c r="H440" t="s">
        <v>491</v>
      </c>
      <c r="I440" t="s">
        <v>323</v>
      </c>
    </row>
    <row r="441" spans="1:9" hidden="1" x14ac:dyDescent="0.35">
      <c r="A441" t="s">
        <v>782</v>
      </c>
      <c r="B441" t="s">
        <v>842</v>
      </c>
      <c r="C441">
        <v>27290000</v>
      </c>
      <c r="D441">
        <v>27290000</v>
      </c>
      <c r="E441" t="s">
        <v>843</v>
      </c>
      <c r="F441" t="s">
        <v>12</v>
      </c>
      <c r="G441" t="str">
        <f>_xlfn.TEXTJOIN(",",TRUE,_xlfn._xlws.FILTER(GPU_brand[GPU brand], (GPU_brand[GPU brand text]&lt;&gt;"") * ISNUMBER(SEARCH(GPU_brand[GPU brand text], B441)), ""))</f>
        <v>Colorful</v>
      </c>
      <c r="H441" t="s">
        <v>16</v>
      </c>
      <c r="I441" t="s">
        <v>17</v>
      </c>
    </row>
    <row r="442" spans="1:9" hidden="1" x14ac:dyDescent="0.35">
      <c r="A442" t="s">
        <v>782</v>
      </c>
      <c r="B442" t="s">
        <v>844</v>
      </c>
      <c r="C442">
        <v>16290000</v>
      </c>
      <c r="D442">
        <v>16290000</v>
      </c>
      <c r="E442" t="s">
        <v>845</v>
      </c>
      <c r="F442" t="s">
        <v>12</v>
      </c>
      <c r="G442" t="str">
        <f>_xlfn.TEXTJOIN(",",TRUE,_xlfn._xlws.FILTER(GPU_brand[GPU brand], (GPU_brand[GPU brand text]&lt;&gt;"") * ISNUMBER(SEARCH(GPU_brand[GPU brand text], B442)), ""))</f>
        <v>ZOTAC</v>
      </c>
      <c r="H442" t="s">
        <v>31</v>
      </c>
      <c r="I442" t="s">
        <v>17</v>
      </c>
    </row>
    <row r="443" spans="1:9" hidden="1" x14ac:dyDescent="0.35">
      <c r="A443" t="s">
        <v>782</v>
      </c>
      <c r="B443" t="s">
        <v>846</v>
      </c>
      <c r="C443">
        <v>5690000</v>
      </c>
      <c r="D443">
        <v>5690000</v>
      </c>
      <c r="E443" t="s">
        <v>847</v>
      </c>
      <c r="F443" t="s">
        <v>12</v>
      </c>
      <c r="G443" t="str">
        <f>_xlfn.TEXTJOIN(",",TRUE,_xlfn._xlws.FILTER(GPU_brand[GPU brand], (GPU_brand[GPU brand text]&lt;&gt;"") * ISNUMBER(SEARCH(GPU_brand[GPU brand text], B443)), ""))</f>
        <v>MSI</v>
      </c>
      <c r="H443" t="str">
        <f>_xlfn.TEXTJOIN(",",TRUE,_xlfn._xlws.FILTER(Chipset_Table[Chipset], (Chipset_Table[Chipset text]&lt;&gt;"") * ISNUMBER(SEARCH(Chipset_Table[Chipset text], B443)), ""))</f>
        <v>GeForce RTX 3050</v>
      </c>
      <c r="I443" t="s">
        <v>323</v>
      </c>
    </row>
    <row r="444" spans="1:9" hidden="1" x14ac:dyDescent="0.35">
      <c r="A444" t="s">
        <v>782</v>
      </c>
      <c r="B444" t="s">
        <v>848</v>
      </c>
      <c r="C444">
        <v>9490000</v>
      </c>
      <c r="D444">
        <v>9490000</v>
      </c>
      <c r="E444" t="s">
        <v>849</v>
      </c>
      <c r="F444" t="s">
        <v>12</v>
      </c>
      <c r="G444" t="str">
        <f>_xlfn.TEXTJOIN(",",TRUE,_xlfn._xlws.FILTER(GPU_brand[GPU brand], (GPU_brand[GPU brand text]&lt;&gt;"") * ISNUMBER(SEARCH(GPU_brand[GPU brand text], B444)), ""))</f>
        <v>Gigabyte</v>
      </c>
      <c r="H444" t="str">
        <f>_xlfn.TEXTJOIN(",",TRUE,_xlfn._xlws.FILTER(Chipset_Table[Chipset], (Chipset_Table[Chipset text]&lt;&gt;"") * ISNUMBER(SEARCH(Chipset_Table[Chipset text], B444)), ""))</f>
        <v>GeForce RTX 5060</v>
      </c>
      <c r="I444" t="s">
        <v>23</v>
      </c>
    </row>
    <row r="445" spans="1:9" hidden="1" x14ac:dyDescent="0.35">
      <c r="A445" t="s">
        <v>782</v>
      </c>
      <c r="B445" t="s">
        <v>850</v>
      </c>
      <c r="C445">
        <v>17490000</v>
      </c>
      <c r="D445">
        <v>17490000</v>
      </c>
      <c r="E445" t="s">
        <v>851</v>
      </c>
      <c r="F445" t="s">
        <v>12</v>
      </c>
      <c r="G445" t="str">
        <f>_xlfn.TEXTJOIN(",",TRUE,_xlfn._xlws.FILTER(GPU_brand[GPU brand], (GPU_brand[GPU brand text]&lt;&gt;"") * ISNUMBER(SEARCH(GPU_brand[GPU brand text], B445)), ""))</f>
        <v>ASUS</v>
      </c>
      <c r="H445" t="s">
        <v>31</v>
      </c>
      <c r="I445" t="s">
        <v>17</v>
      </c>
    </row>
    <row r="446" spans="1:9" hidden="1" x14ac:dyDescent="0.35">
      <c r="A446" t="s">
        <v>782</v>
      </c>
      <c r="B446" t="s">
        <v>852</v>
      </c>
      <c r="C446">
        <v>9590000</v>
      </c>
      <c r="D446">
        <v>9590000</v>
      </c>
      <c r="E446" t="s">
        <v>853</v>
      </c>
      <c r="F446" t="s">
        <v>12</v>
      </c>
      <c r="G446" t="str">
        <f>_xlfn.TEXTJOIN(",",TRUE,_xlfn._xlws.FILTER(GPU_brand[GPU brand], (GPU_brand[GPU brand text]&lt;&gt;"") * ISNUMBER(SEARCH(GPU_brand[GPU brand text], B446)), ""))</f>
        <v>Colorful</v>
      </c>
      <c r="H446" t="str">
        <f>_xlfn.TEXTJOIN(",",TRUE,_xlfn._xlws.FILTER(Chipset_Table[Chipset], (Chipset_Table[Chipset text]&lt;&gt;"") * ISNUMBER(SEARCH(Chipset_Table[Chipset text], B446)), ""))</f>
        <v>GeForce RTX 5060</v>
      </c>
      <c r="I446" t="s">
        <v>23</v>
      </c>
    </row>
    <row r="447" spans="1:9" hidden="1" x14ac:dyDescent="0.35">
      <c r="A447" t="s">
        <v>782</v>
      </c>
      <c r="B447" t="s">
        <v>854</v>
      </c>
      <c r="C447">
        <v>2350000</v>
      </c>
      <c r="D447">
        <v>2350000</v>
      </c>
      <c r="E447" t="s">
        <v>855</v>
      </c>
      <c r="F447" t="s">
        <v>12</v>
      </c>
      <c r="G447" t="str">
        <f>_xlfn.TEXTJOIN(",",TRUE,_xlfn._xlws.FILTER(GPU_brand[GPU brand], (GPU_brand[GPU brand text]&lt;&gt;"") * ISNUMBER(SEARCH(GPU_brand[GPU brand text], B447)), ""))</f>
        <v>T-WOLF</v>
      </c>
      <c r="H447" t="str">
        <f>_xlfn.TEXTJOIN(",",TRUE,_xlfn._xlws.FILTER(Chipset_Table[Chipset], (Chipset_Table[Chipset text]&lt;&gt;"") * ISNUMBER(SEARCH(Chipset_Table[Chipset text], B447)), ""))</f>
        <v>RX 560</v>
      </c>
      <c r="I447" t="s">
        <v>332</v>
      </c>
    </row>
    <row r="448" spans="1:9" hidden="1" x14ac:dyDescent="0.35">
      <c r="A448" t="s">
        <v>782</v>
      </c>
      <c r="B448" t="s">
        <v>856</v>
      </c>
      <c r="C448">
        <v>11290000</v>
      </c>
      <c r="D448">
        <v>11290000</v>
      </c>
      <c r="E448" t="s">
        <v>857</v>
      </c>
      <c r="F448" t="s">
        <v>12</v>
      </c>
      <c r="G448" t="str">
        <f>_xlfn.TEXTJOIN(",",TRUE,_xlfn._xlws.FILTER(GPU_brand[GPU brand], (GPU_brand[GPU brand text]&lt;&gt;"") * ISNUMBER(SEARCH(GPU_brand[GPU brand text], B448)), ""))</f>
        <v>MSI</v>
      </c>
      <c r="H448" t="s">
        <v>31</v>
      </c>
      <c r="I448" t="s">
        <v>23</v>
      </c>
    </row>
    <row r="449" spans="1:9" hidden="1" x14ac:dyDescent="0.35">
      <c r="A449" t="s">
        <v>782</v>
      </c>
      <c r="B449" t="s">
        <v>858</v>
      </c>
      <c r="C449">
        <v>12990000</v>
      </c>
      <c r="D449">
        <v>12990000</v>
      </c>
      <c r="E449" t="s">
        <v>859</v>
      </c>
      <c r="F449" t="s">
        <v>12</v>
      </c>
      <c r="G449" t="str">
        <f>_xlfn.TEXTJOIN(",",TRUE,_xlfn._xlws.FILTER(GPU_brand[GPU brand], (GPU_brand[GPU brand text]&lt;&gt;"") * ISNUMBER(SEARCH(GPU_brand[GPU brand text], B449)), ""))</f>
        <v>Gigabyte</v>
      </c>
      <c r="H449" t="str">
        <f>_xlfn.TEXTJOIN(",",TRUE,_xlfn._xlws.FILTER(Chipset_Table[Chipset], (Chipset_Table[Chipset text]&lt;&gt;"") * ISNUMBER(SEARCH(Chipset_Table[Chipset text], B449)), ""))</f>
        <v>RX 9060 XT</v>
      </c>
      <c r="I449" t="s">
        <v>17</v>
      </c>
    </row>
    <row r="450" spans="1:9" hidden="1" x14ac:dyDescent="0.35">
      <c r="A450" t="s">
        <v>782</v>
      </c>
      <c r="B450" t="s">
        <v>860</v>
      </c>
      <c r="C450">
        <v>6790000</v>
      </c>
      <c r="D450">
        <v>6790000</v>
      </c>
      <c r="E450" t="s">
        <v>861</v>
      </c>
      <c r="F450" t="s">
        <v>12</v>
      </c>
      <c r="G450" t="str">
        <f>_xlfn.TEXTJOIN(",",TRUE,_xlfn._xlws.FILTER(GPU_brand[GPU brand], (GPU_brand[GPU brand text]&lt;&gt;"") * ISNUMBER(SEARCH(GPU_brand[GPU brand text], B450)), ""))</f>
        <v>Unika</v>
      </c>
      <c r="H450" t="str">
        <f>_xlfn.TEXTJOIN(",",TRUE,_xlfn._xlws.FILTER(Chipset_Table[Chipset], (Chipset_Table[Chipset text]&lt;&gt;"") * ISNUMBER(SEARCH(Chipset_Table[Chipset text], B450)), ""))</f>
        <v>RX 7600</v>
      </c>
      <c r="I450" t="s">
        <v>23</v>
      </c>
    </row>
    <row r="451" spans="1:9" hidden="1" x14ac:dyDescent="0.35">
      <c r="A451" t="s">
        <v>782</v>
      </c>
      <c r="B451" t="s">
        <v>862</v>
      </c>
      <c r="C451">
        <v>11290000</v>
      </c>
      <c r="D451">
        <v>11290000</v>
      </c>
      <c r="E451" t="s">
        <v>863</v>
      </c>
      <c r="F451" t="s">
        <v>12</v>
      </c>
      <c r="G451" t="str">
        <f>_xlfn.TEXTJOIN(",",TRUE,_xlfn._xlws.FILTER(GPU_brand[GPU brand], (GPU_brand[GPU brand text]&lt;&gt;"") * ISNUMBER(SEARCH(GPU_brand[GPU brand text], B451)), ""))</f>
        <v>Palit</v>
      </c>
      <c r="H451" t="s">
        <v>31</v>
      </c>
      <c r="I451" t="s">
        <v>23</v>
      </c>
    </row>
    <row r="452" spans="1:9" hidden="1" x14ac:dyDescent="0.35">
      <c r="A452" t="s">
        <v>782</v>
      </c>
      <c r="B452" t="s">
        <v>864</v>
      </c>
      <c r="C452">
        <v>13290000</v>
      </c>
      <c r="D452">
        <v>13290000</v>
      </c>
      <c r="E452" t="s">
        <v>865</v>
      </c>
      <c r="F452" t="s">
        <v>12</v>
      </c>
      <c r="G452" t="str">
        <f>_xlfn.TEXTJOIN(",",TRUE,_xlfn._xlws.FILTER(GPU_brand[GPU brand], (GPU_brand[GPU brand text]&lt;&gt;"") * ISNUMBER(SEARCH(GPU_brand[GPU brand text], B452)), ""))</f>
        <v>ASUS</v>
      </c>
      <c r="H452" t="str">
        <f>_xlfn.TEXTJOIN(",",TRUE,_xlfn._xlws.FILTER(Chipset_Table[Chipset], (Chipset_Table[Chipset text]&lt;&gt;"") * ISNUMBER(SEARCH(Chipset_Table[Chipset text], B452)), ""))</f>
        <v>RX 9060XT</v>
      </c>
      <c r="I452" t="s">
        <v>17</v>
      </c>
    </row>
    <row r="453" spans="1:9" hidden="1" x14ac:dyDescent="0.35">
      <c r="A453" t="s">
        <v>782</v>
      </c>
      <c r="B453" t="s">
        <v>866</v>
      </c>
      <c r="C453">
        <v>9990000</v>
      </c>
      <c r="D453">
        <v>9990000</v>
      </c>
      <c r="E453" t="s">
        <v>867</v>
      </c>
      <c r="F453" t="s">
        <v>12</v>
      </c>
      <c r="G453" t="str">
        <f>_xlfn.TEXTJOIN(",",TRUE,_xlfn._xlws.FILTER(GPU_brand[GPU brand], (GPU_brand[GPU brand text]&lt;&gt;"") * ISNUMBER(SEARCH(GPU_brand[GPU brand text], B453)), ""))</f>
        <v>Gigabyte</v>
      </c>
      <c r="H453" t="str">
        <f>_xlfn.TEXTJOIN(",",TRUE,_xlfn._xlws.FILTER(Chipset_Table[Chipset], (Chipset_Table[Chipset text]&lt;&gt;"") * ISNUMBER(SEARCH(Chipset_Table[Chipset text], B453)), ""))</f>
        <v>RX 9060 XT</v>
      </c>
      <c r="I453" t="s">
        <v>23</v>
      </c>
    </row>
    <row r="454" spans="1:9" hidden="1" x14ac:dyDescent="0.35">
      <c r="A454" t="s">
        <v>782</v>
      </c>
      <c r="B454" t="s">
        <v>868</v>
      </c>
      <c r="C454">
        <v>27190000</v>
      </c>
      <c r="D454">
        <v>27190000</v>
      </c>
      <c r="E454" t="s">
        <v>869</v>
      </c>
      <c r="F454" t="s">
        <v>12</v>
      </c>
      <c r="G454" t="str">
        <f>_xlfn.TEXTJOIN(",",TRUE,_xlfn._xlws.FILTER(GPU_brand[GPU brand], (GPU_brand[GPU brand text]&lt;&gt;"") * ISNUMBER(SEARCH(GPU_brand[GPU brand text], B454)), ""))</f>
        <v>Palit</v>
      </c>
      <c r="H454" t="s">
        <v>16</v>
      </c>
      <c r="I454" t="s">
        <v>17</v>
      </c>
    </row>
    <row r="455" spans="1:9" hidden="1" x14ac:dyDescent="0.35">
      <c r="A455" t="s">
        <v>782</v>
      </c>
      <c r="B455" t="s">
        <v>870</v>
      </c>
      <c r="C455">
        <v>9690000</v>
      </c>
      <c r="D455">
        <v>9690000</v>
      </c>
      <c r="E455" t="s">
        <v>871</v>
      </c>
      <c r="F455" t="s">
        <v>12</v>
      </c>
      <c r="G455" t="str">
        <f>_xlfn.TEXTJOIN(",",TRUE,_xlfn._xlws.FILTER(GPU_brand[GPU brand], (GPU_brand[GPU brand text]&lt;&gt;"") * ISNUMBER(SEARCH(GPU_brand[GPU brand text], B455)), ""))</f>
        <v>Gigabyte</v>
      </c>
      <c r="H455" t="str">
        <f>_xlfn.TEXTJOIN(",",TRUE,_xlfn._xlws.FILTER(Chipset_Table[Chipset], (Chipset_Table[Chipset text]&lt;&gt;"") * ISNUMBER(SEARCH(Chipset_Table[Chipset text], B455)), ""))</f>
        <v>GeForce RTX 5060</v>
      </c>
      <c r="I455" t="s">
        <v>23</v>
      </c>
    </row>
    <row r="456" spans="1:9" hidden="1" x14ac:dyDescent="0.35">
      <c r="A456" t="s">
        <v>782</v>
      </c>
      <c r="B456" t="s">
        <v>872</v>
      </c>
      <c r="C456">
        <v>19290000</v>
      </c>
      <c r="D456">
        <v>19290000</v>
      </c>
      <c r="E456" t="s">
        <v>873</v>
      </c>
      <c r="F456" t="s">
        <v>12</v>
      </c>
      <c r="G456" t="str">
        <f>_xlfn.TEXTJOIN(",",TRUE,_xlfn._xlws.FILTER(GPU_brand[GPU brand], (GPU_brand[GPU brand text]&lt;&gt;"") * ISNUMBER(SEARCH(GPU_brand[GPU brand text], B456)), ""))</f>
        <v>Palit</v>
      </c>
      <c r="H456" t="s">
        <v>13</v>
      </c>
      <c r="I456" t="s">
        <v>45</v>
      </c>
    </row>
    <row r="457" spans="1:9" hidden="1" x14ac:dyDescent="0.35">
      <c r="A457" t="s">
        <v>782</v>
      </c>
      <c r="B457" t="s">
        <v>874</v>
      </c>
      <c r="C457">
        <v>7590000</v>
      </c>
      <c r="D457">
        <v>7590000</v>
      </c>
      <c r="E457" t="s">
        <v>875</v>
      </c>
      <c r="F457" t="s">
        <v>12</v>
      </c>
      <c r="G457" t="str">
        <f>_xlfn.TEXTJOIN(",",TRUE,_xlfn._xlws.FILTER(GPU_brand[GPU brand], (GPU_brand[GPU brand text]&lt;&gt;"") * ISNUMBER(SEARCH(GPU_brand[GPU brand text], B457)), ""))</f>
        <v>MSI</v>
      </c>
      <c r="H457" t="str">
        <f>_xlfn.TEXTJOIN(",",TRUE,_xlfn._xlws.FILTER(Chipset_Table[Chipset], (Chipset_Table[Chipset text]&lt;&gt;"") * ISNUMBER(SEARCH(Chipset_Table[Chipset text], B457)), ""))</f>
        <v>GeForce RTX 3050</v>
      </c>
      <c r="I457" t="s">
        <v>23</v>
      </c>
    </row>
    <row r="458" spans="1:9" hidden="1" x14ac:dyDescent="0.35">
      <c r="A458" t="s">
        <v>782</v>
      </c>
      <c r="B458" t="s">
        <v>876</v>
      </c>
      <c r="C458">
        <v>20490000</v>
      </c>
      <c r="D458">
        <v>20490000</v>
      </c>
      <c r="E458" t="s">
        <v>877</v>
      </c>
      <c r="F458" t="s">
        <v>12</v>
      </c>
      <c r="G458" t="str">
        <f>_xlfn.TEXTJOIN(",",TRUE,_xlfn._xlws.FILTER(GPU_brand[GPU brand], (GPU_brand[GPU brand text]&lt;&gt;"") * ISNUMBER(SEARCH(GPU_brand[GPU brand text], B458)), ""))</f>
        <v>ASRock</v>
      </c>
      <c r="H458" t="str">
        <f>_xlfn.TEXTJOIN(",",TRUE,_xlfn._xlws.FILTER(Chipset_Table[Chipset], (Chipset_Table[Chipset text]&lt;&gt;"") * ISNUMBER(SEARCH(Chipset_Table[Chipset text], B458)), ""))</f>
        <v>RX 9070</v>
      </c>
      <c r="I458" t="s">
        <v>17</v>
      </c>
    </row>
    <row r="459" spans="1:9" hidden="1" x14ac:dyDescent="0.35">
      <c r="A459" t="s">
        <v>782</v>
      </c>
      <c r="B459" t="s">
        <v>878</v>
      </c>
      <c r="C459">
        <v>19190000</v>
      </c>
      <c r="D459">
        <v>19190000</v>
      </c>
      <c r="E459" t="s">
        <v>879</v>
      </c>
      <c r="F459" t="s">
        <v>12</v>
      </c>
      <c r="G459" t="str">
        <f>_xlfn.TEXTJOIN(",",TRUE,_xlfn._xlws.FILTER(GPU_brand[GPU brand], (GPU_brand[GPU brand text]&lt;&gt;"") * ISNUMBER(SEARCH(GPU_brand[GPU brand text], B459)), ""))</f>
        <v>Palit</v>
      </c>
      <c r="H459" t="s">
        <v>13</v>
      </c>
      <c r="I459" t="s">
        <v>45</v>
      </c>
    </row>
    <row r="460" spans="1:9" hidden="1" x14ac:dyDescent="0.35">
      <c r="A460" t="s">
        <v>782</v>
      </c>
      <c r="B460" t="s">
        <v>880</v>
      </c>
      <c r="C460">
        <v>8890000</v>
      </c>
      <c r="D460">
        <v>8890000</v>
      </c>
      <c r="E460" t="s">
        <v>881</v>
      </c>
      <c r="F460" t="s">
        <v>12</v>
      </c>
      <c r="G460" t="str">
        <f>_xlfn.TEXTJOIN(",",TRUE,_xlfn._xlws.FILTER(GPU_brand[GPU brand], (GPU_brand[GPU brand text]&lt;&gt;"") * ISNUMBER(SEARCH(GPU_brand[GPU brand text], B460)), ""))</f>
        <v>MSI</v>
      </c>
      <c r="H460" t="s">
        <v>26</v>
      </c>
      <c r="I460" t="s">
        <v>23</v>
      </c>
    </row>
    <row r="461" spans="1:9" hidden="1" x14ac:dyDescent="0.35">
      <c r="A461" t="s">
        <v>782</v>
      </c>
      <c r="B461" t="s">
        <v>882</v>
      </c>
      <c r="C461">
        <v>32690000</v>
      </c>
      <c r="D461">
        <v>32690000</v>
      </c>
      <c r="E461" t="s">
        <v>883</v>
      </c>
      <c r="F461" t="s">
        <v>12</v>
      </c>
      <c r="G461" t="str">
        <f>_xlfn.TEXTJOIN(",",TRUE,_xlfn._xlws.FILTER(GPU_brand[GPU brand], (GPU_brand[GPU brand text]&lt;&gt;"") * ISNUMBER(SEARCH(GPU_brand[GPU brand text], B461)), ""))</f>
        <v>ZOTAC</v>
      </c>
      <c r="H461" t="s">
        <v>40</v>
      </c>
      <c r="I461" t="s">
        <v>17</v>
      </c>
    </row>
    <row r="462" spans="1:9" hidden="1" x14ac:dyDescent="0.35">
      <c r="A462" t="s">
        <v>782</v>
      </c>
      <c r="B462" t="s">
        <v>884</v>
      </c>
      <c r="C462">
        <v>19890000</v>
      </c>
      <c r="D462">
        <v>19890000</v>
      </c>
      <c r="E462" t="s">
        <v>885</v>
      </c>
      <c r="F462" t="s">
        <v>12</v>
      </c>
      <c r="G462" t="str">
        <f>_xlfn.TEXTJOIN(",",TRUE,_xlfn._xlws.FILTER(GPU_brand[GPU brand], (GPU_brand[GPU brand text]&lt;&gt;"") * ISNUMBER(SEARCH(GPU_brand[GPU brand text], B462)), ""))</f>
        <v>Gigabyte</v>
      </c>
      <c r="H462" t="str">
        <f>_xlfn.TEXTJOIN(",",TRUE,_xlfn._xlws.FILTER(Chipset_Table[Chipset], (Chipset_Table[Chipset text]&lt;&gt;"") * ISNUMBER(SEARCH(Chipset_Table[Chipset text], B462)), ""))</f>
        <v>RTX 5070</v>
      </c>
      <c r="I462" t="s">
        <v>45</v>
      </c>
    </row>
    <row r="463" spans="1:9" hidden="1" x14ac:dyDescent="0.35">
      <c r="A463" t="s">
        <v>782</v>
      </c>
      <c r="B463" t="s">
        <v>886</v>
      </c>
      <c r="C463">
        <v>3390000</v>
      </c>
      <c r="D463">
        <v>3390000</v>
      </c>
      <c r="E463" t="s">
        <v>887</v>
      </c>
      <c r="F463" t="s">
        <v>12</v>
      </c>
      <c r="G463" t="str">
        <f>_xlfn.TEXTJOIN(",",TRUE,_xlfn._xlws.FILTER(GPU_brand[GPU brand], (GPU_brand[GPU brand text]&lt;&gt;"") * ISNUMBER(SEARCH(GPU_brand[GPU brand text], B463)), ""))</f>
        <v>T-WOLF</v>
      </c>
      <c r="H463" t="str">
        <f>_xlfn.TEXTJOIN(",",TRUE,_xlfn._xlws.FILTER(Chipset_Table[Chipset], (Chipset_Table[Chipset text]&lt;&gt;"") * ISNUMBER(SEARCH(Chipset_Table[Chipset text], B463)), ""))</f>
        <v>RX 580</v>
      </c>
      <c r="I463" t="s">
        <v>23</v>
      </c>
    </row>
    <row r="464" spans="1:9" hidden="1" x14ac:dyDescent="0.35">
      <c r="A464" t="s">
        <v>782</v>
      </c>
      <c r="B464" t="s">
        <v>888</v>
      </c>
      <c r="C464">
        <v>2950000</v>
      </c>
      <c r="D464">
        <v>2950000</v>
      </c>
      <c r="E464" t="s">
        <v>889</v>
      </c>
      <c r="F464" t="s">
        <v>12</v>
      </c>
      <c r="G464" t="str">
        <f>_xlfn.TEXTJOIN(",",TRUE,_xlfn._xlws.FILTER(GPU_brand[GPU brand], (GPU_brand[GPU brand text]&lt;&gt;"") * ISNUMBER(SEARCH(GPU_brand[GPU brand text], B464)), ""))</f>
        <v>ARK</v>
      </c>
      <c r="H464" t="str">
        <f>_xlfn.TEXTJOIN(",",TRUE,_xlfn._xlws.FILTER(Chipset_Table[Chipset], (Chipset_Table[Chipset text]&lt;&gt;"") * ISNUMBER(SEARCH(Chipset_Table[Chipset text], B464)), ""))</f>
        <v>RX 550</v>
      </c>
      <c r="I464" t="s">
        <v>23</v>
      </c>
    </row>
    <row r="465" spans="1:9" hidden="1" x14ac:dyDescent="0.35">
      <c r="A465" t="s">
        <v>782</v>
      </c>
      <c r="B465" t="s">
        <v>890</v>
      </c>
      <c r="C465">
        <v>1090000</v>
      </c>
      <c r="D465">
        <v>1090000</v>
      </c>
      <c r="E465" t="s">
        <v>891</v>
      </c>
      <c r="F465" t="s">
        <v>12</v>
      </c>
      <c r="G465" t="str">
        <f>_xlfn.TEXTJOIN(",",TRUE,_xlfn._xlws.FILTER(GPU_brand[GPU brand], (GPU_brand[GPU brand text]&lt;&gt;"") * ISNUMBER(SEARCH(GPU_brand[GPU brand text], B465)), ""))</f>
        <v>ASUS</v>
      </c>
      <c r="H465" t="str">
        <f>_xlfn.TEXTJOIN(",",TRUE,_xlfn._xlws.FILTER(Chipset_Table[Chipset], (Chipset_Table[Chipset text]&lt;&gt;"") * ISNUMBER(SEARCH(Chipset_Table[Chipset text], B465)), ""))</f>
        <v>GeForce GT 710</v>
      </c>
      <c r="I465" t="str">
        <f>_xlfn.TEXTJOIN(",",TRUE,_xlfn._xlws.FILTER(VRAM_table[Video memory], (VRAM_table[Video memory text]&lt;&gt;"") * ISNUMBER(SEARCH(VRAM_table[Video memory text], B465)), ""))</f>
        <v>2GB</v>
      </c>
    </row>
    <row r="466" spans="1:9" hidden="1" x14ac:dyDescent="0.35">
      <c r="A466" t="s">
        <v>782</v>
      </c>
      <c r="B466" t="s">
        <v>892</v>
      </c>
      <c r="C466">
        <v>11990000</v>
      </c>
      <c r="D466">
        <v>11990000</v>
      </c>
      <c r="E466" t="s">
        <v>893</v>
      </c>
      <c r="F466" t="s">
        <v>12</v>
      </c>
      <c r="G466" t="str">
        <f>_xlfn.TEXTJOIN(",",TRUE,_xlfn._xlws.FILTER(GPU_brand[GPU brand], (GPU_brand[GPU brand text]&lt;&gt;"") * ISNUMBER(SEARCH(GPU_brand[GPU brand text], B466)), ""))</f>
        <v>MSI</v>
      </c>
      <c r="H466" t="str">
        <f>_xlfn.TEXTJOIN(",",TRUE,_xlfn._xlws.FILTER(Chipset_Table[Chipset], (Chipset_Table[Chipset text]&lt;&gt;"") * ISNUMBER(SEARCH(Chipset_Table[Chipset text], B466)), ""))</f>
        <v>RTX 5060 Ti</v>
      </c>
      <c r="I466" t="s">
        <v>23</v>
      </c>
    </row>
    <row r="467" spans="1:9" hidden="1" x14ac:dyDescent="0.35">
      <c r="A467" t="s">
        <v>782</v>
      </c>
      <c r="B467" t="s">
        <v>894</v>
      </c>
      <c r="C467">
        <v>4790000</v>
      </c>
      <c r="D467">
        <v>4790000</v>
      </c>
      <c r="E467" t="s">
        <v>895</v>
      </c>
      <c r="F467" t="s">
        <v>12</v>
      </c>
      <c r="G467" t="str">
        <f>_xlfn.TEXTJOIN(",",TRUE,_xlfn._xlws.FILTER(GPU_brand[GPU brand], (GPU_brand[GPU brand text]&lt;&gt;"") * ISNUMBER(SEARCH(GPU_brand[GPU brand text], B467)), ""))</f>
        <v>ARK</v>
      </c>
      <c r="H467" t="str">
        <f>_xlfn.TEXTJOIN(",",TRUE,_xlfn._xlws.FILTER(Chipset_Table[Chipset], (Chipset_Table[Chipset text]&lt;&gt;"") * ISNUMBER(SEARCH(Chipset_Table[Chipset text], B467)), ""))</f>
        <v xml:space="preserve"> GTX 1660 Super</v>
      </c>
      <c r="I467" t="s">
        <v>323</v>
      </c>
    </row>
    <row r="468" spans="1:9" hidden="1" x14ac:dyDescent="0.35">
      <c r="A468" t="s">
        <v>782</v>
      </c>
      <c r="B468" t="s">
        <v>896</v>
      </c>
      <c r="C468">
        <v>16390000</v>
      </c>
      <c r="D468">
        <v>16390000</v>
      </c>
      <c r="E468" t="s">
        <v>897</v>
      </c>
      <c r="F468" t="s">
        <v>12</v>
      </c>
      <c r="G468" t="str">
        <f>_xlfn.TEXTJOIN(",",TRUE,_xlfn._xlws.FILTER(GPU_brand[GPU brand], (GPU_brand[GPU brand text]&lt;&gt;"") * ISNUMBER(SEARCH(GPU_brand[GPU brand text], B468)), ""))</f>
        <v>INNO3D</v>
      </c>
      <c r="H468" t="s">
        <v>31</v>
      </c>
      <c r="I468" t="s">
        <v>17</v>
      </c>
    </row>
    <row r="469" spans="1:9" hidden="1" x14ac:dyDescent="0.35">
      <c r="A469" t="s">
        <v>782</v>
      </c>
      <c r="B469" t="s">
        <v>898</v>
      </c>
      <c r="C469">
        <v>31990000</v>
      </c>
      <c r="D469">
        <v>31990000</v>
      </c>
      <c r="E469" t="s">
        <v>899</v>
      </c>
      <c r="F469" t="s">
        <v>12</v>
      </c>
      <c r="G469" t="str">
        <f>_xlfn.TEXTJOIN(",",TRUE,_xlfn._xlws.FILTER(GPU_brand[GPU brand], (GPU_brand[GPU brand text]&lt;&gt;"") * ISNUMBER(SEARCH(GPU_brand[GPU brand text], B469)), ""))</f>
        <v>ZOTAC</v>
      </c>
      <c r="H469" t="s">
        <v>40</v>
      </c>
      <c r="I469" t="s">
        <v>17</v>
      </c>
    </row>
    <row r="470" spans="1:9" hidden="1" x14ac:dyDescent="0.35">
      <c r="A470" t="s">
        <v>782</v>
      </c>
      <c r="B470" t="s">
        <v>900</v>
      </c>
      <c r="C470">
        <v>13790000</v>
      </c>
      <c r="D470">
        <v>13790000</v>
      </c>
      <c r="E470" t="s">
        <v>901</v>
      </c>
      <c r="F470" t="s">
        <v>12</v>
      </c>
      <c r="G470" t="str">
        <f>_xlfn.TEXTJOIN(",",TRUE,_xlfn._xlws.FILTER(GPU_brand[GPU brand], (GPU_brand[GPU brand text]&lt;&gt;"") * ISNUMBER(SEARCH(GPU_brand[GPU brand text], B470)), ""))</f>
        <v>ASUS</v>
      </c>
      <c r="H470" t="str">
        <f>_xlfn.TEXTJOIN(",",TRUE,_xlfn._xlws.FILTER(Chipset_Table[Chipset], (Chipset_Table[Chipset text]&lt;&gt;"") * ISNUMBER(SEARCH(Chipset_Table[Chipset text], B470)), ""))</f>
        <v>RX 9060 XT</v>
      </c>
      <c r="I470" t="s">
        <v>17</v>
      </c>
    </row>
    <row r="471" spans="1:9" hidden="1" x14ac:dyDescent="0.35">
      <c r="A471" t="s">
        <v>782</v>
      </c>
      <c r="B471" t="s">
        <v>902</v>
      </c>
      <c r="C471">
        <v>18490000</v>
      </c>
      <c r="D471">
        <v>18490000</v>
      </c>
      <c r="E471" t="s">
        <v>903</v>
      </c>
      <c r="F471" t="s">
        <v>12</v>
      </c>
      <c r="G471" t="str">
        <f>_xlfn.TEXTJOIN(",",TRUE,_xlfn._xlws.FILTER(GPU_brand[GPU brand], (GPU_brand[GPU brand text]&lt;&gt;"") * ISNUMBER(SEARCH(GPU_brand[GPU brand text], B471)), ""))</f>
        <v>ASUS</v>
      </c>
      <c r="H471" t="s">
        <v>13</v>
      </c>
      <c r="I471" t="s">
        <v>45</v>
      </c>
    </row>
    <row r="472" spans="1:9" hidden="1" x14ac:dyDescent="0.35">
      <c r="A472" t="s">
        <v>782</v>
      </c>
      <c r="B472" t="s">
        <v>904</v>
      </c>
      <c r="C472">
        <v>16390000</v>
      </c>
      <c r="D472">
        <v>16390000</v>
      </c>
      <c r="E472" t="s">
        <v>905</v>
      </c>
      <c r="F472" t="s">
        <v>12</v>
      </c>
      <c r="G472" t="str">
        <f>_xlfn.TEXTJOIN(",",TRUE,_xlfn._xlws.FILTER(GPU_brand[GPU brand], (GPU_brand[GPU brand text]&lt;&gt;"") * ISNUMBER(SEARCH(GPU_brand[GPU brand text], B472)), ""))</f>
        <v>Colorful</v>
      </c>
      <c r="H472" t="s">
        <v>31</v>
      </c>
      <c r="I472" t="s">
        <v>17</v>
      </c>
    </row>
    <row r="473" spans="1:9" hidden="1" x14ac:dyDescent="0.35">
      <c r="A473" t="s">
        <v>782</v>
      </c>
      <c r="B473" t="s">
        <v>906</v>
      </c>
      <c r="C473">
        <v>10890000</v>
      </c>
      <c r="D473">
        <v>10890000</v>
      </c>
      <c r="E473" t="s">
        <v>907</v>
      </c>
      <c r="F473" t="s">
        <v>12</v>
      </c>
      <c r="G473" t="str">
        <f>_xlfn.TEXTJOIN(",",TRUE,_xlfn._xlws.FILTER(GPU_brand[GPU brand], (GPU_brand[GPU brand text]&lt;&gt;"") * ISNUMBER(SEARCH(GPU_brand[GPU brand text], B473)), ""))</f>
        <v>MSI</v>
      </c>
      <c r="H473" t="str">
        <f>_xlfn.TEXTJOIN(",",TRUE,_xlfn._xlws.FILTER(Chipset_Table[Chipset], (Chipset_Table[Chipset text]&lt;&gt;"") * ISNUMBER(SEARCH(Chipset_Table[Chipset text], B473)), ""))</f>
        <v>GeForce RTX 5060</v>
      </c>
      <c r="I473" t="s">
        <v>23</v>
      </c>
    </row>
    <row r="474" spans="1:9" hidden="1" x14ac:dyDescent="0.35">
      <c r="A474" t="s">
        <v>782</v>
      </c>
      <c r="B474" t="s">
        <v>908</v>
      </c>
      <c r="C474">
        <v>13690000</v>
      </c>
      <c r="D474">
        <v>13690000</v>
      </c>
      <c r="E474" t="s">
        <v>909</v>
      </c>
      <c r="F474" t="s">
        <v>12</v>
      </c>
      <c r="G474" t="str">
        <f>_xlfn.TEXTJOIN(",",TRUE,_xlfn._xlws.FILTER(GPU_brand[GPU brand], (GPU_brand[GPU brand text]&lt;&gt;"") * ISNUMBER(SEARCH(GPU_brand[GPU brand text], B474)), ""))</f>
        <v>Leadtek</v>
      </c>
      <c r="H474" t="str">
        <f>_xlfn.TEXTJOIN(",",TRUE,_xlfn._xlws.FILTER(Chipset_Table[Chipset], (Chipset_Table[Chipset text]&lt;&gt;"") * ISNUMBER(SEARCH(Chipset_Table[Chipset text], B474)), ""))</f>
        <v>RTX A1000</v>
      </c>
      <c r="I474" t="s">
        <v>23</v>
      </c>
    </row>
    <row r="475" spans="1:9" hidden="1" x14ac:dyDescent="0.35">
      <c r="A475" t="s">
        <v>782</v>
      </c>
      <c r="B475" t="s">
        <v>910</v>
      </c>
      <c r="C475">
        <v>38500000</v>
      </c>
      <c r="D475">
        <v>38500000</v>
      </c>
      <c r="E475" t="s">
        <v>911</v>
      </c>
      <c r="F475" t="s">
        <v>12</v>
      </c>
      <c r="G475" t="str">
        <f>_xlfn.TEXTJOIN(",",TRUE,_xlfn._xlws.FILTER(GPU_brand[GPU brand], (GPU_brand[GPU brand text]&lt;&gt;"") * ISNUMBER(SEARCH(GPU_brand[GPU brand text], B475)), ""))</f>
        <v>Gigabyte</v>
      </c>
      <c r="H475" t="s">
        <v>40</v>
      </c>
      <c r="I475" t="s">
        <v>17</v>
      </c>
    </row>
    <row r="476" spans="1:9" hidden="1" x14ac:dyDescent="0.35">
      <c r="A476" t="s">
        <v>782</v>
      </c>
      <c r="B476" t="s">
        <v>912</v>
      </c>
      <c r="C476">
        <v>6190000</v>
      </c>
      <c r="D476">
        <v>6190000</v>
      </c>
      <c r="E476" t="s">
        <v>913</v>
      </c>
      <c r="F476" t="s">
        <v>12</v>
      </c>
      <c r="G476" t="str">
        <f>_xlfn.TEXTJOIN(",",TRUE,_xlfn._xlws.FILTER(GPU_brand[GPU brand], (GPU_brand[GPU brand text]&lt;&gt;"") * ISNUMBER(SEARCH(GPU_brand[GPU brand text], B476)), ""))</f>
        <v>T-WOLF</v>
      </c>
      <c r="H476" t="s">
        <v>491</v>
      </c>
      <c r="I476" t="s">
        <v>23</v>
      </c>
    </row>
    <row r="477" spans="1:9" hidden="1" x14ac:dyDescent="0.35">
      <c r="A477" t="s">
        <v>782</v>
      </c>
      <c r="B477" t="s">
        <v>914</v>
      </c>
      <c r="C477">
        <v>17790000</v>
      </c>
      <c r="D477">
        <v>17790000</v>
      </c>
      <c r="E477" t="s">
        <v>915</v>
      </c>
      <c r="F477" t="s">
        <v>12</v>
      </c>
      <c r="G477" t="str">
        <f>_xlfn.TEXTJOIN(",",TRUE,_xlfn._xlws.FILTER(GPU_brand[GPU brand], (GPU_brand[GPU brand text]&lt;&gt;"") * ISNUMBER(SEARCH(GPU_brand[GPU brand text], B477)), ""))</f>
        <v>Colorful</v>
      </c>
      <c r="H477" t="s">
        <v>31</v>
      </c>
      <c r="I477" t="s">
        <v>17</v>
      </c>
    </row>
    <row r="478" spans="1:9" hidden="1" x14ac:dyDescent="0.35">
      <c r="A478" t="s">
        <v>782</v>
      </c>
      <c r="B478" t="s">
        <v>916</v>
      </c>
      <c r="C478">
        <v>10990000</v>
      </c>
      <c r="D478">
        <v>10990000</v>
      </c>
      <c r="E478" t="s">
        <v>917</v>
      </c>
      <c r="F478" t="s">
        <v>12</v>
      </c>
      <c r="G478" t="str">
        <f>_xlfn.TEXTJOIN(",",TRUE,_xlfn._xlws.FILTER(GPU_brand[GPU brand], (GPU_brand[GPU brand text]&lt;&gt;"") * ISNUMBER(SEARCH(GPU_brand[GPU brand text], B478)), ""))</f>
        <v>Gigabyte</v>
      </c>
      <c r="H478" t="s">
        <v>31</v>
      </c>
      <c r="I478" t="s">
        <v>23</v>
      </c>
    </row>
    <row r="479" spans="1:9" hidden="1" x14ac:dyDescent="0.35">
      <c r="A479" t="s">
        <v>782</v>
      </c>
      <c r="B479" t="s">
        <v>918</v>
      </c>
      <c r="C479">
        <v>12790000</v>
      </c>
      <c r="D479">
        <v>12790000</v>
      </c>
      <c r="E479" t="s">
        <v>919</v>
      </c>
      <c r="F479" t="s">
        <v>12</v>
      </c>
      <c r="G479" t="str">
        <f>_xlfn.TEXTJOIN(",",TRUE,_xlfn._xlws.FILTER(GPU_brand[GPU brand], (GPU_brand[GPU brand text]&lt;&gt;"") * ISNUMBER(SEARCH(GPU_brand[GPU brand text], B479)), ""))</f>
        <v>MSI</v>
      </c>
      <c r="H479" t="s">
        <v>31</v>
      </c>
      <c r="I479" t="s">
        <v>23</v>
      </c>
    </row>
    <row r="480" spans="1:9" hidden="1" x14ac:dyDescent="0.35">
      <c r="A480" t="s">
        <v>782</v>
      </c>
      <c r="B480" t="s">
        <v>920</v>
      </c>
      <c r="C480">
        <v>37290000</v>
      </c>
      <c r="D480">
        <v>37290000</v>
      </c>
      <c r="E480" t="s">
        <v>921</v>
      </c>
      <c r="F480" t="s">
        <v>12</v>
      </c>
      <c r="G480" t="str">
        <f>_xlfn.TEXTJOIN(",",TRUE,_xlfn._xlws.FILTER(GPU_brand[GPU brand], (GPU_brand[GPU brand text]&lt;&gt;"") * ISNUMBER(SEARCH(GPU_brand[GPU brand text], B480)), ""))</f>
        <v>INNO3D</v>
      </c>
      <c r="H480" t="str">
        <f>_xlfn.TEXTJOIN(",",TRUE,_xlfn._xlws.FILTER(Chipset_Table[Chipset], (Chipset_Table[Chipset text]&lt;&gt;"") * ISNUMBER(SEARCH(Chipset_Table[Chipset text], B480)), ""))</f>
        <v>RTX 5080</v>
      </c>
      <c r="I480" t="str">
        <f>_xlfn.TEXTJOIN(",",TRUE,_xlfn._xlws.FILTER(VRAM_table[Video memory], (VRAM_table[Video memory text]&lt;&gt;"") * ISNUMBER(SEARCH(VRAM_table[Video memory text], B480)), ""))</f>
        <v>16GB</v>
      </c>
    </row>
    <row r="481" spans="1:9" hidden="1" x14ac:dyDescent="0.35">
      <c r="A481" t="s">
        <v>782</v>
      </c>
      <c r="B481" t="s">
        <v>922</v>
      </c>
      <c r="C481">
        <v>21990000</v>
      </c>
      <c r="D481">
        <v>21990000</v>
      </c>
      <c r="E481" t="s">
        <v>923</v>
      </c>
      <c r="F481" t="s">
        <v>12</v>
      </c>
      <c r="G481" t="str">
        <f>_xlfn.TEXTJOIN(",",TRUE,_xlfn._xlws.FILTER(GPU_brand[GPU brand], (GPU_brand[GPU brand text]&lt;&gt;"") * ISNUMBER(SEARCH(GPU_brand[GPU brand text], B481)), ""))</f>
        <v>ASUS</v>
      </c>
      <c r="H481" t="str">
        <f>_xlfn.TEXTJOIN(",",TRUE,_xlfn._xlws.FILTER(Chipset_Table[Chipset], (Chipset_Table[Chipset text]&lt;&gt;"") * ISNUMBER(SEARCH(Chipset_Table[Chipset text], B481)), ""))</f>
        <v>RX 6900 XT</v>
      </c>
      <c r="I481" t="s">
        <v>17</v>
      </c>
    </row>
    <row r="482" spans="1:9" hidden="1" x14ac:dyDescent="0.35">
      <c r="A482" t="s">
        <v>782</v>
      </c>
      <c r="B482" t="s">
        <v>924</v>
      </c>
      <c r="C482">
        <v>27900000</v>
      </c>
      <c r="D482">
        <v>27900000</v>
      </c>
      <c r="E482" t="s">
        <v>925</v>
      </c>
      <c r="F482" t="s">
        <v>12</v>
      </c>
      <c r="G482" t="str">
        <f>_xlfn.TEXTJOIN(",",TRUE,_xlfn._xlws.FILTER(GPU_brand[GPU brand], (GPU_brand[GPU brand text]&lt;&gt;"") * ISNUMBER(SEARCH(GPU_brand[GPU brand text], B482)), ""))</f>
        <v>Sapphire</v>
      </c>
      <c r="H482" t="str">
        <f>_xlfn.TEXTJOIN(",",TRUE,_xlfn._xlws.FILTER(Chipset_Table[Chipset], (Chipset_Table[Chipset text]&lt;&gt;"") * ISNUMBER(SEARCH(Chipset_Table[Chipset text], B482)), ""))</f>
        <v>RX 7900XTX</v>
      </c>
      <c r="I482" t="s">
        <v>373</v>
      </c>
    </row>
    <row r="483" spans="1:9" hidden="1" x14ac:dyDescent="0.35">
      <c r="A483" t="s">
        <v>782</v>
      </c>
      <c r="B483" t="s">
        <v>926</v>
      </c>
      <c r="C483">
        <v>21990000</v>
      </c>
      <c r="D483">
        <v>21990000</v>
      </c>
      <c r="E483" t="s">
        <v>927</v>
      </c>
      <c r="F483" t="s">
        <v>12</v>
      </c>
      <c r="G483" t="str">
        <f>_xlfn.TEXTJOIN(",",TRUE,_xlfn._xlws.FILTER(GPU_brand[GPU brand], (GPU_brand[GPU brand text]&lt;&gt;"") * ISNUMBER(SEARCH(GPU_brand[GPU brand text], B483)), ""))</f>
        <v>ASUS</v>
      </c>
      <c r="H483" t="str">
        <f>_xlfn.TEXTJOIN(",",TRUE,_xlfn._xlws.FILTER(Chipset_Table[Chipset], (Chipset_Table[Chipset text]&lt;&gt;"") * ISNUMBER(SEARCH(Chipset_Table[Chipset text], B483)), ""))</f>
        <v>RX 9070</v>
      </c>
      <c r="I483" t="s">
        <v>17</v>
      </c>
    </row>
    <row r="484" spans="1:9" hidden="1" x14ac:dyDescent="0.35">
      <c r="A484" t="s">
        <v>782</v>
      </c>
      <c r="B484" t="s">
        <v>928</v>
      </c>
      <c r="C484">
        <v>20990000</v>
      </c>
      <c r="D484">
        <v>20990000</v>
      </c>
      <c r="E484" t="s">
        <v>929</v>
      </c>
      <c r="F484" t="s">
        <v>12</v>
      </c>
      <c r="G484" t="str">
        <f>_xlfn.TEXTJOIN(",",TRUE,_xlfn._xlws.FILTER(GPU_brand[GPU brand], (GPU_brand[GPU brand text]&lt;&gt;"") * ISNUMBER(SEARCH(GPU_brand[GPU brand text], B484)), ""))</f>
        <v>Colorful</v>
      </c>
      <c r="H484" t="s">
        <v>13</v>
      </c>
      <c r="I484" t="s">
        <v>45</v>
      </c>
    </row>
    <row r="485" spans="1:9" hidden="1" x14ac:dyDescent="0.35">
      <c r="A485" t="s">
        <v>782</v>
      </c>
      <c r="B485" t="s">
        <v>930</v>
      </c>
      <c r="C485">
        <v>29590000</v>
      </c>
      <c r="D485">
        <v>29590000</v>
      </c>
      <c r="E485" t="s">
        <v>931</v>
      </c>
      <c r="F485" t="s">
        <v>12</v>
      </c>
      <c r="G485" t="str">
        <f>_xlfn.TEXTJOIN(",",TRUE,_xlfn._xlws.FILTER(GPU_brand[GPU brand], (GPU_brand[GPU brand text]&lt;&gt;"") * ISNUMBER(SEARCH(GPU_brand[GPU brand text], B485)), ""))</f>
        <v>Gigabyte</v>
      </c>
      <c r="H485" t="s">
        <v>16</v>
      </c>
      <c r="I485" t="s">
        <v>17</v>
      </c>
    </row>
    <row r="486" spans="1:9" hidden="1" x14ac:dyDescent="0.35">
      <c r="A486" t="s">
        <v>782</v>
      </c>
      <c r="B486" t="s">
        <v>932</v>
      </c>
      <c r="C486">
        <v>16590000</v>
      </c>
      <c r="D486">
        <v>16590000</v>
      </c>
      <c r="E486" t="s">
        <v>933</v>
      </c>
      <c r="F486" t="s">
        <v>12</v>
      </c>
      <c r="G486" t="str">
        <f>_xlfn.TEXTJOIN(",",TRUE,_xlfn._xlws.FILTER(GPU_brand[GPU brand], (GPU_brand[GPU brand text]&lt;&gt;"") * ISNUMBER(SEARCH(GPU_brand[GPU brand text], B486)), ""))</f>
        <v>Colorful</v>
      </c>
      <c r="H486" t="s">
        <v>31</v>
      </c>
      <c r="I486" t="s">
        <v>17</v>
      </c>
    </row>
    <row r="487" spans="1:9" hidden="1" x14ac:dyDescent="0.35">
      <c r="A487" t="s">
        <v>782</v>
      </c>
      <c r="B487" t="s">
        <v>934</v>
      </c>
      <c r="C487">
        <v>24390000</v>
      </c>
      <c r="D487">
        <v>24390000</v>
      </c>
      <c r="E487" t="s">
        <v>935</v>
      </c>
      <c r="F487" t="s">
        <v>12</v>
      </c>
      <c r="G487" t="str">
        <f>_xlfn.TEXTJOIN(",",TRUE,_xlfn._xlws.FILTER(GPU_brand[GPU brand], (GPU_brand[GPU brand text]&lt;&gt;"") * ISNUMBER(SEARCH(GPU_brand[GPU brand text], B487)), ""))</f>
        <v>Gigabyte</v>
      </c>
      <c r="H487" t="s">
        <v>13</v>
      </c>
      <c r="I487" t="s">
        <v>45</v>
      </c>
    </row>
    <row r="488" spans="1:9" hidden="1" x14ac:dyDescent="0.35">
      <c r="A488" t="s">
        <v>782</v>
      </c>
      <c r="B488" t="s">
        <v>936</v>
      </c>
      <c r="C488">
        <v>12100000</v>
      </c>
      <c r="D488">
        <v>12100000</v>
      </c>
      <c r="E488" t="s">
        <v>937</v>
      </c>
      <c r="F488" t="s">
        <v>12</v>
      </c>
      <c r="G488" t="str">
        <f>_xlfn.TEXTJOIN(",",TRUE,_xlfn._xlws.FILTER(GPU_brand[GPU brand], (GPU_brand[GPU brand text]&lt;&gt;"") * ISNUMBER(SEARCH(GPU_brand[GPU brand text], B488)), ""))</f>
        <v>INNO3D</v>
      </c>
      <c r="H488" t="s">
        <v>31</v>
      </c>
      <c r="I488" t="s">
        <v>23</v>
      </c>
    </row>
    <row r="489" spans="1:9" hidden="1" x14ac:dyDescent="0.35">
      <c r="A489" t="s">
        <v>782</v>
      </c>
      <c r="B489" t="s">
        <v>938</v>
      </c>
      <c r="C489">
        <v>13990000</v>
      </c>
      <c r="D489">
        <v>13990000</v>
      </c>
      <c r="E489" t="s">
        <v>939</v>
      </c>
      <c r="F489" t="s">
        <v>12</v>
      </c>
      <c r="G489" t="str">
        <f>_xlfn.TEXTJOIN(",",TRUE,_xlfn._xlws.FILTER(GPU_brand[GPU brand], (GPU_brand[GPU brand text]&lt;&gt;"") * ISNUMBER(SEARCH(GPU_brand[GPU brand text], B489)), ""))</f>
        <v>Colorful</v>
      </c>
      <c r="H489" t="s">
        <v>31</v>
      </c>
      <c r="I489" t="s">
        <v>23</v>
      </c>
    </row>
    <row r="490" spans="1:9" hidden="1" x14ac:dyDescent="0.35">
      <c r="A490" t="s">
        <v>782</v>
      </c>
      <c r="B490" t="s">
        <v>940</v>
      </c>
      <c r="C490">
        <v>11390000</v>
      </c>
      <c r="D490">
        <v>11390000</v>
      </c>
      <c r="E490" t="s">
        <v>941</v>
      </c>
      <c r="F490" t="s">
        <v>12</v>
      </c>
      <c r="G490" t="str">
        <f>_xlfn.TEXTJOIN(",",TRUE,_xlfn._xlws.FILTER(GPU_brand[GPU brand], (GPU_brand[GPU brand text]&lt;&gt;"") * ISNUMBER(SEARCH(GPU_brand[GPU brand text], B490)), ""))</f>
        <v>Colorful</v>
      </c>
      <c r="H490" t="str">
        <f>_xlfn.TEXTJOIN(",",TRUE,_xlfn._xlws.FILTER(Chipset_Table[Chipset], (Chipset_Table[Chipset text]&lt;&gt;"") * ISNUMBER(SEARCH(Chipset_Table[Chipset text], B490)), ""))</f>
        <v>GeForce RTX 5060</v>
      </c>
      <c r="I490" t="s">
        <v>23</v>
      </c>
    </row>
    <row r="491" spans="1:9" hidden="1" x14ac:dyDescent="0.35">
      <c r="A491" t="s">
        <v>782</v>
      </c>
      <c r="B491" t="s">
        <v>942</v>
      </c>
      <c r="C491">
        <v>2990000</v>
      </c>
      <c r="D491">
        <v>2990000</v>
      </c>
      <c r="E491" t="s">
        <v>943</v>
      </c>
      <c r="F491" t="s">
        <v>12</v>
      </c>
      <c r="G491" t="str">
        <f>_xlfn.TEXTJOIN(",",TRUE,_xlfn._xlws.FILTER(GPU_brand[GPU brand], (GPU_brand[GPU brand text]&lt;&gt;"") * ISNUMBER(SEARCH(GPU_brand[GPU brand text], B491)), ""))</f>
        <v>T-WOLF</v>
      </c>
      <c r="H491" t="str">
        <f>_xlfn.TEXTJOIN(",",TRUE,_xlfn._xlws.FILTER(Chipset_Table[Chipset], (Chipset_Table[Chipset text]&lt;&gt;"") * ISNUMBER(SEARCH(Chipset_Table[Chipset text], B491)), ""))</f>
        <v>GeForce GTX 1060</v>
      </c>
      <c r="I491" t="str">
        <f>_xlfn.TEXTJOIN(",",TRUE,_xlfn._xlws.FILTER(VRAM_table[Video memory], (VRAM_table[Video memory text]&lt;&gt;"") * ISNUMBER(SEARCH(VRAM_table[Video memory text], B491)), ""))</f>
        <v>3GB</v>
      </c>
    </row>
    <row r="492" spans="1:9" hidden="1" x14ac:dyDescent="0.35">
      <c r="A492" t="s">
        <v>782</v>
      </c>
      <c r="B492" t="s">
        <v>944</v>
      </c>
      <c r="C492">
        <v>9190000</v>
      </c>
      <c r="D492">
        <v>9190000</v>
      </c>
      <c r="E492" t="s">
        <v>945</v>
      </c>
      <c r="F492" t="s">
        <v>12</v>
      </c>
      <c r="G492" t="str">
        <f>_xlfn.TEXTJOIN(",",TRUE,_xlfn._xlws.FILTER(GPU_brand[GPU brand], (GPU_brand[GPU brand text]&lt;&gt;"") * ISNUMBER(SEARCH(GPU_brand[GPU brand text], B492)), ""))</f>
        <v>ZOTAC</v>
      </c>
      <c r="H492" t="str">
        <f>_xlfn.TEXTJOIN(",",TRUE,_xlfn._xlws.FILTER(Chipset_Table[Chipset], (Chipset_Table[Chipset text]&lt;&gt;"") * ISNUMBER(SEARCH(Chipset_Table[Chipset text], B492)), ""))</f>
        <v>GeForce RTX 5060</v>
      </c>
      <c r="I492" t="s">
        <v>23</v>
      </c>
    </row>
    <row r="493" spans="1:9" hidden="1" x14ac:dyDescent="0.35">
      <c r="A493" t="s">
        <v>782</v>
      </c>
      <c r="B493" t="s">
        <v>942</v>
      </c>
      <c r="C493">
        <v>2990000</v>
      </c>
      <c r="D493">
        <v>2990000</v>
      </c>
      <c r="E493" t="s">
        <v>943</v>
      </c>
      <c r="F493" t="s">
        <v>12</v>
      </c>
      <c r="G493" t="str">
        <f>_xlfn.TEXTJOIN(",",TRUE,_xlfn._xlws.FILTER(GPU_brand[GPU brand], (GPU_brand[GPU brand text]&lt;&gt;"") * ISNUMBER(SEARCH(GPU_brand[GPU brand text], B493)), ""))</f>
        <v>T-WOLF</v>
      </c>
      <c r="H493" t="str">
        <f>_xlfn.TEXTJOIN(",",TRUE,_xlfn._xlws.FILTER(Chipset_Table[Chipset], (Chipset_Table[Chipset text]&lt;&gt;"") * ISNUMBER(SEARCH(Chipset_Table[Chipset text], B493)), ""))</f>
        <v>GeForce GTX 1060</v>
      </c>
      <c r="I493" t="str">
        <f>_xlfn.TEXTJOIN(",",TRUE,_xlfn._xlws.FILTER(VRAM_table[Video memory], (VRAM_table[Video memory text]&lt;&gt;"") * ISNUMBER(SEARCH(VRAM_table[Video memory text], B493)), ""))</f>
        <v>3GB</v>
      </c>
    </row>
    <row r="494" spans="1:9" hidden="1" x14ac:dyDescent="0.35">
      <c r="A494" t="s">
        <v>782</v>
      </c>
      <c r="B494" t="s">
        <v>946</v>
      </c>
      <c r="C494">
        <v>9990000</v>
      </c>
      <c r="D494">
        <v>9990000</v>
      </c>
      <c r="E494" t="s">
        <v>947</v>
      </c>
      <c r="F494" t="s">
        <v>12</v>
      </c>
      <c r="G494" t="str">
        <f>_xlfn.TEXTJOIN(",",TRUE,_xlfn._xlws.FILTER(GPU_brand[GPU brand], (GPU_brand[GPU brand text]&lt;&gt;"") * ISNUMBER(SEARCH(GPU_brand[GPU brand text], B494)), ""))</f>
        <v>MSI</v>
      </c>
      <c r="H494" t="str">
        <f>_xlfn.TEXTJOIN(",",TRUE,_xlfn._xlws.FILTER(Chipset_Table[Chipset], (Chipset_Table[Chipset text]&lt;&gt;"") * ISNUMBER(SEARCH(Chipset_Table[Chipset text], B494)), ""))</f>
        <v>GeForce RTX 5060</v>
      </c>
      <c r="I494" t="s">
        <v>23</v>
      </c>
    </row>
    <row r="495" spans="1:9" hidden="1" x14ac:dyDescent="0.35">
      <c r="A495" t="s">
        <v>782</v>
      </c>
      <c r="B495" t="s">
        <v>948</v>
      </c>
      <c r="C495">
        <v>17990000</v>
      </c>
      <c r="D495">
        <v>17990000</v>
      </c>
      <c r="E495" t="s">
        <v>949</v>
      </c>
      <c r="F495" t="s">
        <v>12</v>
      </c>
      <c r="G495" t="str">
        <f>_xlfn.TEXTJOIN(",",TRUE,_xlfn._xlws.FILTER(GPU_brand[GPU brand], (GPU_brand[GPU brand text]&lt;&gt;"") * ISNUMBER(SEARCH(GPU_brand[GPU brand text], B495)), ""))</f>
        <v>Gigabyte</v>
      </c>
      <c r="H495" t="s">
        <v>31</v>
      </c>
      <c r="I495" t="s">
        <v>17</v>
      </c>
    </row>
    <row r="496" spans="1:9" hidden="1" x14ac:dyDescent="0.35">
      <c r="A496" t="s">
        <v>782</v>
      </c>
      <c r="B496" t="s">
        <v>950</v>
      </c>
      <c r="C496">
        <v>41990000</v>
      </c>
      <c r="D496">
        <v>41990000</v>
      </c>
      <c r="E496" t="s">
        <v>951</v>
      </c>
      <c r="F496" t="s">
        <v>12</v>
      </c>
      <c r="G496" t="str">
        <f>_xlfn.TEXTJOIN(",",TRUE,_xlfn._xlws.FILTER(GPU_brand[GPU brand], (GPU_brand[GPU brand text]&lt;&gt;"") * ISNUMBER(SEARCH(GPU_brand[GPU brand text], B496)), ""))</f>
        <v>Leadtek</v>
      </c>
      <c r="H496" t="str">
        <f>_xlfn.TEXTJOIN(",",TRUE,_xlfn._xlws.FILTER(Chipset_Table[Chipset], (Chipset_Table[Chipset text]&lt;&gt;"") * ISNUMBER(SEARCH(Chipset_Table[Chipset text], B496)), ""))</f>
        <v>RTX 4000</v>
      </c>
      <c r="I496" t="str">
        <f>_xlfn.TEXTJOIN(",",TRUE,_xlfn._xlws.FILTER(VRAM_table[Video memory], (VRAM_table[Video memory text]&lt;&gt;"") * ISNUMBER(SEARCH(VRAM_table[Video memory text], B496)), ""))</f>
        <v>20GB</v>
      </c>
    </row>
    <row r="497" spans="1:9" hidden="1" x14ac:dyDescent="0.35">
      <c r="A497" t="s">
        <v>782</v>
      </c>
      <c r="B497" t="s">
        <v>952</v>
      </c>
      <c r="C497">
        <v>14990000</v>
      </c>
      <c r="D497">
        <v>14990000</v>
      </c>
      <c r="E497" t="s">
        <v>953</v>
      </c>
      <c r="F497" t="s">
        <v>12</v>
      </c>
      <c r="G497" t="str">
        <f>_xlfn.TEXTJOIN(",",TRUE,_xlfn._xlws.FILTER(GPU_brand[GPU brand], (GPU_brand[GPU brand text]&lt;&gt;"") * ISNUMBER(SEARCH(GPU_brand[GPU brand text], B497)), ""))</f>
        <v>Sapphire</v>
      </c>
      <c r="H497" t="str">
        <f>_xlfn.TEXTJOIN(",",TRUE,_xlfn._xlws.FILTER(Chipset_Table[Chipset], (Chipset_Table[Chipset text]&lt;&gt;"") * ISNUMBER(SEARCH(Chipset_Table[Chipset text], B497)), ""))</f>
        <v>RX 9060 XT</v>
      </c>
      <c r="I497" t="s">
        <v>17</v>
      </c>
    </row>
    <row r="498" spans="1:9" hidden="1" x14ac:dyDescent="0.35">
      <c r="A498" t="s">
        <v>782</v>
      </c>
      <c r="B498" t="s">
        <v>954</v>
      </c>
      <c r="C498">
        <v>19890000</v>
      </c>
      <c r="D498">
        <v>19890000</v>
      </c>
      <c r="E498" t="s">
        <v>955</v>
      </c>
      <c r="F498" t="s">
        <v>12</v>
      </c>
      <c r="G498" t="str">
        <f>_xlfn.TEXTJOIN(",",TRUE,_xlfn._xlws.FILTER(GPU_brand[GPU brand], (GPU_brand[GPU brand text]&lt;&gt;"") * ISNUMBER(SEARCH(GPU_brand[GPU brand text], B498)), ""))</f>
        <v>ASUS</v>
      </c>
      <c r="H498" t="str">
        <f>_xlfn.TEXTJOIN(",",TRUE,_xlfn._xlws.FILTER(Chipset_Table[Chipset], (Chipset_Table[Chipset text]&lt;&gt;"") * ISNUMBER(SEARCH(Chipset_Table[Chipset text], B498)), ""))</f>
        <v>RX 9070</v>
      </c>
      <c r="I498" t="s">
        <v>17</v>
      </c>
    </row>
    <row r="499" spans="1:9" hidden="1" x14ac:dyDescent="0.35">
      <c r="A499" t="s">
        <v>782</v>
      </c>
      <c r="B499" t="s">
        <v>956</v>
      </c>
      <c r="C499">
        <v>22290000</v>
      </c>
      <c r="D499">
        <v>22290000</v>
      </c>
      <c r="E499" t="s">
        <v>957</v>
      </c>
      <c r="F499" t="s">
        <v>12</v>
      </c>
      <c r="G499" t="str">
        <f>_xlfn.TEXTJOIN(",",TRUE,_xlfn._xlws.FILTER(GPU_brand[GPU brand], (GPU_brand[GPU brand text]&lt;&gt;"") * ISNUMBER(SEARCH(GPU_brand[GPU brand text], B499)), ""))</f>
        <v>ZOTAC</v>
      </c>
      <c r="H499" t="s">
        <v>13</v>
      </c>
      <c r="I499" t="s">
        <v>45</v>
      </c>
    </row>
    <row r="500" spans="1:9" hidden="1" x14ac:dyDescent="0.35">
      <c r="A500" t="s">
        <v>782</v>
      </c>
      <c r="B500" t="s">
        <v>958</v>
      </c>
      <c r="C500">
        <v>33890000</v>
      </c>
      <c r="D500">
        <v>33890000</v>
      </c>
      <c r="E500" t="s">
        <v>959</v>
      </c>
      <c r="F500" t="s">
        <v>12</v>
      </c>
      <c r="G500" t="str">
        <f>_xlfn.TEXTJOIN(",",TRUE,_xlfn._xlws.FILTER(GPU_brand[GPU brand], (GPU_brand[GPU brand text]&lt;&gt;"") * ISNUMBER(SEARCH(GPU_brand[GPU brand text], B500)), ""))</f>
        <v>INNO3D</v>
      </c>
      <c r="H500" t="s">
        <v>40</v>
      </c>
      <c r="I500" t="s">
        <v>17</v>
      </c>
    </row>
    <row r="501" spans="1:9" hidden="1" x14ac:dyDescent="0.35">
      <c r="A501" t="s">
        <v>782</v>
      </c>
      <c r="B501" t="s">
        <v>960</v>
      </c>
      <c r="C501">
        <v>44990000</v>
      </c>
      <c r="D501">
        <v>44990000</v>
      </c>
      <c r="E501" t="s">
        <v>961</v>
      </c>
      <c r="F501" t="s">
        <v>12</v>
      </c>
      <c r="G501" t="str">
        <f>_xlfn.TEXTJOIN(",",TRUE,_xlfn._xlws.FILTER(GPU_brand[GPU brand], (GPU_brand[GPU brand text]&lt;&gt;"") * ISNUMBER(SEARCH(GPU_brand[GPU brand text], B501)), ""))</f>
        <v>ASUS</v>
      </c>
      <c r="H501" t="s">
        <v>40</v>
      </c>
      <c r="I501" t="s">
        <v>17</v>
      </c>
    </row>
    <row r="502" spans="1:9" hidden="1" x14ac:dyDescent="0.35">
      <c r="A502" t="s">
        <v>782</v>
      </c>
      <c r="B502" t="s">
        <v>962</v>
      </c>
      <c r="C502">
        <v>32990000</v>
      </c>
      <c r="D502">
        <v>32990000</v>
      </c>
      <c r="E502" t="s">
        <v>963</v>
      </c>
      <c r="F502" t="s">
        <v>12</v>
      </c>
      <c r="G502" t="str">
        <f>_xlfn.TEXTJOIN(",",TRUE,_xlfn._xlws.FILTER(GPU_brand[GPU brand], (GPU_brand[GPU brand text]&lt;&gt;"") * ISNUMBER(SEARCH(GPU_brand[GPU brand text], B502)), ""))</f>
        <v>ASUS</v>
      </c>
      <c r="H502" t="s">
        <v>16</v>
      </c>
      <c r="I502" t="s">
        <v>17</v>
      </c>
    </row>
    <row r="503" spans="1:9" hidden="1" x14ac:dyDescent="0.35">
      <c r="A503" t="s">
        <v>782</v>
      </c>
      <c r="B503" t="s">
        <v>964</v>
      </c>
      <c r="C503">
        <v>7490000</v>
      </c>
      <c r="D503">
        <v>7490000</v>
      </c>
      <c r="E503" t="s">
        <v>965</v>
      </c>
      <c r="F503" t="s">
        <v>12</v>
      </c>
      <c r="G503" t="str">
        <f>_xlfn.TEXTJOIN(",",TRUE,_xlfn._xlws.FILTER(GPU_brand[GPU brand], (GPU_brand[GPU brand text]&lt;&gt;"") * ISNUMBER(SEARCH(GPU_brand[GPU brand text], B503)), ""))</f>
        <v>Sapphire</v>
      </c>
      <c r="H503" t="str">
        <f>_xlfn.TEXTJOIN(",",TRUE,_xlfn._xlws.FILTER(Chipset_Table[Chipset], (Chipset_Table[Chipset text]&lt;&gt;"") * ISNUMBER(SEARCH(Chipset_Table[Chipset text], B503)), ""))</f>
        <v>RX 7600</v>
      </c>
      <c r="I503" t="s">
        <v>23</v>
      </c>
    </row>
    <row r="504" spans="1:9" hidden="1" x14ac:dyDescent="0.35">
      <c r="A504" t="s">
        <v>782</v>
      </c>
      <c r="B504" t="s">
        <v>966</v>
      </c>
      <c r="C504">
        <v>2390000</v>
      </c>
      <c r="D504">
        <v>2390000</v>
      </c>
      <c r="E504" t="s">
        <v>967</v>
      </c>
      <c r="F504" t="s">
        <v>12</v>
      </c>
      <c r="G504" t="str">
        <f>_xlfn.TEXTJOIN(",",TRUE,_xlfn._xlws.FILTER(GPU_brand[GPU brand], (GPU_brand[GPU brand text]&lt;&gt;"") * ISNUMBER(SEARCH(GPU_brand[GPU brand text], B504)), ""))</f>
        <v>Unika</v>
      </c>
      <c r="H504" t="str">
        <f>_xlfn.TEXTJOIN(",",TRUE,_xlfn._xlws.FILTER(Chipset_Table[Chipset], (Chipset_Table[Chipset text]&lt;&gt;"") * ISNUMBER(SEARCH(Chipset_Table[Chipset text], B504)), ""))</f>
        <v>GeForce GTX 1050</v>
      </c>
      <c r="I504" t="s">
        <v>332</v>
      </c>
    </row>
    <row r="505" spans="1:9" hidden="1" x14ac:dyDescent="0.35">
      <c r="A505" t="s">
        <v>782</v>
      </c>
      <c r="B505" t="s">
        <v>968</v>
      </c>
      <c r="C505">
        <v>11490000</v>
      </c>
      <c r="D505">
        <v>11490000</v>
      </c>
      <c r="E505" t="s">
        <v>969</v>
      </c>
      <c r="F505" t="s">
        <v>12</v>
      </c>
      <c r="G505" t="str">
        <f>_xlfn.TEXTJOIN(",",TRUE,_xlfn._xlws.FILTER(GPU_brand[GPU brand], (GPU_brand[GPU brand text]&lt;&gt;"") * ISNUMBER(SEARCH(GPU_brand[GPU brand text], B505)), ""))</f>
        <v>MSI</v>
      </c>
      <c r="H505" t="str">
        <f>_xlfn.TEXTJOIN(",",TRUE,_xlfn._xlws.FILTER(Chipset_Table[Chipset], (Chipset_Table[Chipset text]&lt;&gt;"") * ISNUMBER(SEARCH(Chipset_Table[Chipset text], B505)), ""))</f>
        <v>GeForce RTX 5060</v>
      </c>
      <c r="I505" t="s">
        <v>23</v>
      </c>
    </row>
    <row r="506" spans="1:9" hidden="1" x14ac:dyDescent="0.35">
      <c r="A506" t="s">
        <v>782</v>
      </c>
      <c r="B506" t="s">
        <v>970</v>
      </c>
      <c r="C506">
        <v>20990000</v>
      </c>
      <c r="D506">
        <v>20990000</v>
      </c>
      <c r="E506" t="s">
        <v>971</v>
      </c>
      <c r="F506" t="s">
        <v>12</v>
      </c>
      <c r="G506" t="str">
        <f>_xlfn.TEXTJOIN(",",TRUE,_xlfn._xlws.FILTER(GPU_brand[GPU brand], (GPU_brand[GPU brand text]&lt;&gt;"") * ISNUMBER(SEARCH(GPU_brand[GPU brand text], B506)), ""))</f>
        <v>ASUS</v>
      </c>
      <c r="H506" t="str">
        <f>_xlfn.TEXTJOIN(",",TRUE,_xlfn._xlws.FILTER(Chipset_Table[Chipset], (Chipset_Table[Chipset text]&lt;&gt;"") * ISNUMBER(SEARCH(Chipset_Table[Chipset text], B506)), ""))</f>
        <v>RX 6900 XT</v>
      </c>
      <c r="I506" t="s">
        <v>17</v>
      </c>
    </row>
    <row r="507" spans="1:9" hidden="1" x14ac:dyDescent="0.35">
      <c r="A507" t="s">
        <v>782</v>
      </c>
      <c r="B507" t="s">
        <v>972</v>
      </c>
      <c r="C507">
        <v>37890000</v>
      </c>
      <c r="D507">
        <v>37890000</v>
      </c>
      <c r="E507" t="s">
        <v>973</v>
      </c>
      <c r="F507" t="s">
        <v>12</v>
      </c>
      <c r="G507" t="str">
        <f>_xlfn.TEXTJOIN(",",TRUE,_xlfn._xlws.FILTER(GPU_brand[GPU brand], (GPU_brand[GPU brand text]&lt;&gt;"") * ISNUMBER(SEARCH(GPU_brand[GPU brand text], B507)), ""))</f>
        <v>MSI</v>
      </c>
      <c r="H507" t="str">
        <f>_xlfn.TEXTJOIN(",",TRUE,_xlfn._xlws.FILTER(Chipset_Table[Chipset], (Chipset_Table[Chipset text]&lt;&gt;"") * ISNUMBER(SEARCH(Chipset_Table[Chipset text], B507)), ""))</f>
        <v>RTX 5080</v>
      </c>
      <c r="I507" t="s">
        <v>17</v>
      </c>
    </row>
    <row r="508" spans="1:9" hidden="1" x14ac:dyDescent="0.35">
      <c r="A508" t="s">
        <v>782</v>
      </c>
      <c r="B508" t="s">
        <v>974</v>
      </c>
      <c r="C508">
        <v>13690000</v>
      </c>
      <c r="D508">
        <v>13690000</v>
      </c>
      <c r="E508" t="s">
        <v>975</v>
      </c>
      <c r="F508" t="s">
        <v>12</v>
      </c>
      <c r="G508" t="str">
        <f>_xlfn.TEXTJOIN(",",TRUE,_xlfn._xlws.FILTER(GPU_brand[GPU brand], (GPU_brand[GPU brand text]&lt;&gt;"") * ISNUMBER(SEARCH(GPU_brand[GPU brand text], B508)), ""))</f>
        <v>ASRock</v>
      </c>
      <c r="H508" t="str">
        <f>_xlfn.TEXTJOIN(",",TRUE,_xlfn._xlws.FILTER(Chipset_Table[Chipset], (Chipset_Table[Chipset text]&lt;&gt;"") * ISNUMBER(SEARCH(Chipset_Table[Chipset text], B508)), ""))</f>
        <v>RX 9060 XT</v>
      </c>
      <c r="I508" t="s">
        <v>17</v>
      </c>
    </row>
    <row r="509" spans="1:9" hidden="1" x14ac:dyDescent="0.35">
      <c r="A509" t="s">
        <v>782</v>
      </c>
      <c r="B509" t="s">
        <v>976</v>
      </c>
      <c r="C509">
        <v>18190000</v>
      </c>
      <c r="D509">
        <v>18190000</v>
      </c>
      <c r="E509" t="s">
        <v>977</v>
      </c>
      <c r="F509" t="s">
        <v>12</v>
      </c>
      <c r="G509" t="str">
        <f>_xlfn.TEXTJOIN(",",TRUE,_xlfn._xlws.FILTER(GPU_brand[GPU brand], (GPU_brand[GPU brand text]&lt;&gt;"") * ISNUMBER(SEARCH(GPU_brand[GPU brand text], B509)), ""))</f>
        <v>INNO3D</v>
      </c>
      <c r="H509" t="s">
        <v>13</v>
      </c>
      <c r="I509" t="s">
        <v>45</v>
      </c>
    </row>
    <row r="510" spans="1:9" hidden="1" x14ac:dyDescent="0.35">
      <c r="A510" t="s">
        <v>782</v>
      </c>
      <c r="B510" t="s">
        <v>978</v>
      </c>
      <c r="C510">
        <v>35400000</v>
      </c>
      <c r="D510">
        <v>35400000</v>
      </c>
      <c r="E510" t="s">
        <v>979</v>
      </c>
      <c r="F510" t="s">
        <v>12</v>
      </c>
      <c r="G510" t="str">
        <f>_xlfn.TEXTJOIN(",",TRUE,_xlfn._xlws.FILTER(GPU_brand[GPU brand], (GPU_brand[GPU brand text]&lt;&gt;"") * ISNUMBER(SEARCH(GPU_brand[GPU brand text], B510)), ""))</f>
        <v>PNY</v>
      </c>
      <c r="H510" t="s">
        <v>40</v>
      </c>
      <c r="I510" t="s">
        <v>17</v>
      </c>
    </row>
    <row r="511" spans="1:9" hidden="1" x14ac:dyDescent="0.35">
      <c r="A511" t="s">
        <v>782</v>
      </c>
      <c r="B511" t="s">
        <v>980</v>
      </c>
      <c r="C511">
        <v>47990000</v>
      </c>
      <c r="D511">
        <v>47990000</v>
      </c>
      <c r="E511" t="s">
        <v>981</v>
      </c>
      <c r="F511" t="s">
        <v>12</v>
      </c>
      <c r="G511" t="str">
        <f>_xlfn.TEXTJOIN(",",TRUE,_xlfn._xlws.FILTER(GPU_brand[GPU brand], (GPU_brand[GPU brand text]&lt;&gt;"") * ISNUMBER(SEARCH(GPU_brand[GPU brand text], B511)), ""))</f>
        <v>ASUS</v>
      </c>
      <c r="H511" t="s">
        <v>40</v>
      </c>
      <c r="I511" t="s">
        <v>17</v>
      </c>
    </row>
    <row r="512" spans="1:9" hidden="1" x14ac:dyDescent="0.35">
      <c r="A512" t="s">
        <v>782</v>
      </c>
      <c r="B512" t="s">
        <v>982</v>
      </c>
      <c r="C512">
        <v>9590000</v>
      </c>
      <c r="D512">
        <v>9590000</v>
      </c>
      <c r="E512" t="s">
        <v>983</v>
      </c>
      <c r="F512" t="s">
        <v>12</v>
      </c>
      <c r="G512" t="str">
        <f>_xlfn.TEXTJOIN(",",TRUE,_xlfn._xlws.FILTER(GPU_brand[GPU brand], (GPU_brand[GPU brand text]&lt;&gt;"") * ISNUMBER(SEARCH(GPU_brand[GPU brand text], B512)), ""))</f>
        <v>INNO3D</v>
      </c>
      <c r="H512" t="str">
        <f>_xlfn.TEXTJOIN(",",TRUE,_xlfn._xlws.FILTER(Chipset_Table[Chipset], (Chipset_Table[Chipset text]&lt;&gt;"") * ISNUMBER(SEARCH(Chipset_Table[Chipset text], B512)), ""))</f>
        <v>GeForce RTX 5060</v>
      </c>
      <c r="I512" t="s">
        <v>23</v>
      </c>
    </row>
    <row r="513" spans="1:9" hidden="1" x14ac:dyDescent="0.35">
      <c r="A513" t="s">
        <v>782</v>
      </c>
      <c r="B513" t="s">
        <v>984</v>
      </c>
      <c r="C513">
        <v>17590000</v>
      </c>
      <c r="D513">
        <v>17590000</v>
      </c>
      <c r="E513" t="s">
        <v>985</v>
      </c>
      <c r="F513" t="s">
        <v>12</v>
      </c>
      <c r="G513" t="str">
        <f>_xlfn.TEXTJOIN(",",TRUE,_xlfn._xlws.FILTER(GPU_brand[GPU brand], (GPU_brand[GPU brand text]&lt;&gt;"") * ISNUMBER(SEARCH(GPU_brand[GPU brand text], B513)), ""))</f>
        <v>ASUS</v>
      </c>
      <c r="H513" t="s">
        <v>31</v>
      </c>
      <c r="I513" t="s">
        <v>17</v>
      </c>
    </row>
    <row r="514" spans="1:9" hidden="1" x14ac:dyDescent="0.35">
      <c r="A514" t="s">
        <v>782</v>
      </c>
      <c r="B514" t="s">
        <v>986</v>
      </c>
      <c r="C514">
        <v>17790000</v>
      </c>
      <c r="D514">
        <v>17790000</v>
      </c>
      <c r="E514" t="s">
        <v>987</v>
      </c>
      <c r="F514" t="s">
        <v>12</v>
      </c>
      <c r="G514" t="str">
        <f>_xlfn.TEXTJOIN(",",TRUE,_xlfn._xlws.FILTER(GPU_brand[GPU brand], (GPU_brand[GPU brand text]&lt;&gt;"") * ISNUMBER(SEARCH(GPU_brand[GPU brand text], B514)), ""))</f>
        <v>PNY</v>
      </c>
      <c r="H514" t="s">
        <v>31</v>
      </c>
      <c r="I514" t="str">
        <f>_xlfn.TEXTJOIN(",",TRUE,_xlfn._xlws.FILTER(VRAM_table[Video memory], (VRAM_table[Video memory text]&lt;&gt;"") * ISNUMBER(SEARCH(VRAM_table[Video memory text], B514)), ""))</f>
        <v>16GB</v>
      </c>
    </row>
    <row r="515" spans="1:9" hidden="1" x14ac:dyDescent="0.35">
      <c r="A515" t="s">
        <v>782</v>
      </c>
      <c r="B515" t="s">
        <v>988</v>
      </c>
      <c r="C515">
        <v>13490000</v>
      </c>
      <c r="D515">
        <v>13490000</v>
      </c>
      <c r="E515" t="s">
        <v>989</v>
      </c>
      <c r="F515" t="s">
        <v>12</v>
      </c>
      <c r="G515" t="str">
        <f>_xlfn.TEXTJOIN(",",TRUE,_xlfn._xlws.FILTER(GPU_brand[GPU brand], (GPU_brand[GPU brand text]&lt;&gt;"") * ISNUMBER(SEARCH(GPU_brand[GPU brand text], B515)), ""))</f>
        <v>Colorful</v>
      </c>
      <c r="H515" t="s">
        <v>31</v>
      </c>
      <c r="I515" t="s">
        <v>23</v>
      </c>
    </row>
    <row r="516" spans="1:9" hidden="1" x14ac:dyDescent="0.35">
      <c r="A516" t="s">
        <v>782</v>
      </c>
      <c r="B516" t="s">
        <v>990</v>
      </c>
      <c r="C516">
        <v>8890000</v>
      </c>
      <c r="D516">
        <v>8890000</v>
      </c>
      <c r="E516" t="s">
        <v>991</v>
      </c>
      <c r="F516" t="s">
        <v>12</v>
      </c>
      <c r="G516" t="s">
        <v>992</v>
      </c>
      <c r="H516" t="str">
        <f>_xlfn.TEXTJOIN(",",TRUE,_xlfn._xlws.FILTER(Chipset_Table[Chipset], (Chipset_Table[Chipset text]&lt;&gt;"") * ISNUMBER(SEARCH(Chipset_Table[Chipset text], B516)), ""))</f>
        <v>NVIDIA T1000</v>
      </c>
      <c r="I516" t="s">
        <v>332</v>
      </c>
    </row>
    <row r="517" spans="1:9" hidden="1" x14ac:dyDescent="0.35">
      <c r="A517" t="s">
        <v>782</v>
      </c>
      <c r="B517" t="s">
        <v>993</v>
      </c>
      <c r="C517">
        <v>38290000</v>
      </c>
      <c r="D517">
        <v>38290000</v>
      </c>
      <c r="E517" t="s">
        <v>994</v>
      </c>
      <c r="F517" t="s">
        <v>12</v>
      </c>
      <c r="G517" t="str">
        <f>_xlfn.TEXTJOIN(",",TRUE,_xlfn._xlws.FILTER(GPU_brand[GPU brand], (GPU_brand[GPU brand text]&lt;&gt;"") * ISNUMBER(SEARCH(GPU_brand[GPU brand text], B517)), ""))</f>
        <v>MSI</v>
      </c>
      <c r="H517" t="str">
        <f>_xlfn.TEXTJOIN(",",TRUE,_xlfn._xlws.FILTER(Chipset_Table[Chipset], (Chipset_Table[Chipset text]&lt;&gt;"") * ISNUMBER(SEARCH(Chipset_Table[Chipset text], B517)), ""))</f>
        <v>RTX 5080</v>
      </c>
      <c r="I517" t="s">
        <v>17</v>
      </c>
    </row>
    <row r="518" spans="1:9" hidden="1" x14ac:dyDescent="0.35">
      <c r="A518" t="s">
        <v>782</v>
      </c>
      <c r="B518" t="s">
        <v>995</v>
      </c>
      <c r="C518">
        <v>21990000</v>
      </c>
      <c r="D518">
        <v>21990000</v>
      </c>
      <c r="E518" t="s">
        <v>996</v>
      </c>
      <c r="F518" t="s">
        <v>12</v>
      </c>
      <c r="G518" t="str">
        <f>_xlfn.TEXTJOIN(",",TRUE,_xlfn._xlws.FILTER(GPU_brand[GPU brand], (GPU_brand[GPU brand text]&lt;&gt;"") * ISNUMBER(SEARCH(GPU_brand[GPU brand text], B518)), ""))</f>
        <v>ASRock</v>
      </c>
      <c r="H518" t="str">
        <f>_xlfn.TEXTJOIN(",",TRUE,_xlfn._xlws.FILTER(Chipset_Table[Chipset], (Chipset_Table[Chipset text]&lt;&gt;"") * ISNUMBER(SEARCH(Chipset_Table[Chipset text], B518)), ""))</f>
        <v>RX 9070</v>
      </c>
      <c r="I518" t="s">
        <v>17</v>
      </c>
    </row>
    <row r="519" spans="1:9" hidden="1" x14ac:dyDescent="0.35">
      <c r="A519" t="s">
        <v>782</v>
      </c>
      <c r="B519" t="s">
        <v>997</v>
      </c>
      <c r="C519">
        <v>5590000</v>
      </c>
      <c r="D519">
        <v>5590000</v>
      </c>
      <c r="E519" t="s">
        <v>998</v>
      </c>
      <c r="F519" t="s">
        <v>12</v>
      </c>
      <c r="G519" t="str">
        <f>_xlfn.TEXTJOIN(",",TRUE,_xlfn._xlws.FILTER(GPU_brand[GPU brand], (GPU_brand[GPU brand text]&lt;&gt;"") * ISNUMBER(SEARCH(GPU_brand[GPU brand text], B519)), ""))</f>
        <v>Leadtek</v>
      </c>
      <c r="H519" t="str">
        <f>_xlfn.TEXTJOIN(",",TRUE,_xlfn._xlws.FILTER(Chipset_Table[Chipset], (Chipset_Table[Chipset text]&lt;&gt;"") * ISNUMBER(SEARCH(Chipset_Table[Chipset text], B519)), ""))</f>
        <v>RTX A400</v>
      </c>
      <c r="I519" t="s">
        <v>332</v>
      </c>
    </row>
    <row r="520" spans="1:9" hidden="1" x14ac:dyDescent="0.35">
      <c r="A520" t="s">
        <v>782</v>
      </c>
      <c r="B520" t="s">
        <v>999</v>
      </c>
      <c r="C520">
        <v>21590000</v>
      </c>
      <c r="D520">
        <v>21590000</v>
      </c>
      <c r="E520" t="s">
        <v>1000</v>
      </c>
      <c r="F520" t="s">
        <v>12</v>
      </c>
      <c r="G520" t="str">
        <f>_xlfn.TEXTJOIN(",",TRUE,_xlfn._xlws.FILTER(GPU_brand[GPU brand], (GPU_brand[GPU brand text]&lt;&gt;"") * ISNUMBER(SEARCH(GPU_brand[GPU brand text], B520)), ""))</f>
        <v>MSI</v>
      </c>
      <c r="H520" t="s">
        <v>13</v>
      </c>
      <c r="I520" t="s">
        <v>45</v>
      </c>
    </row>
    <row r="521" spans="1:9" hidden="1" x14ac:dyDescent="0.35">
      <c r="A521" t="s">
        <v>782</v>
      </c>
      <c r="B521" t="s">
        <v>1001</v>
      </c>
      <c r="C521">
        <v>17190000</v>
      </c>
      <c r="D521">
        <v>17190000</v>
      </c>
      <c r="E521" t="s">
        <v>1002</v>
      </c>
      <c r="F521" t="s">
        <v>12</v>
      </c>
      <c r="G521" t="str">
        <f>_xlfn.TEXTJOIN(",",TRUE,_xlfn._xlws.FILTER(GPU_brand[GPU brand], (GPU_brand[GPU brand text]&lt;&gt;"") * ISNUMBER(SEARCH(GPU_brand[GPU brand text], B521)), ""))</f>
        <v>MSI</v>
      </c>
      <c r="H521" t="s">
        <v>31</v>
      </c>
      <c r="I521" t="s">
        <v>17</v>
      </c>
    </row>
    <row r="522" spans="1:9" hidden="1" x14ac:dyDescent="0.35">
      <c r="A522" t="s">
        <v>782</v>
      </c>
      <c r="B522" t="s">
        <v>1003</v>
      </c>
      <c r="C522">
        <v>9590000</v>
      </c>
      <c r="D522">
        <v>9590000</v>
      </c>
      <c r="E522" t="s">
        <v>1004</v>
      </c>
      <c r="F522" t="s">
        <v>12</v>
      </c>
      <c r="G522" t="str">
        <f>_xlfn.TEXTJOIN(",",TRUE,_xlfn._xlws.FILTER(GPU_brand[GPU brand], (GPU_brand[GPU brand text]&lt;&gt;"") * ISNUMBER(SEARCH(GPU_brand[GPU brand text], B522)), ""))</f>
        <v>INNO3D</v>
      </c>
      <c r="H522" t="str">
        <f>_xlfn.TEXTJOIN(",",TRUE,_xlfn._xlws.FILTER(Chipset_Table[Chipset], (Chipset_Table[Chipset text]&lt;&gt;"") * ISNUMBER(SEARCH(Chipset_Table[Chipset text], B522)), ""))</f>
        <v>GeForce RTX 5060</v>
      </c>
      <c r="I522" t="s">
        <v>23</v>
      </c>
    </row>
    <row r="523" spans="1:9" hidden="1" x14ac:dyDescent="0.35">
      <c r="A523" t="s">
        <v>782</v>
      </c>
      <c r="B523" t="s">
        <v>1005</v>
      </c>
      <c r="C523">
        <v>37990000</v>
      </c>
      <c r="D523">
        <v>37990000</v>
      </c>
      <c r="E523" t="s">
        <v>1006</v>
      </c>
      <c r="F523" t="s">
        <v>12</v>
      </c>
      <c r="G523" t="str">
        <f>_xlfn.TEXTJOIN(",",TRUE,_xlfn._xlws.FILTER(GPU_brand[GPU brand], (GPU_brand[GPU brand text]&lt;&gt;"") * ISNUMBER(SEARCH(GPU_brand[GPU brand text], B523)), ""))</f>
        <v>ASUS</v>
      </c>
      <c r="H523" t="str">
        <f>_xlfn.TEXTJOIN(",",TRUE,_xlfn._xlws.FILTER(Chipset_Table[Chipset], (Chipset_Table[Chipset text]&lt;&gt;"") * ISNUMBER(SEARCH(Chipset_Table[Chipset text], B523)), ""))</f>
        <v>RTX 5080</v>
      </c>
      <c r="I523" t="s">
        <v>17</v>
      </c>
    </row>
    <row r="524" spans="1:9" hidden="1" x14ac:dyDescent="0.35">
      <c r="A524" t="s">
        <v>782</v>
      </c>
      <c r="B524" t="s">
        <v>1007</v>
      </c>
      <c r="C524">
        <v>9190000</v>
      </c>
      <c r="D524">
        <v>9190000</v>
      </c>
      <c r="E524" t="s">
        <v>1008</v>
      </c>
      <c r="F524" t="s">
        <v>12</v>
      </c>
      <c r="G524" t="str">
        <f>_xlfn.TEXTJOIN(",",TRUE,_xlfn._xlws.FILTER(GPU_brand[GPU brand], (GPU_brand[GPU brand text]&lt;&gt;"") * ISNUMBER(SEARCH(GPU_brand[GPU brand text], B524)), ""))</f>
        <v>Gigabyte</v>
      </c>
      <c r="H524" t="str">
        <f>_xlfn.TEXTJOIN(",",TRUE,_xlfn._xlws.FILTER(Chipset_Table[Chipset], (Chipset_Table[Chipset text]&lt;&gt;"") * ISNUMBER(SEARCH(Chipset_Table[Chipset text], B524)), ""))</f>
        <v>GeForce RTX 5060</v>
      </c>
      <c r="I524" t="s">
        <v>23</v>
      </c>
    </row>
    <row r="525" spans="1:9" hidden="1" x14ac:dyDescent="0.35">
      <c r="A525" t="s">
        <v>782</v>
      </c>
      <c r="B525" t="s">
        <v>1009</v>
      </c>
      <c r="C525">
        <v>17090000</v>
      </c>
      <c r="D525">
        <v>17090000</v>
      </c>
      <c r="E525" t="s">
        <v>1010</v>
      </c>
      <c r="F525" t="s">
        <v>12</v>
      </c>
      <c r="G525" t="str">
        <f>_xlfn.TEXTJOIN(",",TRUE,_xlfn._xlws.FILTER(GPU_brand[GPU brand], (GPU_brand[GPU brand text]&lt;&gt;"") * ISNUMBER(SEARCH(GPU_brand[GPU brand text], B525)), ""))</f>
        <v>Gigabyte</v>
      </c>
      <c r="H525" t="s">
        <v>13</v>
      </c>
      <c r="I525" t="s">
        <v>45</v>
      </c>
    </row>
    <row r="526" spans="1:9" hidden="1" x14ac:dyDescent="0.35">
      <c r="A526" t="s">
        <v>782</v>
      </c>
      <c r="B526" t="s">
        <v>1011</v>
      </c>
      <c r="C526">
        <v>11790000</v>
      </c>
      <c r="D526">
        <v>11790000</v>
      </c>
      <c r="E526" t="s">
        <v>1012</v>
      </c>
      <c r="F526" t="s">
        <v>12</v>
      </c>
      <c r="G526" t="str">
        <f>_xlfn.TEXTJOIN(",",TRUE,_xlfn._xlws.FILTER(GPU_brand[GPU brand], (GPU_brand[GPU brand text]&lt;&gt;"") * ISNUMBER(SEARCH(GPU_brand[GPU brand text], B526)), ""))</f>
        <v>MSI</v>
      </c>
      <c r="H526" t="str">
        <f>_xlfn.TEXTJOIN(",",TRUE,_xlfn._xlws.FILTER(Chipset_Table[Chipset], (Chipset_Table[Chipset text]&lt;&gt;"") * ISNUMBER(SEARCH(Chipset_Table[Chipset text], B526)), ""))</f>
        <v>GeForce RTX 5060</v>
      </c>
      <c r="I526" t="str">
        <f>_xlfn.TEXTJOIN(",",TRUE,_xlfn._xlws.FILTER(VRAM_table[Video memory], (VRAM_table[Video memory text]&lt;&gt;"") * ISNUMBER(SEARCH(VRAM_table[Video memory text], B526)), ""))</f>
        <v>8GB</v>
      </c>
    </row>
    <row r="527" spans="1:9" hidden="1" x14ac:dyDescent="0.35">
      <c r="A527" t="s">
        <v>782</v>
      </c>
      <c r="B527" t="s">
        <v>1013</v>
      </c>
      <c r="C527">
        <v>22590000</v>
      </c>
      <c r="D527">
        <v>22590000</v>
      </c>
      <c r="E527" t="s">
        <v>1014</v>
      </c>
      <c r="F527" t="s">
        <v>12</v>
      </c>
      <c r="G527" t="str">
        <f>_xlfn.TEXTJOIN(",",TRUE,_xlfn._xlws.FILTER(GPU_brand[GPU brand], (GPU_brand[GPU brand text]&lt;&gt;"") * ISNUMBER(SEARCH(GPU_brand[GPU brand text], B527)), ""))</f>
        <v>ASRock</v>
      </c>
      <c r="H527" t="str">
        <f>_xlfn.TEXTJOIN(",",TRUE,_xlfn._xlws.FILTER(Chipset_Table[Chipset], (Chipset_Table[Chipset text]&lt;&gt;"") * ISNUMBER(SEARCH(Chipset_Table[Chipset text], B527)), ""))</f>
        <v>RX 9070</v>
      </c>
      <c r="I527" t="s">
        <v>17</v>
      </c>
    </row>
    <row r="528" spans="1:9" hidden="1" x14ac:dyDescent="0.35">
      <c r="A528" t="s">
        <v>782</v>
      </c>
      <c r="B528" t="s">
        <v>1015</v>
      </c>
      <c r="C528">
        <v>13890000</v>
      </c>
      <c r="D528">
        <v>13890000</v>
      </c>
      <c r="E528" t="s">
        <v>1016</v>
      </c>
      <c r="F528" t="s">
        <v>12</v>
      </c>
      <c r="G528" t="str">
        <f>_xlfn.TEXTJOIN(",",TRUE,_xlfn._xlws.FILTER(GPU_brand[GPU brand], (GPU_brand[GPU brand text]&lt;&gt;"") * ISNUMBER(SEARCH(GPU_brand[GPU brand text], B528)), ""))</f>
        <v>Colorful</v>
      </c>
      <c r="H528" t="s">
        <v>31</v>
      </c>
      <c r="I528" t="s">
        <v>23</v>
      </c>
    </row>
    <row r="529" spans="1:9" hidden="1" x14ac:dyDescent="0.35">
      <c r="A529" t="s">
        <v>782</v>
      </c>
      <c r="B529" t="s">
        <v>1017</v>
      </c>
      <c r="C529">
        <v>13390000</v>
      </c>
      <c r="D529">
        <v>13390000</v>
      </c>
      <c r="E529" t="s">
        <v>1018</v>
      </c>
      <c r="F529" t="s">
        <v>12</v>
      </c>
      <c r="G529" t="str">
        <f>_xlfn.TEXTJOIN(",",TRUE,_xlfn._xlws.FILTER(GPU_brand[GPU brand], (GPU_brand[GPU brand text]&lt;&gt;"") * ISNUMBER(SEARCH(GPU_brand[GPU brand text], B529)), ""))</f>
        <v>MSI</v>
      </c>
      <c r="H529" t="s">
        <v>31</v>
      </c>
      <c r="I529" t="s">
        <v>23</v>
      </c>
    </row>
    <row r="530" spans="1:9" hidden="1" x14ac:dyDescent="0.35">
      <c r="A530" t="s">
        <v>782</v>
      </c>
      <c r="B530" t="s">
        <v>1019</v>
      </c>
      <c r="C530">
        <v>19290000</v>
      </c>
      <c r="D530">
        <v>19290000</v>
      </c>
      <c r="E530" t="s">
        <v>1020</v>
      </c>
      <c r="F530" t="s">
        <v>12</v>
      </c>
      <c r="G530" t="str">
        <f>_xlfn.TEXTJOIN(",",TRUE,_xlfn._xlws.FILTER(GPU_brand[GPU brand], (GPU_brand[GPU brand text]&lt;&gt;"") * ISNUMBER(SEARCH(GPU_brand[GPU brand text], B530)), ""))</f>
        <v>Gigabyte</v>
      </c>
      <c r="H530" t="str">
        <f>_xlfn.TEXTJOIN(",",TRUE,_xlfn._xlws.FILTER(Chipset_Table[Chipset], (Chipset_Table[Chipset text]&lt;&gt;"") * ISNUMBER(SEARCH(Chipset_Table[Chipset text], B530)), ""))</f>
        <v>RX 9070</v>
      </c>
      <c r="I530" t="s">
        <v>17</v>
      </c>
    </row>
    <row r="531" spans="1:9" hidden="1" x14ac:dyDescent="0.35">
      <c r="A531" t="s">
        <v>782</v>
      </c>
      <c r="B531" t="s">
        <v>1021</v>
      </c>
      <c r="C531">
        <v>12790000</v>
      </c>
      <c r="D531">
        <v>12790000</v>
      </c>
      <c r="E531" t="s">
        <v>1022</v>
      </c>
      <c r="F531" t="s">
        <v>12</v>
      </c>
      <c r="G531" t="str">
        <f>_xlfn.TEXTJOIN(",",TRUE,_xlfn._xlws.FILTER(GPU_brand[GPU brand], (GPU_brand[GPU brand text]&lt;&gt;"") * ISNUMBER(SEARCH(GPU_brand[GPU brand text], B531)), ""))</f>
        <v>Colorful</v>
      </c>
      <c r="H531" t="s">
        <v>31</v>
      </c>
      <c r="I531" t="s">
        <v>23</v>
      </c>
    </row>
    <row r="532" spans="1:9" hidden="1" x14ac:dyDescent="0.35">
      <c r="A532" t="s">
        <v>782</v>
      </c>
      <c r="B532" t="s">
        <v>1023</v>
      </c>
      <c r="C532">
        <v>18390000</v>
      </c>
      <c r="D532">
        <v>18390000</v>
      </c>
      <c r="E532" t="s">
        <v>1024</v>
      </c>
      <c r="F532" t="s">
        <v>12</v>
      </c>
      <c r="G532" t="str">
        <f>_xlfn.TEXTJOIN(",",TRUE,_xlfn._xlws.FILTER(GPU_brand[GPU brand], (GPU_brand[GPU brand text]&lt;&gt;"") * ISNUMBER(SEARCH(GPU_brand[GPU brand text], B532)), ""))</f>
        <v>Colorful</v>
      </c>
      <c r="H532" t="str">
        <f>_xlfn.TEXTJOIN(",",TRUE,_xlfn._xlws.FILTER(Chipset_Table[Chipset], (Chipset_Table[Chipset text]&lt;&gt;"") * ISNUMBER(SEARCH(Chipset_Table[Chipset text], B532)), ""))</f>
        <v>GeForce RTX 4070</v>
      </c>
      <c r="I532" t="s">
        <v>45</v>
      </c>
    </row>
    <row r="533" spans="1:9" hidden="1" x14ac:dyDescent="0.35">
      <c r="A533" t="s">
        <v>782</v>
      </c>
      <c r="B533" t="s">
        <v>1025</v>
      </c>
      <c r="C533">
        <v>29990000</v>
      </c>
      <c r="D533">
        <v>29990000</v>
      </c>
      <c r="E533" t="s">
        <v>1026</v>
      </c>
      <c r="F533" t="s">
        <v>12</v>
      </c>
      <c r="G533" t="str">
        <f>_xlfn.TEXTJOIN(",",TRUE,_xlfn._xlws.FILTER(GPU_brand[GPU brand], (GPU_brand[GPU brand text]&lt;&gt;"") * ISNUMBER(SEARCH(GPU_brand[GPU brand text], B533)), ""))</f>
        <v>ZOTAC</v>
      </c>
      <c r="H533" t="s">
        <v>16</v>
      </c>
      <c r="I533" t="s">
        <v>17</v>
      </c>
    </row>
    <row r="534" spans="1:9" hidden="1" x14ac:dyDescent="0.35">
      <c r="A534" t="s">
        <v>782</v>
      </c>
      <c r="B534" t="s">
        <v>1027</v>
      </c>
      <c r="C534">
        <v>11390000</v>
      </c>
      <c r="D534">
        <v>11390000</v>
      </c>
      <c r="E534" t="s">
        <v>1028</v>
      </c>
      <c r="F534" t="s">
        <v>12</v>
      </c>
      <c r="G534" t="str">
        <f>_xlfn.TEXTJOIN(",",TRUE,_xlfn._xlws.FILTER(GPU_brand[GPU brand], (GPU_brand[GPU brand text]&lt;&gt;"") * ISNUMBER(SEARCH(GPU_brand[GPU brand text], B534)), ""))</f>
        <v>ZOTAC</v>
      </c>
      <c r="H534" t="s">
        <v>31</v>
      </c>
      <c r="I534" t="s">
        <v>23</v>
      </c>
    </row>
    <row r="535" spans="1:9" hidden="1" x14ac:dyDescent="0.35">
      <c r="A535" t="s">
        <v>782</v>
      </c>
      <c r="B535" t="s">
        <v>1029</v>
      </c>
      <c r="C535">
        <v>42490000</v>
      </c>
      <c r="D535">
        <v>42490000</v>
      </c>
      <c r="E535" t="s">
        <v>1030</v>
      </c>
      <c r="F535" t="s">
        <v>12</v>
      </c>
      <c r="G535" t="str">
        <f>_xlfn.TEXTJOIN(",",TRUE,_xlfn._xlws.FILTER(GPU_brand[GPU brand], (GPU_brand[GPU brand text]&lt;&gt;"") * ISNUMBER(SEARCH(GPU_brand[GPU brand text], B535)), ""))</f>
        <v>ASUS</v>
      </c>
      <c r="H535" t="s">
        <v>40</v>
      </c>
      <c r="I535" t="s">
        <v>17</v>
      </c>
    </row>
    <row r="536" spans="1:9" hidden="1" x14ac:dyDescent="0.35">
      <c r="A536" t="s">
        <v>782</v>
      </c>
      <c r="B536" t="s">
        <v>1031</v>
      </c>
      <c r="C536">
        <v>38290000</v>
      </c>
      <c r="D536">
        <v>38290000</v>
      </c>
      <c r="E536" t="s">
        <v>1032</v>
      </c>
      <c r="F536" t="s">
        <v>12</v>
      </c>
      <c r="G536" t="str">
        <f>_xlfn.TEXTJOIN(",",TRUE,_xlfn._xlws.FILTER(GPU_brand[GPU brand], (GPU_brand[GPU brand text]&lt;&gt;"") * ISNUMBER(SEARCH(GPU_brand[GPU brand text], B536)), ""))</f>
        <v>ZOTAC</v>
      </c>
      <c r="H536" t="s">
        <v>40</v>
      </c>
      <c r="I536" t="s">
        <v>17</v>
      </c>
    </row>
    <row r="537" spans="1:9" hidden="1" x14ac:dyDescent="0.35">
      <c r="A537" t="s">
        <v>782</v>
      </c>
      <c r="B537" t="s">
        <v>1033</v>
      </c>
      <c r="C537">
        <v>8490000</v>
      </c>
      <c r="D537">
        <v>8490000</v>
      </c>
      <c r="E537" t="s">
        <v>1034</v>
      </c>
      <c r="F537" t="s">
        <v>12</v>
      </c>
      <c r="G537" t="str">
        <f>_xlfn.TEXTJOIN(",",TRUE,_xlfn._xlws.FILTER(GPU_brand[GPU brand], (GPU_brand[GPU brand text]&lt;&gt;"") * ISNUMBER(SEARCH(GPU_brand[GPU brand text], B537)), ""))</f>
        <v>MSI</v>
      </c>
      <c r="H537" t="str">
        <f>_xlfn.TEXTJOIN(",",TRUE,_xlfn._xlws.FILTER(Chipset_Table[Chipset], (Chipset_Table[Chipset text]&lt;&gt;"") * ISNUMBER(SEARCH(Chipset_Table[Chipset text], B537)), ""))</f>
        <v>GeForce RTX 4060</v>
      </c>
      <c r="I537" t="s">
        <v>23</v>
      </c>
    </row>
    <row r="538" spans="1:9" hidden="1" x14ac:dyDescent="0.35">
      <c r="A538" t="s">
        <v>782</v>
      </c>
      <c r="B538" t="s">
        <v>1035</v>
      </c>
      <c r="C538">
        <v>8190000</v>
      </c>
      <c r="D538">
        <v>8190000</v>
      </c>
      <c r="E538" t="s">
        <v>1036</v>
      </c>
      <c r="F538" t="s">
        <v>12</v>
      </c>
      <c r="G538" t="str">
        <f>_xlfn.TEXTJOIN(",",TRUE,_xlfn._xlws.FILTER(GPU_brand[GPU brand], (GPU_brand[GPU brand text]&lt;&gt;"") * ISNUMBER(SEARCH(GPU_brand[GPU brand text], B538)), ""))</f>
        <v>Colorful</v>
      </c>
      <c r="H538" t="str">
        <f>_xlfn.TEXTJOIN(",",TRUE,_xlfn._xlws.FILTER(Chipset_Table[Chipset], (Chipset_Table[Chipset text]&lt;&gt;"") * ISNUMBER(SEARCH(Chipset_Table[Chipset text], B538)), ""))</f>
        <v>GeForce RTX 4060</v>
      </c>
      <c r="I538" t="s">
        <v>23</v>
      </c>
    </row>
    <row r="539" spans="1:9" hidden="1" x14ac:dyDescent="0.35">
      <c r="A539" t="s">
        <v>782</v>
      </c>
      <c r="B539" t="s">
        <v>1037</v>
      </c>
      <c r="C539">
        <v>1950000</v>
      </c>
      <c r="D539">
        <v>1950000</v>
      </c>
      <c r="E539" t="s">
        <v>1038</v>
      </c>
      <c r="F539" t="s">
        <v>12</v>
      </c>
      <c r="G539" t="str">
        <f>_xlfn.TEXTJOIN(",",TRUE,_xlfn._xlws.FILTER(GPU_brand[GPU brand], (GPU_brand[GPU brand text]&lt;&gt;"") * ISNUMBER(SEARCH(GPU_brand[GPU brand text], B539)), ""))</f>
        <v>Unika</v>
      </c>
      <c r="H539" t="str">
        <f>_xlfn.TEXTJOIN(",",TRUE,_xlfn._xlws.FILTER(Chipset_Table[Chipset], (Chipset_Table[Chipset text]&lt;&gt;"") * ISNUMBER(SEARCH(Chipset_Table[Chipset text], B539)), ""))</f>
        <v>RX 560</v>
      </c>
      <c r="I539" t="s">
        <v>332</v>
      </c>
    </row>
    <row r="540" spans="1:9" hidden="1" x14ac:dyDescent="0.35">
      <c r="A540" t="s">
        <v>782</v>
      </c>
      <c r="B540" t="s">
        <v>1039</v>
      </c>
      <c r="C540">
        <v>3290000</v>
      </c>
      <c r="D540">
        <v>3290000</v>
      </c>
      <c r="E540" t="s">
        <v>1040</v>
      </c>
      <c r="F540" t="s">
        <v>12</v>
      </c>
      <c r="G540" t="str">
        <f>_xlfn.TEXTJOIN(",",TRUE,_xlfn._xlws.FILTER(GPU_brand[GPU brand], (GPU_brand[GPU brand text]&lt;&gt;"") * ISNUMBER(SEARCH(GPU_brand[GPU brand text], B540)), ""))</f>
        <v>Unika</v>
      </c>
      <c r="H540" t="str">
        <f>_xlfn.TEXTJOIN(",",TRUE,_xlfn._xlws.FILTER(Chipset_Table[Chipset], (Chipset_Table[Chipset text]&lt;&gt;"") * ISNUMBER(SEARCH(Chipset_Table[Chipset text], B540)), ""))</f>
        <v>GeForce GTX 1050</v>
      </c>
      <c r="I540" t="s">
        <v>332</v>
      </c>
    </row>
    <row r="541" spans="1:9" hidden="1" x14ac:dyDescent="0.35">
      <c r="A541" t="s">
        <v>782</v>
      </c>
      <c r="B541" t="s">
        <v>1041</v>
      </c>
      <c r="C541">
        <v>26490000</v>
      </c>
      <c r="D541">
        <v>26490000</v>
      </c>
      <c r="E541" t="s">
        <v>1042</v>
      </c>
      <c r="F541" t="s">
        <v>12</v>
      </c>
      <c r="G541" t="str">
        <f>_xlfn.TEXTJOIN(",",TRUE,_xlfn._xlws.FILTER(GPU_brand[GPU brand], (GPU_brand[GPU brand text]&lt;&gt;"") * ISNUMBER(SEARCH(GPU_brand[GPU brand text], B541)), ""))</f>
        <v>Gigabyte</v>
      </c>
      <c r="H541" t="s">
        <v>16</v>
      </c>
      <c r="I541" t="s">
        <v>17</v>
      </c>
    </row>
    <row r="542" spans="1:9" hidden="1" x14ac:dyDescent="0.35">
      <c r="A542" t="s">
        <v>782</v>
      </c>
      <c r="B542" t="s">
        <v>1043</v>
      </c>
      <c r="C542">
        <v>33290000</v>
      </c>
      <c r="D542">
        <v>33290000</v>
      </c>
      <c r="E542" t="s">
        <v>1044</v>
      </c>
      <c r="F542" t="s">
        <v>12</v>
      </c>
      <c r="G542" t="str">
        <f>_xlfn.TEXTJOIN(",",TRUE,_xlfn._xlws.FILTER(GPU_brand[GPU brand], (GPU_brand[GPU brand text]&lt;&gt;"") * ISNUMBER(SEARCH(GPU_brand[GPU brand text], B542)), ""))</f>
        <v>ASUS</v>
      </c>
      <c r="H542" t="s">
        <v>16</v>
      </c>
      <c r="I542" t="s">
        <v>17</v>
      </c>
    </row>
    <row r="543" spans="1:9" hidden="1" x14ac:dyDescent="0.35">
      <c r="A543" t="s">
        <v>782</v>
      </c>
      <c r="B543" t="s">
        <v>1045</v>
      </c>
      <c r="C543">
        <v>4590000</v>
      </c>
      <c r="D543">
        <v>4590000</v>
      </c>
      <c r="E543" t="s">
        <v>1046</v>
      </c>
      <c r="F543" t="s">
        <v>12</v>
      </c>
      <c r="G543" t="str">
        <f>_xlfn.TEXTJOIN(",",TRUE,_xlfn._xlws.FILTER(GPU_brand[GPU brand], (GPU_brand[GPU brand text]&lt;&gt;"") * ISNUMBER(SEARCH(GPU_brand[GPU brand text], B543)), ""))</f>
        <v>Unika</v>
      </c>
      <c r="H543" t="s">
        <v>407</v>
      </c>
      <c r="I543" t="s">
        <v>323</v>
      </c>
    </row>
    <row r="544" spans="1:9" hidden="1" x14ac:dyDescent="0.35">
      <c r="A544" t="s">
        <v>782</v>
      </c>
      <c r="B544" t="s">
        <v>1047</v>
      </c>
      <c r="C544">
        <v>8190000</v>
      </c>
      <c r="D544">
        <v>8190000</v>
      </c>
      <c r="E544" t="s">
        <v>1048</v>
      </c>
      <c r="F544" t="s">
        <v>12</v>
      </c>
      <c r="G544" t="str">
        <f>_xlfn.TEXTJOIN(",",TRUE,_xlfn._xlws.FILTER(GPU_brand[GPU brand], (GPU_brand[GPU brand text]&lt;&gt;"") * ISNUMBER(SEARCH(GPU_brand[GPU brand text], B544)), ""))</f>
        <v>SimorChip</v>
      </c>
      <c r="H544" t="s">
        <v>329</v>
      </c>
      <c r="I544" t="s">
        <v>45</v>
      </c>
    </row>
    <row r="545" spans="1:9" hidden="1" x14ac:dyDescent="0.35">
      <c r="A545" t="s">
        <v>782</v>
      </c>
      <c r="B545" t="s">
        <v>1049</v>
      </c>
      <c r="C545">
        <v>1790000</v>
      </c>
      <c r="D545">
        <v>1790000</v>
      </c>
      <c r="E545" t="s">
        <v>1050</v>
      </c>
      <c r="F545" t="s">
        <v>12</v>
      </c>
      <c r="G545" t="str">
        <f>_xlfn.TEXTJOIN(",",TRUE,_xlfn._xlws.FILTER(GPU_brand[GPU brand], (GPU_brand[GPU brand text]&lt;&gt;"") * ISNUMBER(SEARCH(GPU_brand[GPU brand text], B545)), ""))</f>
        <v>T-WOLF</v>
      </c>
      <c r="H545" t="str">
        <f>_xlfn.TEXTJOIN(",",TRUE,_xlfn._xlws.FILTER(Chipset_Table[Chipset], (Chipset_Table[Chipset text]&lt;&gt;"") * ISNUMBER(SEARCH(Chipset_Table[Chipset text], B545)), ""))</f>
        <v>RX 550</v>
      </c>
      <c r="I545" t="s">
        <v>332</v>
      </c>
    </row>
    <row r="546" spans="1:9" hidden="1" x14ac:dyDescent="0.35">
      <c r="A546" t="s">
        <v>9</v>
      </c>
      <c r="B546" t="s">
        <v>86</v>
      </c>
      <c r="C546">
        <v>11990000</v>
      </c>
      <c r="D546">
        <v>11590000</v>
      </c>
      <c r="E546" t="s">
        <v>87</v>
      </c>
      <c r="F546" t="s">
        <v>1051</v>
      </c>
      <c r="G546" t="str">
        <f>_xlfn.TEXTJOIN(",",TRUE,_xlfn._xlws.FILTER(GPU_brand[GPU brand], (GPU_brand[GPU brand text]&lt;&gt;"") * ISNUMBER(SEARCH(GPU_brand[GPU brand text], B546)), ""))</f>
        <v>ASUS</v>
      </c>
      <c r="H546" t="str">
        <f>_xlfn.TEXTJOIN(",",TRUE,_xlfn._xlws.FILTER(Chipset_Table[Chipset], (Chipset_Table[Chipset text]&lt;&gt;"") * ISNUMBER(SEARCH(Chipset_Table[Chipset text], B546)), ""))</f>
        <v>GeForce RTX 5060</v>
      </c>
      <c r="I546" t="str">
        <f>_xlfn.TEXTJOIN(",",TRUE,_xlfn._xlws.FILTER(VRAM_table[Video memory], (VRAM_table[Video memory text]&lt;&gt;"") * ISNUMBER(SEARCH(VRAM_table[Video memory text], B546)), ""))</f>
        <v>8GB,8GB</v>
      </c>
    </row>
    <row r="547" spans="1:9" hidden="1" x14ac:dyDescent="0.35">
      <c r="A547" t="s">
        <v>9</v>
      </c>
      <c r="B547" t="s">
        <v>10</v>
      </c>
      <c r="C547">
        <v>21990000</v>
      </c>
      <c r="D547">
        <v>21490000</v>
      </c>
      <c r="E547" t="s">
        <v>11</v>
      </c>
      <c r="F547" t="s">
        <v>1051</v>
      </c>
      <c r="G547" t="str">
        <f>_xlfn.TEXTJOIN(",",TRUE,_xlfn._xlws.FILTER(GPU_brand[GPU brand], (GPU_brand[GPU brand text]&lt;&gt;"") * ISNUMBER(SEARCH(GPU_brand[GPU brand text], B547)), ""))</f>
        <v>ZOTAC</v>
      </c>
      <c r="H547" t="str">
        <f>_xlfn.TEXTJOIN(",",TRUE,_xlfn._xlws.FILTER(Chipset_Table[Chipset], (Chipset_Table[Chipset text]&lt;&gt;"") * ISNUMBER(SEARCH(Chipset_Table[Chipset text], B547)), ""))</f>
        <v>GeForce RTX 5070,RTX 5070</v>
      </c>
      <c r="I547" t="str">
        <f>_xlfn.TEXTJOIN(",",TRUE,_xlfn._xlws.FILTER(VRAM_table[Video memory], (VRAM_table[Video memory text]&lt;&gt;"") * ISNUMBER(SEARCH(VRAM_table[Video memory text], B547)), ""))</f>
        <v>12GB</v>
      </c>
    </row>
    <row r="548" spans="1:9" hidden="1" x14ac:dyDescent="0.35">
      <c r="A548" t="s">
        <v>9</v>
      </c>
      <c r="B548" t="s">
        <v>1052</v>
      </c>
      <c r="C548">
        <v>14490000</v>
      </c>
      <c r="D548">
        <v>13890000</v>
      </c>
      <c r="E548" t="s">
        <v>1053</v>
      </c>
      <c r="F548" t="s">
        <v>1051</v>
      </c>
      <c r="G548" t="str">
        <f>_xlfn.TEXTJOIN(",",TRUE,_xlfn._xlws.FILTER(GPU_brand[GPU brand], (GPU_brand[GPU brand text]&lt;&gt;"") * ISNUMBER(SEARCH(GPU_brand[GPU brand text], B548)), ""))</f>
        <v>ZOTAC</v>
      </c>
      <c r="H548" t="str">
        <f>_xlfn.TEXTJOIN(",",TRUE,_xlfn._xlws.FILTER(Chipset_Table[Chipset], (Chipset_Table[Chipset text]&lt;&gt;"") * ISNUMBER(SEARCH(Chipset_Table[Chipset text], B548)), ""))</f>
        <v>GeForce RTX 5060,GeForce RTX 5060 Ti,RTX 5060 Ti</v>
      </c>
      <c r="I548" t="str">
        <f>_xlfn.TEXTJOIN(",",TRUE,_xlfn._xlws.FILTER(VRAM_table[Video memory], (VRAM_table[Video memory text]&lt;&gt;"") * ISNUMBER(SEARCH(VRAM_table[Video memory text], B548)), ""))</f>
        <v>8GB,8GB</v>
      </c>
    </row>
    <row r="549" spans="1:9" hidden="1" x14ac:dyDescent="0.35">
      <c r="A549" t="s">
        <v>9</v>
      </c>
      <c r="B549" t="s">
        <v>18</v>
      </c>
      <c r="C549">
        <v>209990000</v>
      </c>
      <c r="D549">
        <v>199990000</v>
      </c>
      <c r="E549" t="s">
        <v>19</v>
      </c>
      <c r="F549" t="s">
        <v>1051</v>
      </c>
      <c r="G549" t="str">
        <f>_xlfn.TEXTJOIN(",",TRUE,_xlfn._xlws.FILTER(GPU_brand[GPU brand], (GPU_brand[GPU brand text]&lt;&gt;"") * ISNUMBER(SEARCH(GPU_brand[GPU brand text], B549)), ""))</f>
        <v>MSI</v>
      </c>
      <c r="H549" t="str">
        <f>_xlfn.TEXTJOIN(",",TRUE,_xlfn._xlws.FILTER(Chipset_Table[Chipset], (Chipset_Table[Chipset text]&lt;&gt;"") * ISNUMBER(SEARCH(Chipset_Table[Chipset text], B549)), ""))</f>
        <v>GeForce RTX 5090</v>
      </c>
      <c r="I549" t="str">
        <f>_xlfn.TEXTJOIN(",",TRUE,_xlfn._xlws.FILTER(VRAM_table[Video memory], (VRAM_table[Video memory text]&lt;&gt;"") * ISNUMBER(SEARCH(VRAM_table[Video memory text], B549)), ""))</f>
        <v>32GB,32GB,2GB</v>
      </c>
    </row>
    <row r="550" spans="1:9" hidden="1" x14ac:dyDescent="0.35">
      <c r="A550" t="s">
        <v>9</v>
      </c>
      <c r="B550" t="s">
        <v>21</v>
      </c>
      <c r="C550">
        <v>11990000</v>
      </c>
      <c r="D550">
        <v>11490000</v>
      </c>
      <c r="E550" t="s">
        <v>22</v>
      </c>
      <c r="F550" t="s">
        <v>1051</v>
      </c>
      <c r="G550" t="str">
        <f>_xlfn.TEXTJOIN(",",TRUE,_xlfn._xlws.FILTER(GPU_brand[GPU brand], (GPU_brand[GPU brand text]&lt;&gt;"") * ISNUMBER(SEARCH(GPU_brand[GPU brand text], B550)), ""))</f>
        <v>Gigabyte</v>
      </c>
      <c r="H550" t="str">
        <f>_xlfn.TEXTJOIN(",",TRUE,_xlfn._xlws.FILTER(Chipset_Table[Chipset], (Chipset_Table[Chipset text]&lt;&gt;"") * ISNUMBER(SEARCH(Chipset_Table[Chipset text], B550)), ""))</f>
        <v>GeForce RTX 5060</v>
      </c>
      <c r="I550" t="str">
        <f>_xlfn.TEXTJOIN(",",TRUE,_xlfn._xlws.FILTER(VRAM_table[Video memory], (VRAM_table[Video memory text]&lt;&gt;"") * ISNUMBER(SEARCH(VRAM_table[Video memory text], B550)), ""))</f>
        <v>8GB,8GB</v>
      </c>
    </row>
    <row r="551" spans="1:9" hidden="1" x14ac:dyDescent="0.35">
      <c r="A551" t="s">
        <v>9</v>
      </c>
      <c r="B551" t="s">
        <v>24</v>
      </c>
      <c r="C551">
        <v>9490000</v>
      </c>
      <c r="D551">
        <v>8990000</v>
      </c>
      <c r="E551" t="s">
        <v>25</v>
      </c>
      <c r="F551" t="s">
        <v>1051</v>
      </c>
      <c r="G551" t="str">
        <f>_xlfn.TEXTJOIN(",",TRUE,_xlfn._xlws.FILTER(GPU_brand[GPU brand], (GPU_brand[GPU brand text]&lt;&gt;"") * ISNUMBER(SEARCH(GPU_brand[GPU brand text], B551)), ""))</f>
        <v>ZOTAC</v>
      </c>
      <c r="H551" t="str">
        <f>_xlfn.TEXTJOIN(",",TRUE,_xlfn._xlws.FILTER(Chipset_Table[Chipset], (Chipset_Table[Chipset text]&lt;&gt;"") * ISNUMBER(SEARCH(Chipset_Table[Chipset text], B551)), ""))</f>
        <v>GEFORCE RTX 5050,RTX 5050</v>
      </c>
      <c r="I551" t="str">
        <f>_xlfn.TEXTJOIN(",",TRUE,_xlfn._xlws.FILTER(VRAM_table[Video memory], (VRAM_table[Video memory text]&lt;&gt;"") * ISNUMBER(SEARCH(VRAM_table[Video memory text], B551)), ""))</f>
        <v>8GB,8GB</v>
      </c>
    </row>
    <row r="552" spans="1:9" hidden="1" x14ac:dyDescent="0.35">
      <c r="A552" t="s">
        <v>9</v>
      </c>
      <c r="B552" t="s">
        <v>62</v>
      </c>
      <c r="C552">
        <v>13490000</v>
      </c>
      <c r="D552">
        <v>12490000</v>
      </c>
      <c r="E552" t="s">
        <v>63</v>
      </c>
      <c r="F552" t="s">
        <v>1051</v>
      </c>
      <c r="G552" t="str">
        <f>_xlfn.TEXTJOIN(",",TRUE,_xlfn._xlws.FILTER(GPU_brand[GPU brand], (GPU_brand[GPU brand text]&lt;&gt;"") * ISNUMBER(SEARCH(GPU_brand[GPU brand text], B552)), ""))</f>
        <v>ZOTAC</v>
      </c>
      <c r="H552" t="str">
        <f>_xlfn.TEXTJOIN(",",TRUE,_xlfn._xlws.FILTER(Chipset_Table[Chipset], (Chipset_Table[Chipset text]&lt;&gt;"") * ISNUMBER(SEARCH(Chipset_Table[Chipset text], B552)), ""))</f>
        <v>GeForce RTX 5060,GeForce RTX 5060 Ti,RTX 5060 Ti</v>
      </c>
      <c r="I552" t="str">
        <f>_xlfn.TEXTJOIN(",",TRUE,_xlfn._xlws.FILTER(VRAM_table[Video memory], (VRAM_table[Video memory text]&lt;&gt;"") * ISNUMBER(SEARCH(VRAM_table[Video memory text], B552)), ""))</f>
        <v>8GB,8GB</v>
      </c>
    </row>
    <row r="553" spans="1:9" hidden="1" x14ac:dyDescent="0.35">
      <c r="A553" t="s">
        <v>9</v>
      </c>
      <c r="B553" t="s">
        <v>27</v>
      </c>
      <c r="C553">
        <v>33990000</v>
      </c>
      <c r="D553">
        <v>32990000</v>
      </c>
      <c r="E553" t="s">
        <v>28</v>
      </c>
      <c r="F553" t="s">
        <v>1051</v>
      </c>
      <c r="G553" t="str">
        <f>_xlfn.TEXTJOIN(",",TRUE,_xlfn._xlws.FILTER(GPU_brand[GPU brand], (GPU_brand[GPU brand text]&lt;&gt;"") * ISNUMBER(SEARCH(GPU_brand[GPU brand text], B553)), ""))</f>
        <v>MSI</v>
      </c>
      <c r="H553" t="str">
        <f>_xlfn.TEXTJOIN(",",TRUE,_xlfn._xlws.FILTER(Chipset_Table[Chipset], (Chipset_Table[Chipset text]&lt;&gt;"") * ISNUMBER(SEARCH(Chipset_Table[Chipset text], B553)), ""))</f>
        <v>GeForce RTX 5070,GeForce RTX 5070 Ti,RTX 5070</v>
      </c>
      <c r="I553" t="str">
        <f>_xlfn.TEXTJOIN(",",TRUE,_xlfn._xlws.FILTER(VRAM_table[Video memory], (VRAM_table[Video memory text]&lt;&gt;"") * ISNUMBER(SEARCH(VRAM_table[Video memory text], B553)), ""))</f>
        <v>16GB,6GB</v>
      </c>
    </row>
    <row r="554" spans="1:9" hidden="1" x14ac:dyDescent="0.35">
      <c r="A554" t="s">
        <v>9</v>
      </c>
      <c r="B554" t="s">
        <v>29</v>
      </c>
      <c r="C554">
        <v>16990000</v>
      </c>
      <c r="D554">
        <v>15990000</v>
      </c>
      <c r="E554" t="s">
        <v>30</v>
      </c>
      <c r="F554" t="s">
        <v>1051</v>
      </c>
      <c r="G554" t="str">
        <f>_xlfn.TEXTJOIN(",",TRUE,_xlfn._xlws.FILTER(GPU_brand[GPU brand], (GPU_brand[GPU brand text]&lt;&gt;"") * ISNUMBER(SEARCH(GPU_brand[GPU brand text], B554)), ""))</f>
        <v>ZOTAC</v>
      </c>
      <c r="H554" t="str">
        <f>_xlfn.TEXTJOIN(",",TRUE,_xlfn._xlws.FILTER(Chipset_Table[Chipset], (Chipset_Table[Chipset text]&lt;&gt;"") * ISNUMBER(SEARCH(Chipset_Table[Chipset text], B554)), ""))</f>
        <v>GeForce RTX 5060,GeForce RTX 5060 Ti,RTX 5060 Ti</v>
      </c>
      <c r="I554" t="str">
        <f>_xlfn.TEXTJOIN(",",TRUE,_xlfn._xlws.FILTER(VRAM_table[Video memory], (VRAM_table[Video memory text]&lt;&gt;"") * ISNUMBER(SEARCH(VRAM_table[Video memory text], B554)), ""))</f>
        <v>16GB,16GB,6GB,6GB</v>
      </c>
    </row>
    <row r="555" spans="1:9" hidden="1" x14ac:dyDescent="0.35">
      <c r="A555" t="s">
        <v>9</v>
      </c>
      <c r="B555" t="s">
        <v>108</v>
      </c>
      <c r="C555">
        <v>11990000</v>
      </c>
      <c r="D555">
        <v>10990000</v>
      </c>
      <c r="E555" t="s">
        <v>109</v>
      </c>
      <c r="F555" t="s">
        <v>1051</v>
      </c>
      <c r="G555" t="str">
        <f>_xlfn.TEXTJOIN(",",TRUE,_xlfn._xlws.FILTER(GPU_brand[GPU brand], (GPU_brand[GPU brand text]&lt;&gt;"") * ISNUMBER(SEARCH(GPU_brand[GPU brand text], B555)), ""))</f>
        <v>MSI</v>
      </c>
      <c r="H555" t="str">
        <f>_xlfn.TEXTJOIN(",",TRUE,_xlfn._xlws.FILTER(Chipset_Table[Chipset], (Chipset_Table[Chipset text]&lt;&gt;"") * ISNUMBER(SEARCH(Chipset_Table[Chipset text], B555)), ""))</f>
        <v>GeForce RTX 5060</v>
      </c>
      <c r="I555" t="str">
        <f>_xlfn.TEXTJOIN(",",TRUE,_xlfn._xlws.FILTER(VRAM_table[Video memory], (VRAM_table[Video memory text]&lt;&gt;"") * ISNUMBER(SEARCH(VRAM_table[Video memory text], B555)), ""))</f>
        <v>8GB,8GB</v>
      </c>
    </row>
    <row r="556" spans="1:9" hidden="1" x14ac:dyDescent="0.35">
      <c r="A556" t="s">
        <v>9</v>
      </c>
      <c r="B556" t="s">
        <v>32</v>
      </c>
      <c r="C556">
        <v>11990000</v>
      </c>
      <c r="D556">
        <v>11490000</v>
      </c>
      <c r="E556" t="s">
        <v>33</v>
      </c>
      <c r="F556" t="s">
        <v>1051</v>
      </c>
      <c r="G556" t="str">
        <f>_xlfn.TEXTJOIN(",",TRUE,_xlfn._xlws.FILTER(GPU_brand[GPU brand], (GPU_brand[GPU brand text]&lt;&gt;"") * ISNUMBER(SEARCH(GPU_brand[GPU brand text], B556)), ""))</f>
        <v>MSI</v>
      </c>
      <c r="H556" t="str">
        <f>_xlfn.TEXTJOIN(",",TRUE,_xlfn._xlws.FILTER(Chipset_Table[Chipset], (Chipset_Table[Chipset text]&lt;&gt;"") * ISNUMBER(SEARCH(Chipset_Table[Chipset text], B556)), ""))</f>
        <v>GeForce RTX 5060</v>
      </c>
      <c r="I556" t="str">
        <f>_xlfn.TEXTJOIN(",",TRUE,_xlfn._xlws.FILTER(VRAM_table[Video memory], (VRAM_table[Video memory text]&lt;&gt;"") * ISNUMBER(SEARCH(VRAM_table[Video memory text], B556)), ""))</f>
        <v>8GB,8GB</v>
      </c>
    </row>
    <row r="557" spans="1:9" hidden="1" x14ac:dyDescent="0.35">
      <c r="A557" t="s">
        <v>9</v>
      </c>
      <c r="B557" t="s">
        <v>34</v>
      </c>
      <c r="C557">
        <v>11690000</v>
      </c>
      <c r="D557">
        <v>9990000</v>
      </c>
      <c r="E557" t="s">
        <v>35</v>
      </c>
      <c r="F557" t="s">
        <v>1051</v>
      </c>
      <c r="G557" t="str">
        <f>_xlfn.TEXTJOIN(",",TRUE,_xlfn._xlws.FILTER(GPU_brand[GPU brand], (GPU_brand[GPU brand text]&lt;&gt;"") * ISNUMBER(SEARCH(GPU_brand[GPU brand text], B557)), ""))</f>
        <v>Gigabyte</v>
      </c>
      <c r="H557" t="str">
        <f>_xlfn.TEXTJOIN(",",TRUE,_xlfn._xlws.FILTER(Chipset_Table[Chipset], (Chipset_Table[Chipset text]&lt;&gt;"") * ISNUMBER(SEARCH(Chipset_Table[Chipset text], B557)), ""))</f>
        <v>GeForce RTX 5060</v>
      </c>
      <c r="I557" t="str">
        <f>_xlfn.TEXTJOIN(",",TRUE,_xlfn._xlws.FILTER(VRAM_table[Video memory], (VRAM_table[Video memory text]&lt;&gt;"") * ISNUMBER(SEARCH(VRAM_table[Video memory text], B557)), ""))</f>
        <v>8GB,8GB</v>
      </c>
    </row>
    <row r="558" spans="1:9" hidden="1" x14ac:dyDescent="0.35">
      <c r="A558" t="s">
        <v>9</v>
      </c>
      <c r="B558" t="s">
        <v>14</v>
      </c>
      <c r="C558">
        <v>32990000</v>
      </c>
      <c r="D558">
        <v>31990000</v>
      </c>
      <c r="E558" t="s">
        <v>15</v>
      </c>
      <c r="F558" t="s">
        <v>1051</v>
      </c>
      <c r="G558" t="str">
        <f>_xlfn.TEXTJOIN(",",TRUE,_xlfn._xlws.FILTER(GPU_brand[GPU brand], (GPU_brand[GPU brand text]&lt;&gt;"") * ISNUMBER(SEARCH(GPU_brand[GPU brand text], B558)), ""))</f>
        <v>MSI</v>
      </c>
      <c r="H558" t="str">
        <f>_xlfn.TEXTJOIN(",",TRUE,_xlfn._xlws.FILTER(Chipset_Table[Chipset], (Chipset_Table[Chipset text]&lt;&gt;"") * ISNUMBER(SEARCH(Chipset_Table[Chipset text], B558)), ""))</f>
        <v>GeForce RTX 5070,GeForce RTX 5070 Ti,RTX 5070</v>
      </c>
      <c r="I558" t="str">
        <f>_xlfn.TEXTJOIN(",",TRUE,_xlfn._xlws.FILTER(VRAM_table[Video memory], (VRAM_table[Video memory text]&lt;&gt;"") * ISNUMBER(SEARCH(VRAM_table[Video memory text], B558)), ""))</f>
        <v>16GB,16GB,6GB,6GB</v>
      </c>
    </row>
    <row r="559" spans="1:9" hidden="1" x14ac:dyDescent="0.35">
      <c r="A559" t="s">
        <v>9</v>
      </c>
      <c r="B559" t="s">
        <v>36</v>
      </c>
      <c r="C559">
        <v>21490000</v>
      </c>
      <c r="D559">
        <v>19990000</v>
      </c>
      <c r="E559" t="s">
        <v>37</v>
      </c>
      <c r="F559" t="s">
        <v>1051</v>
      </c>
      <c r="G559" t="str">
        <f>_xlfn.TEXTJOIN(",",TRUE,_xlfn._xlws.FILTER(GPU_brand[GPU brand], (GPU_brand[GPU brand text]&lt;&gt;"") * ISNUMBER(SEARCH(GPU_brand[GPU brand text], B559)), ""))</f>
        <v>ASUS</v>
      </c>
      <c r="H559" t="str">
        <f>_xlfn.TEXTJOIN(",",TRUE,_xlfn._xlws.FILTER(Chipset_Table[Chipset], (Chipset_Table[Chipset text]&lt;&gt;"") * ISNUMBER(SEARCH(Chipset_Table[Chipset text], B559)), ""))</f>
        <v>GeForce RTX 5060,GeForce RTX 5060 Ti,RTX 5060 Ti</v>
      </c>
      <c r="I559" t="str">
        <f>_xlfn.TEXTJOIN(",",TRUE,_xlfn._xlws.FILTER(VRAM_table[Video memory], (VRAM_table[Video memory text]&lt;&gt;"") * ISNUMBER(SEARCH(VRAM_table[Video memory text], B559)), ""))</f>
        <v>16GB,16GB,6GB,6GB</v>
      </c>
    </row>
    <row r="560" spans="1:9" hidden="1" x14ac:dyDescent="0.35">
      <c r="A560" t="s">
        <v>9</v>
      </c>
      <c r="B560" t="s">
        <v>194</v>
      </c>
      <c r="C560">
        <v>118990000</v>
      </c>
      <c r="D560">
        <v>114990000</v>
      </c>
      <c r="E560" t="s">
        <v>195</v>
      </c>
      <c r="F560" t="s">
        <v>1051</v>
      </c>
      <c r="G560" t="str">
        <f>_xlfn.TEXTJOIN(",",TRUE,_xlfn._xlws.FILTER(GPU_brand[GPU brand], (GPU_brand[GPU brand text]&lt;&gt;"") * ISNUMBER(SEARCH(GPU_brand[GPU brand text], B560)), ""))</f>
        <v>MSI</v>
      </c>
      <c r="H560" t="str">
        <f>_xlfn.TEXTJOIN(",",TRUE,_xlfn._xlws.FILTER(Chipset_Table[Chipset], (Chipset_Table[Chipset text]&lt;&gt;"") * ISNUMBER(SEARCH(Chipset_Table[Chipset text], B560)), ""))</f>
        <v>GeForce RTX 5090</v>
      </c>
      <c r="I560" t="str">
        <f>_xlfn.TEXTJOIN(",",TRUE,_xlfn._xlws.FILTER(VRAM_table[Video memory], (VRAM_table[Video memory text]&lt;&gt;"") * ISNUMBER(SEARCH(VRAM_table[Video memory text], B560)), ""))</f>
        <v>32GB,2GB</v>
      </c>
    </row>
    <row r="561" spans="1:9" hidden="1" x14ac:dyDescent="0.35">
      <c r="A561" t="s">
        <v>9</v>
      </c>
      <c r="B561" t="s">
        <v>41</v>
      </c>
      <c r="C561">
        <v>39990000</v>
      </c>
      <c r="D561">
        <v>38990000</v>
      </c>
      <c r="E561" t="s">
        <v>42</v>
      </c>
      <c r="F561" t="s">
        <v>1051</v>
      </c>
      <c r="G561" t="str">
        <f>_xlfn.TEXTJOIN(",",TRUE,_xlfn._xlws.FILTER(GPU_brand[GPU brand], (GPU_brand[GPU brand text]&lt;&gt;"") * ISNUMBER(SEARCH(GPU_brand[GPU brand text], B561)), ""))</f>
        <v>MSI</v>
      </c>
      <c r="H561" t="str">
        <f>_xlfn.TEXTJOIN(",",TRUE,_xlfn._xlws.FILTER(Chipset_Table[Chipset], (Chipset_Table[Chipset text]&lt;&gt;"") * ISNUMBER(SEARCH(Chipset_Table[Chipset text], B561)), ""))</f>
        <v>GeForce RTX 5080,RTX 5080</v>
      </c>
      <c r="I561" t="str">
        <f>_xlfn.TEXTJOIN(",",TRUE,_xlfn._xlws.FILTER(VRAM_table[Video memory], (VRAM_table[Video memory text]&lt;&gt;"") * ISNUMBER(SEARCH(VRAM_table[Video memory text], B561)), ""))</f>
        <v>16GB,6GB</v>
      </c>
    </row>
    <row r="562" spans="1:9" hidden="1" x14ac:dyDescent="0.35">
      <c r="A562" t="s">
        <v>9</v>
      </c>
      <c r="B562" t="s">
        <v>210</v>
      </c>
      <c r="C562">
        <v>40990000</v>
      </c>
      <c r="D562">
        <v>39990000</v>
      </c>
      <c r="E562" t="s">
        <v>211</v>
      </c>
      <c r="F562" t="s">
        <v>1051</v>
      </c>
      <c r="G562" t="str">
        <f>_xlfn.TEXTJOIN(",",TRUE,_xlfn._xlws.FILTER(GPU_brand[GPU brand], (GPU_brand[GPU brand text]&lt;&gt;"") * ISNUMBER(SEARCH(GPU_brand[GPU brand text], B562)), ""))</f>
        <v>ASUS</v>
      </c>
      <c r="H562" t="str">
        <f>_xlfn.TEXTJOIN(",",TRUE,_xlfn._xlws.FILTER(Chipset_Table[Chipset], (Chipset_Table[Chipset text]&lt;&gt;"") * ISNUMBER(SEARCH(Chipset_Table[Chipset text], B562)), ""))</f>
        <v>GeForce RTX 5070,GeForce RTX 5070 Ti,RTX 5070</v>
      </c>
      <c r="I562" t="str">
        <f>_xlfn.TEXTJOIN(",",TRUE,_xlfn._xlws.FILTER(VRAM_table[Video memory], (VRAM_table[Video memory text]&lt;&gt;"") * ISNUMBER(SEARCH(VRAM_table[Video memory text], B562)), ""))</f>
        <v>16GB,16GB,6GB,6GB</v>
      </c>
    </row>
    <row r="563" spans="1:9" hidden="1" x14ac:dyDescent="0.35">
      <c r="A563" t="s">
        <v>9</v>
      </c>
      <c r="B563" t="s">
        <v>43</v>
      </c>
      <c r="C563">
        <v>25490000</v>
      </c>
      <c r="D563">
        <v>22990000</v>
      </c>
      <c r="E563" t="s">
        <v>44</v>
      </c>
      <c r="F563" t="s">
        <v>1051</v>
      </c>
      <c r="G563" t="str">
        <f>_xlfn.TEXTJOIN(",",TRUE,_xlfn._xlws.FILTER(GPU_brand[GPU brand], (GPU_brand[GPU brand text]&lt;&gt;"") * ISNUMBER(SEARCH(GPU_brand[GPU brand text], B563)), ""))</f>
        <v>Gigabyte</v>
      </c>
      <c r="H563" t="str">
        <f>_xlfn.TEXTJOIN(",",TRUE,_xlfn._xlws.FILTER(Chipset_Table[Chipset], (Chipset_Table[Chipset text]&lt;&gt;"") * ISNUMBER(SEARCH(Chipset_Table[Chipset text], B563)), ""))</f>
        <v>GeForce RTX 5070,RTX 5070</v>
      </c>
      <c r="I563" t="str">
        <f>_xlfn.TEXTJOIN(",",TRUE,_xlfn._xlws.FILTER(VRAM_table[Video memory], (VRAM_table[Video memory text]&lt;&gt;"") * ISNUMBER(SEARCH(VRAM_table[Video memory text], B563)), ""))</f>
        <v>12GB,2GB</v>
      </c>
    </row>
    <row r="564" spans="1:9" hidden="1" x14ac:dyDescent="0.35">
      <c r="A564" t="s">
        <v>9</v>
      </c>
      <c r="B564" t="s">
        <v>46</v>
      </c>
      <c r="C564">
        <v>32990000</v>
      </c>
      <c r="D564">
        <v>31490000</v>
      </c>
      <c r="E564" t="s">
        <v>47</v>
      </c>
      <c r="F564" t="s">
        <v>1051</v>
      </c>
      <c r="G564" t="str">
        <f>_xlfn.TEXTJOIN(",",TRUE,_xlfn._xlws.FILTER(GPU_brand[GPU brand], (GPU_brand[GPU brand text]&lt;&gt;"") * ISNUMBER(SEARCH(GPU_brand[GPU brand text], B564)), ""))</f>
        <v>Gigabyte</v>
      </c>
      <c r="H564" t="str">
        <f>_xlfn.TEXTJOIN(",",TRUE,_xlfn._xlws.FILTER(Chipset_Table[Chipset], (Chipset_Table[Chipset text]&lt;&gt;"") * ISNUMBER(SEARCH(Chipset_Table[Chipset text], B564)), ""))</f>
        <v>GeForce RTX 5070,GeForce RTX 5070 Ti,RTX 5070</v>
      </c>
      <c r="I564" t="str">
        <f>_xlfn.TEXTJOIN(",",TRUE,_xlfn._xlws.FILTER(VRAM_table[Video memory], (VRAM_table[Video memory text]&lt;&gt;"") * ISNUMBER(SEARCH(VRAM_table[Video memory text], B564)), ""))</f>
        <v>16GB,6GB</v>
      </c>
    </row>
    <row r="565" spans="1:9" hidden="1" x14ac:dyDescent="0.35">
      <c r="A565" t="s">
        <v>9</v>
      </c>
      <c r="B565" t="s">
        <v>48</v>
      </c>
      <c r="C565">
        <v>54990000</v>
      </c>
      <c r="D565">
        <v>49990000</v>
      </c>
      <c r="E565" t="s">
        <v>49</v>
      </c>
      <c r="F565" t="s">
        <v>1051</v>
      </c>
      <c r="G565" t="str">
        <f>_xlfn.TEXTJOIN(",",TRUE,_xlfn._xlws.FILTER(GPU_brand[GPU brand], (GPU_brand[GPU brand text]&lt;&gt;"") * ISNUMBER(SEARCH(GPU_brand[GPU brand text], B565)), ""))</f>
        <v>MSI</v>
      </c>
      <c r="H565" t="str">
        <f>_xlfn.TEXTJOIN(",",TRUE,_xlfn._xlws.FILTER(Chipset_Table[Chipset], (Chipset_Table[Chipset text]&lt;&gt;"") * ISNUMBER(SEARCH(Chipset_Table[Chipset text], B565)), ""))</f>
        <v>GeForce RTX 5080,RTX 5080</v>
      </c>
      <c r="I565" t="str">
        <f>_xlfn.TEXTJOIN(",",TRUE,_xlfn._xlws.FILTER(VRAM_table[Video memory], (VRAM_table[Video memory text]&lt;&gt;"") * ISNUMBER(SEARCH(VRAM_table[Video memory text], B565)), ""))</f>
        <v>16GB,6GB</v>
      </c>
    </row>
    <row r="566" spans="1:9" hidden="1" x14ac:dyDescent="0.35">
      <c r="A566" t="s">
        <v>9</v>
      </c>
      <c r="B566" t="s">
        <v>50</v>
      </c>
      <c r="C566">
        <v>0</v>
      </c>
      <c r="D566">
        <v>44690000</v>
      </c>
      <c r="E566" t="s">
        <v>51</v>
      </c>
      <c r="F566" t="s">
        <v>1051</v>
      </c>
      <c r="G566" t="str">
        <f>_xlfn.TEXTJOIN(",",TRUE,_xlfn._xlws.FILTER(GPU_brand[GPU brand], (GPU_brand[GPU brand text]&lt;&gt;"") * ISNUMBER(SEARCH(GPU_brand[GPU brand text], B566)), ""))</f>
        <v>MSI</v>
      </c>
      <c r="H566" t="str">
        <f>_xlfn.TEXTJOIN(",",TRUE,_xlfn._xlws.FILTER(Chipset_Table[Chipset], (Chipset_Table[Chipset text]&lt;&gt;"") * ISNUMBER(SEARCH(Chipset_Table[Chipset text], B566)), ""))</f>
        <v>GeForce RTX 5080,RTX 5080</v>
      </c>
      <c r="I566" t="str">
        <f>_xlfn.TEXTJOIN(",",TRUE,_xlfn._xlws.FILTER(VRAM_table[Video memory], (VRAM_table[Video memory text]&lt;&gt;"") * ISNUMBER(SEARCH(VRAM_table[Video memory text], B566)), ""))</f>
        <v>16GB,6GB</v>
      </c>
    </row>
    <row r="567" spans="1:9" hidden="1" x14ac:dyDescent="0.35">
      <c r="A567" t="s">
        <v>9</v>
      </c>
      <c r="B567" t="s">
        <v>288</v>
      </c>
      <c r="C567">
        <v>129990000</v>
      </c>
      <c r="D567">
        <v>125990000</v>
      </c>
      <c r="E567" t="s">
        <v>289</v>
      </c>
      <c r="F567" t="s">
        <v>1051</v>
      </c>
      <c r="G567" t="str">
        <f>_xlfn.TEXTJOIN(",",TRUE,_xlfn._xlws.FILTER(GPU_brand[GPU brand], (GPU_brand[GPU brand text]&lt;&gt;"") * ISNUMBER(SEARCH(GPU_brand[GPU brand text], B567)), ""))</f>
        <v>MSI</v>
      </c>
      <c r="H567" t="str">
        <f>_xlfn.TEXTJOIN(",",TRUE,_xlfn._xlws.FILTER(Chipset_Table[Chipset], (Chipset_Table[Chipset text]&lt;&gt;"") * ISNUMBER(SEARCH(Chipset_Table[Chipset text], B567)), ""))</f>
        <v>GeForce RTX 5090</v>
      </c>
      <c r="I567" t="str">
        <f>_xlfn.TEXTJOIN(",",TRUE,_xlfn._xlws.FILTER(VRAM_table[Video memory], (VRAM_table[Video memory text]&lt;&gt;"") * ISNUMBER(SEARCH(VRAM_table[Video memory text], B567)), ""))</f>
        <v>32GB,2GB</v>
      </c>
    </row>
    <row r="568" spans="1:9" hidden="1" x14ac:dyDescent="0.35">
      <c r="A568" t="s">
        <v>9</v>
      </c>
      <c r="B568" t="s">
        <v>52</v>
      </c>
      <c r="C568">
        <v>49990000</v>
      </c>
      <c r="D568">
        <v>46990000</v>
      </c>
      <c r="E568" t="s">
        <v>53</v>
      </c>
      <c r="F568" t="s">
        <v>1051</v>
      </c>
      <c r="G568" t="str">
        <f>_xlfn.TEXTJOIN(",",TRUE,_xlfn._xlws.FILTER(GPU_brand[GPU brand], (GPU_brand[GPU brand text]&lt;&gt;"") * ISNUMBER(SEARCH(GPU_brand[GPU brand text], B568)), ""))</f>
        <v>ASUS</v>
      </c>
      <c r="H568" t="str">
        <f>_xlfn.TEXTJOIN(",",TRUE,_xlfn._xlws.FILTER(Chipset_Table[Chipset], (Chipset_Table[Chipset text]&lt;&gt;"") * ISNUMBER(SEARCH(Chipset_Table[Chipset text], B568)), ""))</f>
        <v>GeForce RTX 5080,RTX 5080</v>
      </c>
      <c r="I568" t="str">
        <f>_xlfn.TEXTJOIN(",",TRUE,_xlfn._xlws.FILTER(VRAM_table[Video memory], (VRAM_table[Video memory text]&lt;&gt;"") * ISNUMBER(SEARCH(VRAM_table[Video memory text], B568)), ""))</f>
        <v>16GB,16GB,6GB,6GB</v>
      </c>
    </row>
    <row r="569" spans="1:9" hidden="1" x14ac:dyDescent="0.35">
      <c r="A569" t="s">
        <v>9</v>
      </c>
      <c r="B569" t="s">
        <v>54</v>
      </c>
      <c r="C569">
        <v>59990000</v>
      </c>
      <c r="D569">
        <v>57990000</v>
      </c>
      <c r="E569" t="s">
        <v>55</v>
      </c>
      <c r="F569" t="s">
        <v>1051</v>
      </c>
      <c r="G569" t="str">
        <f>_xlfn.TEXTJOIN(",",TRUE,_xlfn._xlws.FILTER(GPU_brand[GPU brand], (GPU_brand[GPU brand text]&lt;&gt;"") * ISNUMBER(SEARCH(GPU_brand[GPU brand text], B569)), ""))</f>
        <v>ASUS</v>
      </c>
      <c r="H569" t="str">
        <f>_xlfn.TEXTJOIN(",",TRUE,_xlfn._xlws.FILTER(Chipset_Table[Chipset], (Chipset_Table[Chipset text]&lt;&gt;"") * ISNUMBER(SEARCH(Chipset_Table[Chipset text], B569)), ""))</f>
        <v>GeForce RTX 5080,RTX 5080</v>
      </c>
      <c r="I569" t="str">
        <f>_xlfn.TEXTJOIN(",",TRUE,_xlfn._xlws.FILTER(VRAM_table[Video memory], (VRAM_table[Video memory text]&lt;&gt;"") * ISNUMBER(SEARCH(VRAM_table[Video memory text], B569)), ""))</f>
        <v>16GB,16GB,6GB,6GB</v>
      </c>
    </row>
    <row r="570" spans="1:9" hidden="1" x14ac:dyDescent="0.35">
      <c r="A570" t="s">
        <v>9</v>
      </c>
      <c r="B570" t="s">
        <v>56</v>
      </c>
      <c r="C570">
        <v>129990000</v>
      </c>
      <c r="D570">
        <v>124990000</v>
      </c>
      <c r="E570" t="s">
        <v>57</v>
      </c>
      <c r="F570" t="s">
        <v>1051</v>
      </c>
      <c r="G570" t="str">
        <f>_xlfn.TEXTJOIN(",",TRUE,_xlfn._xlws.FILTER(GPU_brand[GPU brand], (GPU_brand[GPU brand text]&lt;&gt;"") * ISNUMBER(SEARCH(GPU_brand[GPU brand text], B570)), ""))</f>
        <v>ASUS</v>
      </c>
      <c r="H570" t="str">
        <f>_xlfn.TEXTJOIN(",",TRUE,_xlfn._xlws.FILTER(Chipset_Table[Chipset], (Chipset_Table[Chipset text]&lt;&gt;"") * ISNUMBER(SEARCH(Chipset_Table[Chipset text], B570)), ""))</f>
        <v>GeForce RTX 5090</v>
      </c>
      <c r="I570" t="str">
        <f>_xlfn.TEXTJOIN(",",TRUE,_xlfn._xlws.FILTER(VRAM_table[Video memory], (VRAM_table[Video memory text]&lt;&gt;"") * ISNUMBER(SEARCH(VRAM_table[Video memory text], B570)), ""))</f>
        <v>32GB,32GB,2GB</v>
      </c>
    </row>
    <row r="571" spans="1:9" hidden="1" x14ac:dyDescent="0.35">
      <c r="A571" t="s">
        <v>9</v>
      </c>
      <c r="B571" t="s">
        <v>58</v>
      </c>
      <c r="C571">
        <v>135000000</v>
      </c>
      <c r="D571">
        <v>134990000</v>
      </c>
      <c r="E571" t="s">
        <v>59</v>
      </c>
      <c r="F571" t="s">
        <v>1051</v>
      </c>
      <c r="G571" t="str">
        <f>_xlfn.TEXTJOIN(",",TRUE,_xlfn._xlws.FILTER(GPU_brand[GPU brand], (GPU_brand[GPU brand text]&lt;&gt;"") * ISNUMBER(SEARCH(GPU_brand[GPU brand text], B571)), ""))</f>
        <v>ASUS</v>
      </c>
      <c r="H571" t="str">
        <f>_xlfn.TEXTJOIN(",",TRUE,_xlfn._xlws.FILTER(Chipset_Table[Chipset], (Chipset_Table[Chipset text]&lt;&gt;"") * ISNUMBER(SEARCH(Chipset_Table[Chipset text], B571)), ""))</f>
        <v>GeForce RTX 5090</v>
      </c>
      <c r="I571" t="str">
        <f>_xlfn.TEXTJOIN(",",TRUE,_xlfn._xlws.FILTER(VRAM_table[Video memory], (VRAM_table[Video memory text]&lt;&gt;"") * ISNUMBER(SEARCH(VRAM_table[Video memory text], B571)), ""))</f>
        <v>32GB,32GB,2GB</v>
      </c>
    </row>
    <row r="572" spans="1:9" hidden="1" x14ac:dyDescent="0.35">
      <c r="A572" t="s">
        <v>9</v>
      </c>
      <c r="B572" t="s">
        <v>60</v>
      </c>
      <c r="C572">
        <v>13490000</v>
      </c>
      <c r="D572">
        <v>12990000</v>
      </c>
      <c r="E572" t="s">
        <v>61</v>
      </c>
      <c r="F572" t="s">
        <v>1051</v>
      </c>
      <c r="G572" t="str">
        <f>_xlfn.TEXTJOIN(",",TRUE,_xlfn._xlws.FILTER(GPU_brand[GPU brand], (GPU_brand[GPU brand text]&lt;&gt;"") * ISNUMBER(SEARCH(GPU_brand[GPU brand text], B572)), ""))</f>
        <v>MSI</v>
      </c>
      <c r="H572" t="str">
        <f>_xlfn.TEXTJOIN(",",TRUE,_xlfn._xlws.FILTER(Chipset_Table[Chipset], (Chipset_Table[Chipset text]&lt;&gt;"") * ISNUMBER(SEARCH(Chipset_Table[Chipset text], B572)), ""))</f>
        <v>GeForce RTX 5060,GeForce RTX 5060 Ti,RTX 5060 Ti</v>
      </c>
      <c r="I572" t="str">
        <f>_xlfn.TEXTJOIN(",",TRUE,_xlfn._xlws.FILTER(VRAM_table[Video memory], (VRAM_table[Video memory text]&lt;&gt;"") * ISNUMBER(SEARCH(VRAM_table[Video memory text], B572)), ""))</f>
        <v>8GB,8GB</v>
      </c>
    </row>
    <row r="573" spans="1:9" hidden="1" x14ac:dyDescent="0.35">
      <c r="A573" t="s">
        <v>9</v>
      </c>
      <c r="B573" t="s">
        <v>64</v>
      </c>
      <c r="C573">
        <v>15990000</v>
      </c>
      <c r="D573">
        <v>14990000</v>
      </c>
      <c r="E573" t="s">
        <v>65</v>
      </c>
      <c r="F573" t="s">
        <v>1051</v>
      </c>
      <c r="G573" t="str">
        <f>_xlfn.TEXTJOIN(",",TRUE,_xlfn._xlws.FILTER(GPU_brand[GPU brand], (GPU_brand[GPU brand text]&lt;&gt;"") * ISNUMBER(SEARCH(GPU_brand[GPU brand text], B573)), ""))</f>
        <v>ZOTAC</v>
      </c>
      <c r="H573" t="str">
        <f>_xlfn.TEXTJOIN(",",TRUE,_xlfn._xlws.FILTER(Chipset_Table[Chipset], (Chipset_Table[Chipset text]&lt;&gt;"") * ISNUMBER(SEARCH(Chipset_Table[Chipset text], B573)), ""))</f>
        <v>GeForce RTX 5060,GeForce RTX 5060 Ti,RTX 5060 Ti</v>
      </c>
      <c r="I573" t="str">
        <f>_xlfn.TEXTJOIN(",",TRUE,_xlfn._xlws.FILTER(VRAM_table[Video memory], (VRAM_table[Video memory text]&lt;&gt;"") * ISNUMBER(SEARCH(VRAM_table[Video memory text], B573)), ""))</f>
        <v>16GB,16GB,6GB,6GB</v>
      </c>
    </row>
    <row r="574" spans="1:9" hidden="1" x14ac:dyDescent="0.35">
      <c r="A574" t="s">
        <v>9</v>
      </c>
      <c r="B574" t="s">
        <v>66</v>
      </c>
      <c r="C574">
        <v>19990000</v>
      </c>
      <c r="D574">
        <v>18990000</v>
      </c>
      <c r="E574" t="s">
        <v>67</v>
      </c>
      <c r="F574" t="s">
        <v>1051</v>
      </c>
      <c r="G574" t="str">
        <f>_xlfn.TEXTJOIN(",",TRUE,_xlfn._xlws.FILTER(GPU_brand[GPU brand], (GPU_brand[GPU brand text]&lt;&gt;"") * ISNUMBER(SEARCH(GPU_brand[GPU brand text], B574)), ""))</f>
        <v>ZOTAC</v>
      </c>
      <c r="H574" t="str">
        <f>_xlfn.TEXTJOIN(",",TRUE,_xlfn._xlws.FILTER(Chipset_Table[Chipset], (Chipset_Table[Chipset text]&lt;&gt;"") * ISNUMBER(SEARCH(Chipset_Table[Chipset text], B574)), ""))</f>
        <v>GeForce RTX 5070,RTX 5070</v>
      </c>
      <c r="I574" t="str">
        <f>_xlfn.TEXTJOIN(",",TRUE,_xlfn._xlws.FILTER(VRAM_table[Video memory], (VRAM_table[Video memory text]&lt;&gt;"") * ISNUMBER(SEARCH(VRAM_table[Video memory text], B574)), ""))</f>
        <v>12GB</v>
      </c>
    </row>
    <row r="575" spans="1:9" hidden="1" x14ac:dyDescent="0.35">
      <c r="A575" t="s">
        <v>9</v>
      </c>
      <c r="B575" t="s">
        <v>68</v>
      </c>
      <c r="C575">
        <v>28490000</v>
      </c>
      <c r="D575">
        <v>27990000</v>
      </c>
      <c r="E575" t="s">
        <v>69</v>
      </c>
      <c r="F575" t="s">
        <v>1051</v>
      </c>
      <c r="G575" t="str">
        <f>_xlfn.TEXTJOIN(",",TRUE,_xlfn._xlws.FILTER(GPU_brand[GPU brand], (GPU_brand[GPU brand text]&lt;&gt;"") * ISNUMBER(SEARCH(GPU_brand[GPU brand text], B575)), ""))</f>
        <v>MSI</v>
      </c>
      <c r="H575" t="str">
        <f>_xlfn.TEXTJOIN(",",TRUE,_xlfn._xlws.FILTER(Chipset_Table[Chipset], (Chipset_Table[Chipset text]&lt;&gt;"") * ISNUMBER(SEARCH(Chipset_Table[Chipset text], B575)), ""))</f>
        <v>GeForce RTX 5070,GeForce RTX 5070 Ti,RTX 5070</v>
      </c>
      <c r="I575" t="str">
        <f>_xlfn.TEXTJOIN(",",TRUE,_xlfn._xlws.FILTER(VRAM_table[Video memory], (VRAM_table[Video memory text]&lt;&gt;"") * ISNUMBER(SEARCH(VRAM_table[Video memory text], B575)), ""))</f>
        <v>16GB,6GB</v>
      </c>
    </row>
    <row r="576" spans="1:9" hidden="1" x14ac:dyDescent="0.35">
      <c r="A576" t="s">
        <v>9</v>
      </c>
      <c r="B576" t="s">
        <v>70</v>
      </c>
      <c r="C576">
        <v>0</v>
      </c>
      <c r="D576">
        <v>188000000</v>
      </c>
      <c r="E576" t="s">
        <v>71</v>
      </c>
      <c r="F576" t="s">
        <v>1051</v>
      </c>
      <c r="G576" t="str">
        <f>_xlfn.TEXTJOIN(",",TRUE,_xlfn._xlws.FILTER(GPU_brand[GPU brand], (GPU_brand[GPU brand text]&lt;&gt;"") * ISNUMBER(SEARCH(GPU_brand[GPU brand text], B576)), ""))</f>
        <v>ASUS</v>
      </c>
      <c r="H576" t="str">
        <f>_xlfn.TEXTJOIN(",",TRUE,_xlfn._xlws.FILTER(Chipset_Table[Chipset], (Chipset_Table[Chipset text]&lt;&gt;"") * ISNUMBER(SEARCH(Chipset_Table[Chipset text], B576)), ""))</f>
        <v>GeForce RTX 5090</v>
      </c>
      <c r="I576" t="str">
        <f>_xlfn.TEXTJOIN(",",TRUE,_xlfn._xlws.FILTER(VRAM_table[Video memory], (VRAM_table[Video memory text]&lt;&gt;"") * ISNUMBER(SEARCH(VRAM_table[Video memory text], B576)), ""))</f>
        <v>32GB,32GB,2GB</v>
      </c>
    </row>
    <row r="577" spans="1:9" hidden="1" x14ac:dyDescent="0.35">
      <c r="A577" t="s">
        <v>9</v>
      </c>
      <c r="B577" t="s">
        <v>72</v>
      </c>
      <c r="C577">
        <v>20990000</v>
      </c>
      <c r="D577">
        <v>20490000</v>
      </c>
      <c r="E577" t="s">
        <v>73</v>
      </c>
      <c r="F577" t="s">
        <v>1051</v>
      </c>
      <c r="G577" t="str">
        <f>_xlfn.TEXTJOIN(",",TRUE,_xlfn._xlws.FILTER(GPU_brand[GPU brand], (GPU_brand[GPU brand text]&lt;&gt;"") * ISNUMBER(SEARCH(GPU_brand[GPU brand text], B577)), ""))</f>
        <v>ASUS</v>
      </c>
      <c r="H577" t="str">
        <f>_xlfn.TEXTJOIN(",",TRUE,_xlfn._xlws.FILTER(Chipset_Table[Chipset], (Chipset_Table[Chipset text]&lt;&gt;"") * ISNUMBER(SEARCH(Chipset_Table[Chipset text], B577)), ""))</f>
        <v>GeForce RTX 5070,RTX 5070</v>
      </c>
      <c r="I577" t="str">
        <f>_xlfn.TEXTJOIN(",",TRUE,_xlfn._xlws.FILTER(VRAM_table[Video memory], (VRAM_table[Video memory text]&lt;&gt;"") * ISNUMBER(SEARCH(VRAM_table[Video memory text], B577)), ""))</f>
        <v>12GB,2GB</v>
      </c>
    </row>
    <row r="578" spans="1:9" hidden="1" x14ac:dyDescent="0.35">
      <c r="A578" t="s">
        <v>9</v>
      </c>
      <c r="B578" t="s">
        <v>74</v>
      </c>
      <c r="C578">
        <v>14990000</v>
      </c>
      <c r="D578">
        <v>14490000</v>
      </c>
      <c r="E578" t="s">
        <v>75</v>
      </c>
      <c r="F578" t="s">
        <v>1051</v>
      </c>
      <c r="G578" t="str">
        <f>_xlfn.TEXTJOIN(",",TRUE,_xlfn._xlws.FILTER(GPU_brand[GPU brand], (GPU_brand[GPU brand text]&lt;&gt;"") * ISNUMBER(SEARCH(GPU_brand[GPU brand text], B578)), ""))</f>
        <v>MSI</v>
      </c>
      <c r="H578" t="str">
        <f>_xlfn.TEXTJOIN(",",TRUE,_xlfn._xlws.FILTER(Chipset_Table[Chipset], (Chipset_Table[Chipset text]&lt;&gt;"") * ISNUMBER(SEARCH(Chipset_Table[Chipset text], B578)), ""))</f>
        <v>GeForce RTX 5060,GeForce RTX 5060 Ti,RTX 5060 Ti</v>
      </c>
      <c r="I578" t="str">
        <f>_xlfn.TEXTJOIN(",",TRUE,_xlfn._xlws.FILTER(VRAM_table[Video memory], (VRAM_table[Video memory text]&lt;&gt;"") * ISNUMBER(SEARCH(VRAM_table[Video memory text], B578)), ""))</f>
        <v>16GB,16GB,6GB,6GB</v>
      </c>
    </row>
    <row r="579" spans="1:9" hidden="1" x14ac:dyDescent="0.35">
      <c r="A579" t="s">
        <v>9</v>
      </c>
      <c r="B579" t="s">
        <v>76</v>
      </c>
      <c r="C579">
        <v>104990000</v>
      </c>
      <c r="D579">
        <v>103990000</v>
      </c>
      <c r="E579" t="s">
        <v>77</v>
      </c>
      <c r="F579" t="s">
        <v>1051</v>
      </c>
      <c r="G579" t="str">
        <f>_xlfn.TEXTJOIN(",",TRUE,_xlfn._xlws.FILTER(GPU_brand[GPU brand], (GPU_brand[GPU brand text]&lt;&gt;"") * ISNUMBER(SEARCH(GPU_brand[GPU brand text], B579)), ""))</f>
        <v>ASUS</v>
      </c>
      <c r="H579" t="str">
        <f>_xlfn.TEXTJOIN(",",TRUE,_xlfn._xlws.FILTER(Chipset_Table[Chipset], (Chipset_Table[Chipset text]&lt;&gt;"") * ISNUMBER(SEARCH(Chipset_Table[Chipset text], B579)), ""))</f>
        <v>GeForce RTX 5090</v>
      </c>
      <c r="I579" t="str">
        <f>_xlfn.TEXTJOIN(",",TRUE,_xlfn._xlws.FILTER(VRAM_table[Video memory], (VRAM_table[Video memory text]&lt;&gt;"") * ISNUMBER(SEARCH(VRAM_table[Video memory text], B579)), ""))</f>
        <v>32GB,32GB,2GB</v>
      </c>
    </row>
    <row r="580" spans="1:9" hidden="1" x14ac:dyDescent="0.35">
      <c r="A580" t="s">
        <v>9</v>
      </c>
      <c r="B580" t="s">
        <v>78</v>
      </c>
      <c r="C580">
        <v>0</v>
      </c>
      <c r="D580">
        <v>32990000</v>
      </c>
      <c r="E580" t="s">
        <v>79</v>
      </c>
      <c r="F580" t="s">
        <v>1051</v>
      </c>
      <c r="G580" t="str">
        <f>_xlfn.TEXTJOIN(",",TRUE,_xlfn._xlws.FILTER(GPU_brand[GPU brand], (GPU_brand[GPU brand text]&lt;&gt;"") * ISNUMBER(SEARCH(GPU_brand[GPU brand text], B580)), ""))</f>
        <v>MSI</v>
      </c>
      <c r="H580" t="str">
        <f>_xlfn.TEXTJOIN(",",TRUE,_xlfn._xlws.FILTER(Chipset_Table[Chipset], (Chipset_Table[Chipset text]&lt;&gt;"") * ISNUMBER(SEARCH(Chipset_Table[Chipset text], B580)), ""))</f>
        <v>GeForce RTX 5070,GeForce RTX 5070 Ti,RTX 5070</v>
      </c>
      <c r="I580" t="str">
        <f>_xlfn.TEXTJOIN(",",TRUE,_xlfn._xlws.FILTER(VRAM_table[Video memory], (VRAM_table[Video memory text]&lt;&gt;"") * ISNUMBER(SEARCH(VRAM_table[Video memory text], B580)), ""))</f>
        <v>16GB,6GB</v>
      </c>
    </row>
    <row r="581" spans="1:9" hidden="1" x14ac:dyDescent="0.35">
      <c r="A581" t="s">
        <v>9</v>
      </c>
      <c r="B581" t="s">
        <v>80</v>
      </c>
      <c r="C581">
        <v>0</v>
      </c>
      <c r="D581">
        <v>54120000</v>
      </c>
      <c r="E581" t="s">
        <v>81</v>
      </c>
      <c r="F581" t="s">
        <v>1051</v>
      </c>
      <c r="G581" t="str">
        <f>_xlfn.TEXTJOIN(",",TRUE,_xlfn._xlws.FILTER(GPU_brand[GPU brand], (GPU_brand[GPU brand text]&lt;&gt;"") * ISNUMBER(SEARCH(GPU_brand[GPU brand text], B581)), ""))</f>
        <v>ASUS</v>
      </c>
      <c r="H581" t="str">
        <f>_xlfn.TEXTJOIN(",",TRUE,_xlfn._xlws.FILTER(Chipset_Table[Chipset], (Chipset_Table[Chipset text]&lt;&gt;"") * ISNUMBER(SEARCH(Chipset_Table[Chipset text], B581)), ""))</f>
        <v>GeForce RTX 5080,RTX 5080</v>
      </c>
      <c r="I581" t="str">
        <f>_xlfn.TEXTJOIN(",",TRUE,_xlfn._xlws.FILTER(VRAM_table[Video memory], (VRAM_table[Video memory text]&lt;&gt;"") * ISNUMBER(SEARCH(VRAM_table[Video memory text], B581)), ""))</f>
        <v>16GB,16GB,6GB,6GB</v>
      </c>
    </row>
    <row r="582" spans="1:9" hidden="1" x14ac:dyDescent="0.35">
      <c r="A582" t="s">
        <v>9</v>
      </c>
      <c r="B582" t="s">
        <v>82</v>
      </c>
      <c r="C582">
        <v>54990000</v>
      </c>
      <c r="D582">
        <v>53990000</v>
      </c>
      <c r="E582" t="s">
        <v>83</v>
      </c>
      <c r="F582" t="s">
        <v>1051</v>
      </c>
      <c r="G582" t="str">
        <f>_xlfn.TEXTJOIN(",",TRUE,_xlfn._xlws.FILTER(GPU_brand[GPU brand], (GPU_brand[GPU brand text]&lt;&gt;"") * ISNUMBER(SEARCH(GPU_brand[GPU brand text], B582)), ""))</f>
        <v>ASUS</v>
      </c>
      <c r="H582" t="str">
        <f>_xlfn.TEXTJOIN(",",TRUE,_xlfn._xlws.FILTER(Chipset_Table[Chipset], (Chipset_Table[Chipset text]&lt;&gt;"") * ISNUMBER(SEARCH(Chipset_Table[Chipset text], B582)), ""))</f>
        <v>GeForce RTX 5080,RTX 5080</v>
      </c>
      <c r="I582" t="str">
        <f>_xlfn.TEXTJOIN(",",TRUE,_xlfn._xlws.FILTER(VRAM_table[Video memory], (VRAM_table[Video memory text]&lt;&gt;"") * ISNUMBER(SEARCH(VRAM_table[Video memory text], B582)), ""))</f>
        <v>16GB,16GB,6GB,6GB</v>
      </c>
    </row>
    <row r="583" spans="1:9" hidden="1" x14ac:dyDescent="0.35">
      <c r="A583" t="s">
        <v>9</v>
      </c>
      <c r="B583" t="s">
        <v>84</v>
      </c>
      <c r="C583">
        <v>114990000</v>
      </c>
      <c r="D583">
        <v>102990000</v>
      </c>
      <c r="E583" t="s">
        <v>85</v>
      </c>
      <c r="F583" t="s">
        <v>1051</v>
      </c>
      <c r="G583" t="str">
        <f>_xlfn.TEXTJOIN(",",TRUE,_xlfn._xlws.FILTER(GPU_brand[GPU brand], (GPU_brand[GPU brand text]&lt;&gt;"") * ISNUMBER(SEARCH(GPU_brand[GPU brand text], B583)), ""))</f>
        <v>ASUS</v>
      </c>
      <c r="H583" t="str">
        <f>_xlfn.TEXTJOIN(",",TRUE,_xlfn._xlws.FILTER(Chipset_Table[Chipset], (Chipset_Table[Chipset text]&lt;&gt;"") * ISNUMBER(SEARCH(Chipset_Table[Chipset text], B583)), ""))</f>
        <v>GeForce RTX 5090</v>
      </c>
      <c r="I583" t="str">
        <f>_xlfn.TEXTJOIN(",",TRUE,_xlfn._xlws.FILTER(VRAM_table[Video memory], (VRAM_table[Video memory text]&lt;&gt;"") * ISNUMBER(SEARCH(VRAM_table[Video memory text], B583)), ""))</f>
        <v>32GB,32GB,2GB</v>
      </c>
    </row>
    <row r="584" spans="1:9" hidden="1" x14ac:dyDescent="0.35">
      <c r="A584" t="s">
        <v>9</v>
      </c>
      <c r="B584" t="s">
        <v>88</v>
      </c>
      <c r="C584">
        <v>8290000</v>
      </c>
      <c r="D584">
        <v>7890000</v>
      </c>
      <c r="E584" t="s">
        <v>89</v>
      </c>
      <c r="F584" t="s">
        <v>1051</v>
      </c>
      <c r="G584" t="str">
        <f>_xlfn.TEXTJOIN(",",TRUE,_xlfn._xlws.FILTER(GPU_brand[GPU brand], (GPU_brand[GPU brand text]&lt;&gt;"") * ISNUMBER(SEARCH(GPU_brand[GPU brand text], B584)), ""))</f>
        <v>ASUS</v>
      </c>
      <c r="H584" t="str">
        <f>_xlfn.TEXTJOIN(",",TRUE,_xlfn._xlws.FILTER(Chipset_Table[Chipset], (Chipset_Table[Chipset text]&lt;&gt;"") * ISNUMBER(SEARCH(Chipset_Table[Chipset text], B584)), ""))</f>
        <v>GEFORCE RTX 5050,RTX 5050</v>
      </c>
      <c r="I584" t="str">
        <f>_xlfn.TEXTJOIN(",",TRUE,_xlfn._xlws.FILTER(VRAM_table[Video memory], (VRAM_table[Video memory text]&lt;&gt;"") * ISNUMBER(SEARCH(VRAM_table[Video memory text], B584)), ""))</f>
        <v>8GB,8GB</v>
      </c>
    </row>
    <row r="585" spans="1:9" hidden="1" x14ac:dyDescent="0.35">
      <c r="A585" t="s">
        <v>9</v>
      </c>
      <c r="B585" t="s">
        <v>90</v>
      </c>
      <c r="C585">
        <v>9590000</v>
      </c>
      <c r="D585">
        <v>9390000</v>
      </c>
      <c r="E585" t="s">
        <v>91</v>
      </c>
      <c r="F585" t="s">
        <v>1051</v>
      </c>
      <c r="G585" t="str">
        <f>_xlfn.TEXTJOIN(",",TRUE,_xlfn._xlws.FILTER(GPU_brand[GPU brand], (GPU_brand[GPU brand text]&lt;&gt;"") * ISNUMBER(SEARCH(GPU_brand[GPU brand text], B585)), ""))</f>
        <v>ASUS</v>
      </c>
      <c r="H585" t="str">
        <f>_xlfn.TEXTJOIN(",",TRUE,_xlfn._xlws.FILTER(Chipset_Table[Chipset], (Chipset_Table[Chipset text]&lt;&gt;"") * ISNUMBER(SEARCH(Chipset_Table[Chipset text], B585)), ""))</f>
        <v>GEFORCE RTX 5050,RTX 5050</v>
      </c>
      <c r="I585" t="str">
        <f>_xlfn.TEXTJOIN(",",TRUE,_xlfn._xlws.FILTER(VRAM_table[Video memory], (VRAM_table[Video memory text]&lt;&gt;"") * ISNUMBER(SEARCH(VRAM_table[Video memory text], B585)), ""))</f>
        <v>8GB,8GB</v>
      </c>
    </row>
    <row r="586" spans="1:9" hidden="1" x14ac:dyDescent="0.35">
      <c r="A586" t="s">
        <v>9</v>
      </c>
      <c r="B586" t="s">
        <v>92</v>
      </c>
      <c r="C586">
        <v>31990000</v>
      </c>
      <c r="D586">
        <v>29490000</v>
      </c>
      <c r="E586" t="s">
        <v>93</v>
      </c>
      <c r="F586" t="s">
        <v>1051</v>
      </c>
      <c r="G586" t="str">
        <f>_xlfn.TEXTJOIN(",",TRUE,_xlfn._xlws.FILTER(GPU_brand[GPU brand], (GPU_brand[GPU brand text]&lt;&gt;"") * ISNUMBER(SEARCH(GPU_brand[GPU brand text], B586)), ""))</f>
        <v>MSI</v>
      </c>
      <c r="H586" t="str">
        <f>_xlfn.TEXTJOIN(",",TRUE,_xlfn._xlws.FILTER(Chipset_Table[Chipset], (Chipset_Table[Chipset text]&lt;&gt;"") * ISNUMBER(SEARCH(Chipset_Table[Chipset text], B586)), ""))</f>
        <v>GeForce RTX 5070,GeForce RTX 5070 Ti,RTX 5070</v>
      </c>
      <c r="I586" t="str">
        <f>_xlfn.TEXTJOIN(",",TRUE,_xlfn._xlws.FILTER(VRAM_table[Video memory], (VRAM_table[Video memory text]&lt;&gt;"") * ISNUMBER(SEARCH(VRAM_table[Video memory text], B586)), ""))</f>
        <v>16GB,6GB</v>
      </c>
    </row>
    <row r="587" spans="1:9" hidden="1" x14ac:dyDescent="0.35">
      <c r="A587" t="s">
        <v>9</v>
      </c>
      <c r="B587" t="s">
        <v>94</v>
      </c>
      <c r="C587">
        <v>9890000</v>
      </c>
      <c r="D587">
        <v>8690000</v>
      </c>
      <c r="E587" t="s">
        <v>95</v>
      </c>
      <c r="F587" t="s">
        <v>1051</v>
      </c>
      <c r="G587" t="str">
        <f>_xlfn.TEXTJOIN(",",TRUE,_xlfn._xlws.FILTER(GPU_brand[GPU brand], (GPU_brand[GPU brand text]&lt;&gt;"") * ISNUMBER(SEARCH(GPU_brand[GPU brand text], B587)), ""))</f>
        <v>ASUS</v>
      </c>
      <c r="H587" t="str">
        <f>_xlfn.TEXTJOIN(",",TRUE,_xlfn._xlws.FILTER(Chipset_Table[Chipset], (Chipset_Table[Chipset text]&lt;&gt;"") * ISNUMBER(SEARCH(Chipset_Table[Chipset text], B587)), ""))</f>
        <v>GEFORCE RTX 5050,RTX 5050</v>
      </c>
      <c r="I587" t="str">
        <f>_xlfn.TEXTJOIN(",",TRUE,_xlfn._xlws.FILTER(VRAM_table[Video memory], (VRAM_table[Video memory text]&lt;&gt;"") * ISNUMBER(SEARCH(VRAM_table[Video memory text], B587)), ""))</f>
        <v>8GB,8GB</v>
      </c>
    </row>
    <row r="588" spans="1:9" hidden="1" x14ac:dyDescent="0.35">
      <c r="A588" t="s">
        <v>9</v>
      </c>
      <c r="B588" t="s">
        <v>96</v>
      </c>
      <c r="C588">
        <v>9290000</v>
      </c>
      <c r="D588">
        <v>7490000</v>
      </c>
      <c r="E588" t="s">
        <v>97</v>
      </c>
      <c r="F588" t="s">
        <v>1051</v>
      </c>
      <c r="G588" t="str">
        <f>_xlfn.TEXTJOIN(",",TRUE,_xlfn._xlws.FILTER(GPU_brand[GPU brand], (GPU_brand[GPU brand text]&lt;&gt;"") * ISNUMBER(SEARCH(GPU_brand[GPU brand text], B588)), ""))</f>
        <v>ASUS</v>
      </c>
      <c r="H588" t="str">
        <f>_xlfn.TEXTJOIN(",",TRUE,_xlfn._xlws.FILTER(Chipset_Table[Chipset], (Chipset_Table[Chipset text]&lt;&gt;"") * ISNUMBER(SEARCH(Chipset_Table[Chipset text], B588)), ""))</f>
        <v>GEFORCE RTX 5050,RTX 5050</v>
      </c>
      <c r="I588" t="str">
        <f>_xlfn.TEXTJOIN(",",TRUE,_xlfn._xlws.FILTER(VRAM_table[Video memory], (VRAM_table[Video memory text]&lt;&gt;"") * ISNUMBER(SEARCH(VRAM_table[Video memory text], B588)), ""))</f>
        <v>8GB,8GB</v>
      </c>
    </row>
    <row r="589" spans="1:9" hidden="1" x14ac:dyDescent="0.35">
      <c r="A589" t="s">
        <v>9</v>
      </c>
      <c r="B589" t="s">
        <v>98</v>
      </c>
      <c r="C589">
        <v>8690000</v>
      </c>
      <c r="D589">
        <v>8390000</v>
      </c>
      <c r="E589" t="s">
        <v>99</v>
      </c>
      <c r="F589" t="s">
        <v>1051</v>
      </c>
      <c r="G589" t="str">
        <f>_xlfn.TEXTJOIN(",",TRUE,_xlfn._xlws.FILTER(GPU_brand[GPU brand], (GPU_brand[GPU brand text]&lt;&gt;"") * ISNUMBER(SEARCH(GPU_brand[GPU brand text], B589)), ""))</f>
        <v>Gigabyte</v>
      </c>
      <c r="H589" t="str">
        <f>_xlfn.TEXTJOIN(",",TRUE,_xlfn._xlws.FILTER(Chipset_Table[Chipset], (Chipset_Table[Chipset text]&lt;&gt;"") * ISNUMBER(SEARCH(Chipset_Table[Chipset text], B589)), ""))</f>
        <v>GEFORCE RTX 5050,RTX 5050</v>
      </c>
      <c r="I589" t="str">
        <f>_xlfn.TEXTJOIN(",",TRUE,_xlfn._xlws.FILTER(VRAM_table[Video memory], (VRAM_table[Video memory text]&lt;&gt;"") * ISNUMBER(SEARCH(VRAM_table[Video memory text], B589)), ""))</f>
        <v>8GB,8GB</v>
      </c>
    </row>
    <row r="590" spans="1:9" hidden="1" x14ac:dyDescent="0.35">
      <c r="A590" t="s">
        <v>9</v>
      </c>
      <c r="B590" t="s">
        <v>100</v>
      </c>
      <c r="C590">
        <v>9490000</v>
      </c>
      <c r="D590">
        <v>8890000</v>
      </c>
      <c r="E590" t="s">
        <v>101</v>
      </c>
      <c r="F590" t="s">
        <v>1051</v>
      </c>
      <c r="G590" t="str">
        <f>_xlfn.TEXTJOIN(",",TRUE,_xlfn._xlws.FILTER(GPU_brand[GPU brand], (GPU_brand[GPU brand text]&lt;&gt;"") * ISNUMBER(SEARCH(GPU_brand[GPU brand text], B590)), ""))</f>
        <v>Gigabyte</v>
      </c>
      <c r="H590" t="str">
        <f>_xlfn.TEXTJOIN(",",TRUE,_xlfn._xlws.FILTER(Chipset_Table[Chipset], (Chipset_Table[Chipset text]&lt;&gt;"") * ISNUMBER(SEARCH(Chipset_Table[Chipset text], B590)), ""))</f>
        <v>GEFORCE RTX 5050,RTX 5050</v>
      </c>
      <c r="I590" t="str">
        <f>_xlfn.TEXTJOIN(",",TRUE,_xlfn._xlws.FILTER(VRAM_table[Video memory], (VRAM_table[Video memory text]&lt;&gt;"") * ISNUMBER(SEARCH(VRAM_table[Video memory text], B590)), ""))</f>
        <v>8GB,8GB</v>
      </c>
    </row>
    <row r="591" spans="1:9" hidden="1" x14ac:dyDescent="0.35">
      <c r="A591" t="s">
        <v>9</v>
      </c>
      <c r="B591" t="s">
        <v>102</v>
      </c>
      <c r="C591">
        <v>7890000</v>
      </c>
      <c r="D591">
        <v>7490000</v>
      </c>
      <c r="E591" t="s">
        <v>103</v>
      </c>
      <c r="F591" t="s">
        <v>1051</v>
      </c>
      <c r="G591" t="str">
        <f>_xlfn.TEXTJOIN(",",TRUE,_xlfn._xlws.FILTER(GPU_brand[GPU brand], (GPU_brand[GPU brand text]&lt;&gt;"") * ISNUMBER(SEARCH(GPU_brand[GPU brand text], B591)), ""))</f>
        <v>MSI</v>
      </c>
      <c r="H591" t="str">
        <f>_xlfn.TEXTJOIN(",",TRUE,_xlfn._xlws.FILTER(Chipset_Table[Chipset], (Chipset_Table[Chipset text]&lt;&gt;"") * ISNUMBER(SEARCH(Chipset_Table[Chipset text], B591)), ""))</f>
        <v>GEFORCE RTX 5050,RTX 5050</v>
      </c>
      <c r="I591" t="str">
        <f>_xlfn.TEXTJOIN(",",TRUE,_xlfn._xlws.FILTER(VRAM_table[Video memory], (VRAM_table[Video memory text]&lt;&gt;"") * ISNUMBER(SEARCH(VRAM_table[Video memory text], B591)), ""))</f>
        <v>8GB,8GB</v>
      </c>
    </row>
    <row r="592" spans="1:9" hidden="1" x14ac:dyDescent="0.35">
      <c r="A592" t="s">
        <v>9</v>
      </c>
      <c r="B592" t="s">
        <v>104</v>
      </c>
      <c r="C592">
        <v>8590000</v>
      </c>
      <c r="D592">
        <v>8390000</v>
      </c>
      <c r="E592" t="s">
        <v>105</v>
      </c>
      <c r="F592" t="s">
        <v>1051</v>
      </c>
      <c r="G592" t="str">
        <f>_xlfn.TEXTJOIN(",",TRUE,_xlfn._xlws.FILTER(GPU_brand[GPU brand], (GPU_brand[GPU brand text]&lt;&gt;"") * ISNUMBER(SEARCH(GPU_brand[GPU brand text], B592)), ""))</f>
        <v>MSI</v>
      </c>
      <c r="H592" t="str">
        <f>_xlfn.TEXTJOIN(",",TRUE,_xlfn._xlws.FILTER(Chipset_Table[Chipset], (Chipset_Table[Chipset text]&lt;&gt;"") * ISNUMBER(SEARCH(Chipset_Table[Chipset text], B592)), ""))</f>
        <v>GEFORCE RTX 5050,RTX 5050</v>
      </c>
      <c r="I592" t="str">
        <f>_xlfn.TEXTJOIN(",",TRUE,_xlfn._xlws.FILTER(VRAM_table[Video memory], (VRAM_table[Video memory text]&lt;&gt;"") * ISNUMBER(SEARCH(VRAM_table[Video memory text], B592)), ""))</f>
        <v>8GB,8GB</v>
      </c>
    </row>
    <row r="593" spans="1:9" hidden="1" x14ac:dyDescent="0.35">
      <c r="A593" t="s">
        <v>9</v>
      </c>
      <c r="B593" t="s">
        <v>106</v>
      </c>
      <c r="C593">
        <v>8990000</v>
      </c>
      <c r="D593">
        <v>8790000</v>
      </c>
      <c r="E593" t="s">
        <v>107</v>
      </c>
      <c r="F593" t="s">
        <v>1051</v>
      </c>
      <c r="G593" t="str">
        <f>_xlfn.TEXTJOIN(",",TRUE,_xlfn._xlws.FILTER(GPU_brand[GPU brand], (GPU_brand[GPU brand text]&lt;&gt;"") * ISNUMBER(SEARCH(GPU_brand[GPU brand text], B593)), ""))</f>
        <v>MSI</v>
      </c>
      <c r="H593" t="str">
        <f>_xlfn.TEXTJOIN(",",TRUE,_xlfn._xlws.FILTER(Chipset_Table[Chipset], (Chipset_Table[Chipset text]&lt;&gt;"") * ISNUMBER(SEARCH(Chipset_Table[Chipset text], B593)), ""))</f>
        <v>GEFORCE RTX 5050,RTX 5050</v>
      </c>
      <c r="I593" t="str">
        <f>_xlfn.TEXTJOIN(",",TRUE,_xlfn._xlws.FILTER(VRAM_table[Video memory], (VRAM_table[Video memory text]&lt;&gt;"") * ISNUMBER(SEARCH(VRAM_table[Video memory text], B593)), ""))</f>
        <v>8GB,8GB</v>
      </c>
    </row>
    <row r="594" spans="1:9" hidden="1" x14ac:dyDescent="0.35">
      <c r="A594" t="s">
        <v>9</v>
      </c>
      <c r="B594" t="s">
        <v>110</v>
      </c>
      <c r="C594">
        <v>10490000</v>
      </c>
      <c r="D594">
        <v>9890000</v>
      </c>
      <c r="E594" t="s">
        <v>111</v>
      </c>
      <c r="F594" t="s">
        <v>1051</v>
      </c>
      <c r="G594" t="str">
        <f>_xlfn.TEXTJOIN(",",TRUE,_xlfn._xlws.FILTER(GPU_brand[GPU brand], (GPU_brand[GPU brand text]&lt;&gt;"") * ISNUMBER(SEARCH(GPU_brand[GPU brand text], B594)), ""))</f>
        <v>MSI</v>
      </c>
      <c r="H594" t="str">
        <f>_xlfn.TEXTJOIN(",",TRUE,_xlfn._xlws.FILTER(Chipset_Table[Chipset], (Chipset_Table[Chipset text]&lt;&gt;"") * ISNUMBER(SEARCH(Chipset_Table[Chipset text], B594)), ""))</f>
        <v>GeForce RTX 5060</v>
      </c>
      <c r="I594" t="str">
        <f>_xlfn.TEXTJOIN(",",TRUE,_xlfn._xlws.FILTER(VRAM_table[Video memory], (VRAM_table[Video memory text]&lt;&gt;"") * ISNUMBER(SEARCH(VRAM_table[Video memory text], B594)), ""))</f>
        <v>8GB,8GB</v>
      </c>
    </row>
    <row r="595" spans="1:9" hidden="1" x14ac:dyDescent="0.35">
      <c r="A595" t="s">
        <v>9</v>
      </c>
      <c r="B595" t="s">
        <v>112</v>
      </c>
      <c r="C595">
        <v>9990000</v>
      </c>
      <c r="D595">
        <v>9690000</v>
      </c>
      <c r="E595" t="s">
        <v>113</v>
      </c>
      <c r="F595" t="s">
        <v>1051</v>
      </c>
      <c r="G595" t="str">
        <f>_xlfn.TEXTJOIN(",",TRUE,_xlfn._xlws.FILTER(GPU_brand[GPU brand], (GPU_brand[GPU brand text]&lt;&gt;"") * ISNUMBER(SEARCH(GPU_brand[GPU brand text], B595)), ""))</f>
        <v>ZOTAC</v>
      </c>
      <c r="H595" t="str">
        <f>_xlfn.TEXTJOIN(",",TRUE,_xlfn._xlws.FILTER(Chipset_Table[Chipset], (Chipset_Table[Chipset text]&lt;&gt;"") * ISNUMBER(SEARCH(Chipset_Table[Chipset text], B595)), ""))</f>
        <v>GeForce RTX 5060</v>
      </c>
      <c r="I595" t="str">
        <f>_xlfn.TEXTJOIN(",",TRUE,_xlfn._xlws.FILTER(VRAM_table[Video memory], (VRAM_table[Video memory text]&lt;&gt;"") * ISNUMBER(SEARCH(VRAM_table[Video memory text], B595)), ""))</f>
        <v>8GB,8GB</v>
      </c>
    </row>
    <row r="596" spans="1:9" hidden="1" x14ac:dyDescent="0.35">
      <c r="A596" t="s">
        <v>9</v>
      </c>
      <c r="B596" t="s">
        <v>114</v>
      </c>
      <c r="C596">
        <v>20490000</v>
      </c>
      <c r="D596">
        <v>19990000</v>
      </c>
      <c r="E596" t="s">
        <v>115</v>
      </c>
      <c r="F596" t="s">
        <v>1051</v>
      </c>
      <c r="G596" t="str">
        <f>_xlfn.TEXTJOIN(",",TRUE,_xlfn._xlws.FILTER(GPU_brand[GPU brand], (GPU_brand[GPU brand text]&lt;&gt;"") * ISNUMBER(SEARCH(GPU_brand[GPU brand text], B596)), ""))</f>
        <v>ASUS</v>
      </c>
      <c r="H596" t="str">
        <f>_xlfn.TEXTJOIN(",",TRUE,_xlfn._xlws.FILTER(Chipset_Table[Chipset], (Chipset_Table[Chipset text]&lt;&gt;"") * ISNUMBER(SEARCH(Chipset_Table[Chipset text], B596)), ""))</f>
        <v>GeForce RTX 5070,RTX 5070</v>
      </c>
      <c r="I596" t="str">
        <f>_xlfn.TEXTJOIN(",",TRUE,_xlfn._xlws.FILTER(VRAM_table[Video memory], (VRAM_table[Video memory text]&lt;&gt;"") * ISNUMBER(SEARCH(VRAM_table[Video memory text], B596)), ""))</f>
        <v>12GB,2GB</v>
      </c>
    </row>
    <row r="597" spans="1:9" hidden="1" x14ac:dyDescent="0.35">
      <c r="A597" t="s">
        <v>9</v>
      </c>
      <c r="B597" t="s">
        <v>116</v>
      </c>
      <c r="C597">
        <v>33990000</v>
      </c>
      <c r="D597">
        <v>32490000</v>
      </c>
      <c r="E597" t="s">
        <v>117</v>
      </c>
      <c r="F597" t="s">
        <v>1051</v>
      </c>
      <c r="G597" t="str">
        <f>_xlfn.TEXTJOIN(",",TRUE,_xlfn._xlws.FILTER(GPU_brand[GPU brand], (GPU_brand[GPU brand text]&lt;&gt;"") * ISNUMBER(SEARCH(GPU_brand[GPU brand text], B597)), ""))</f>
        <v>MSI</v>
      </c>
      <c r="H597" t="str">
        <f>_xlfn.TEXTJOIN(",",TRUE,_xlfn._xlws.FILTER(Chipset_Table[Chipset], (Chipset_Table[Chipset text]&lt;&gt;"") * ISNUMBER(SEARCH(Chipset_Table[Chipset text], B597)), ""))</f>
        <v>GeForce RTX 5070,GeForce RTX 5070 Ti,RTX 5070</v>
      </c>
      <c r="I597" t="str">
        <f>_xlfn.TEXTJOIN(",",TRUE,_xlfn._xlws.FILTER(VRAM_table[Video memory], (VRAM_table[Video memory text]&lt;&gt;"") * ISNUMBER(SEARCH(VRAM_table[Video memory text], B597)), ""))</f>
        <v>16GB,6GB</v>
      </c>
    </row>
    <row r="598" spans="1:9" hidden="1" x14ac:dyDescent="0.35">
      <c r="A598" t="s">
        <v>9</v>
      </c>
      <c r="B598" t="s">
        <v>118</v>
      </c>
      <c r="C598">
        <v>13490000</v>
      </c>
      <c r="D598">
        <v>12990000</v>
      </c>
      <c r="E598" t="s">
        <v>119</v>
      </c>
      <c r="F598" t="s">
        <v>1051</v>
      </c>
      <c r="G598" t="str">
        <f>_xlfn.TEXTJOIN(",",TRUE,_xlfn._xlws.FILTER(GPU_brand[GPU brand], (GPU_brand[GPU brand text]&lt;&gt;"") * ISNUMBER(SEARCH(GPU_brand[GPU brand text], B598)), ""))</f>
        <v>MSI</v>
      </c>
      <c r="H598" t="str">
        <f>_xlfn.TEXTJOIN(",",TRUE,_xlfn._xlws.FILTER(Chipset_Table[Chipset], (Chipset_Table[Chipset text]&lt;&gt;"") * ISNUMBER(SEARCH(Chipset_Table[Chipset text], B598)), ""))</f>
        <v>GeForce RTX 5060</v>
      </c>
      <c r="I598" t="str">
        <f>_xlfn.TEXTJOIN(",",TRUE,_xlfn._xlws.FILTER(VRAM_table[Video memory], (VRAM_table[Video memory text]&lt;&gt;"") * ISNUMBER(SEARCH(VRAM_table[Video memory text], B598)), ""))</f>
        <v>8GB,8GB</v>
      </c>
    </row>
    <row r="599" spans="1:9" hidden="1" x14ac:dyDescent="0.35">
      <c r="A599" t="s">
        <v>9</v>
      </c>
      <c r="B599" t="s">
        <v>120</v>
      </c>
      <c r="C599">
        <v>13990000</v>
      </c>
      <c r="D599">
        <v>12990000</v>
      </c>
      <c r="E599" t="s">
        <v>121</v>
      </c>
      <c r="F599" t="s">
        <v>1051</v>
      </c>
      <c r="G599" t="str">
        <f>_xlfn.TEXTJOIN(",",TRUE,_xlfn._xlws.FILTER(GPU_brand[GPU brand], (GPU_brand[GPU brand text]&lt;&gt;"") * ISNUMBER(SEARCH(GPU_brand[GPU brand text], B599)), ""))</f>
        <v>MSI</v>
      </c>
      <c r="H599" t="str">
        <f>_xlfn.TEXTJOIN(",",TRUE,_xlfn._xlws.FILTER(Chipset_Table[Chipset], (Chipset_Table[Chipset text]&lt;&gt;"") * ISNUMBER(SEARCH(Chipset_Table[Chipset text], B599)), ""))</f>
        <v>GeForce RTX 5060</v>
      </c>
      <c r="I599" t="str">
        <f>_xlfn.TEXTJOIN(",",TRUE,_xlfn._xlws.FILTER(VRAM_table[Video memory], (VRAM_table[Video memory text]&lt;&gt;"") * ISNUMBER(SEARCH(VRAM_table[Video memory text], B599)), ""))</f>
        <v>8GB,8GB</v>
      </c>
    </row>
    <row r="600" spans="1:9" hidden="1" x14ac:dyDescent="0.35">
      <c r="A600" t="s">
        <v>9</v>
      </c>
      <c r="B600" t="s">
        <v>122</v>
      </c>
      <c r="C600">
        <v>14990000</v>
      </c>
      <c r="D600">
        <v>12990000</v>
      </c>
      <c r="E600" t="s">
        <v>123</v>
      </c>
      <c r="F600" t="s">
        <v>1051</v>
      </c>
      <c r="G600" t="str">
        <f>_xlfn.TEXTJOIN(",",TRUE,_xlfn._xlws.FILTER(GPU_brand[GPU brand], (GPU_brand[GPU brand text]&lt;&gt;"") * ISNUMBER(SEARCH(GPU_brand[GPU brand text], B600)), ""))</f>
        <v>MSI</v>
      </c>
      <c r="H600" t="str">
        <f>_xlfn.TEXTJOIN(",",TRUE,_xlfn._xlws.FILTER(Chipset_Table[Chipset], (Chipset_Table[Chipset text]&lt;&gt;"") * ISNUMBER(SEARCH(Chipset_Table[Chipset text], B600)), ""))</f>
        <v>GeForce RTX 5060,GeForce RTX 5060 Ti,RTX 5060 Ti</v>
      </c>
      <c r="I600" t="str">
        <f>_xlfn.TEXTJOIN(",",TRUE,_xlfn._xlws.FILTER(VRAM_table[Video memory], (VRAM_table[Video memory text]&lt;&gt;"") * ISNUMBER(SEARCH(VRAM_table[Video memory text], B600)), ""))</f>
        <v>8GB,8GB</v>
      </c>
    </row>
    <row r="601" spans="1:9" hidden="1" x14ac:dyDescent="0.35">
      <c r="A601" t="s">
        <v>9</v>
      </c>
      <c r="B601" t="s">
        <v>124</v>
      </c>
      <c r="C601">
        <v>11390000</v>
      </c>
      <c r="D601">
        <v>10890000</v>
      </c>
      <c r="E601" t="s">
        <v>125</v>
      </c>
      <c r="F601" t="s">
        <v>1051</v>
      </c>
      <c r="G601" t="str">
        <f>_xlfn.TEXTJOIN(",",TRUE,_xlfn._xlws.FILTER(GPU_brand[GPU brand], (GPU_brand[GPU brand text]&lt;&gt;"") * ISNUMBER(SEARCH(GPU_brand[GPU brand text], B601)), ""))</f>
        <v>Gigabyte</v>
      </c>
      <c r="H601" t="str">
        <f>_xlfn.TEXTJOIN(",",TRUE,_xlfn._xlws.FILTER(Chipset_Table[Chipset], (Chipset_Table[Chipset text]&lt;&gt;"") * ISNUMBER(SEARCH(Chipset_Table[Chipset text], B601)), ""))</f>
        <v>GeForce RTX 5060</v>
      </c>
      <c r="I601" t="str">
        <f>_xlfn.TEXTJOIN(",",TRUE,_xlfn._xlws.FILTER(VRAM_table[Video memory], (VRAM_table[Video memory text]&lt;&gt;"") * ISNUMBER(SEARCH(VRAM_table[Video memory text], B601)), ""))</f>
        <v>8GB,8GB</v>
      </c>
    </row>
    <row r="602" spans="1:9" hidden="1" x14ac:dyDescent="0.35">
      <c r="A602" t="s">
        <v>9</v>
      </c>
      <c r="B602" t="s">
        <v>126</v>
      </c>
      <c r="C602">
        <v>0</v>
      </c>
      <c r="D602">
        <v>9990000</v>
      </c>
      <c r="E602" t="s">
        <v>127</v>
      </c>
      <c r="F602" t="s">
        <v>1051</v>
      </c>
      <c r="G602" t="str">
        <f>_xlfn.TEXTJOIN(",",TRUE,_xlfn._xlws.FILTER(GPU_brand[GPU brand], (GPU_brand[GPU brand text]&lt;&gt;"") * ISNUMBER(SEARCH(GPU_brand[GPU brand text], B602)), ""))</f>
        <v>Gigabyte</v>
      </c>
      <c r="H602" t="str">
        <f>_xlfn.TEXTJOIN(",",TRUE,_xlfn._xlws.FILTER(Chipset_Table[Chipset], (Chipset_Table[Chipset text]&lt;&gt;"") * ISNUMBER(SEARCH(Chipset_Table[Chipset text], B602)), ""))</f>
        <v>GeForce RTX 5060</v>
      </c>
      <c r="I602" t="str">
        <f>_xlfn.TEXTJOIN(",",TRUE,_xlfn._xlws.FILTER(VRAM_table[Video memory], (VRAM_table[Video memory text]&lt;&gt;"") * ISNUMBER(SEARCH(VRAM_table[Video memory text], B602)), ""))</f>
        <v>8GB,8GB</v>
      </c>
    </row>
    <row r="603" spans="1:9" hidden="1" x14ac:dyDescent="0.35">
      <c r="A603" t="s">
        <v>9</v>
      </c>
      <c r="B603" t="s">
        <v>128</v>
      </c>
      <c r="C603">
        <v>10990000</v>
      </c>
      <c r="D603">
        <v>10490000</v>
      </c>
      <c r="E603" t="s">
        <v>129</v>
      </c>
      <c r="F603" t="s">
        <v>1051</v>
      </c>
      <c r="G603" t="str">
        <f>_xlfn.TEXTJOIN(",",TRUE,_xlfn._xlws.FILTER(GPU_brand[GPU brand], (GPU_brand[GPU brand text]&lt;&gt;"") * ISNUMBER(SEARCH(GPU_brand[GPU brand text], B603)), ""))</f>
        <v>Gigabyte</v>
      </c>
      <c r="H603" t="str">
        <f>_xlfn.TEXTJOIN(",",TRUE,_xlfn._xlws.FILTER(Chipset_Table[Chipset], (Chipset_Table[Chipset text]&lt;&gt;"") * ISNUMBER(SEARCH(Chipset_Table[Chipset text], B603)), ""))</f>
        <v>GeForce RTX 5060</v>
      </c>
      <c r="I603" t="str">
        <f>_xlfn.TEXTJOIN(",",TRUE,_xlfn._xlws.FILTER(VRAM_table[Video memory], (VRAM_table[Video memory text]&lt;&gt;"") * ISNUMBER(SEARCH(VRAM_table[Video memory text], B603)), ""))</f>
        <v>8GB,8GB</v>
      </c>
    </row>
    <row r="604" spans="1:9" hidden="1" x14ac:dyDescent="0.35">
      <c r="A604" t="s">
        <v>9</v>
      </c>
      <c r="B604" t="s">
        <v>130</v>
      </c>
      <c r="C604">
        <v>11290000</v>
      </c>
      <c r="D604">
        <v>10690000</v>
      </c>
      <c r="E604" t="s">
        <v>131</v>
      </c>
      <c r="F604" t="s">
        <v>1051</v>
      </c>
      <c r="G604" t="str">
        <f>_xlfn.TEXTJOIN(",",TRUE,_xlfn._xlws.FILTER(GPU_brand[GPU brand], (GPU_brand[GPU brand text]&lt;&gt;"") * ISNUMBER(SEARCH(GPU_brand[GPU brand text], B604)), ""))</f>
        <v>ASUS</v>
      </c>
      <c r="H604" t="str">
        <f>_xlfn.TEXTJOIN(",",TRUE,_xlfn._xlws.FILTER(Chipset_Table[Chipset], (Chipset_Table[Chipset text]&lt;&gt;"") * ISNUMBER(SEARCH(Chipset_Table[Chipset text], B604)), ""))</f>
        <v>GeForce RTX 5060</v>
      </c>
      <c r="I604" t="str">
        <f>_xlfn.TEXTJOIN(",",TRUE,_xlfn._xlws.FILTER(VRAM_table[Video memory], (VRAM_table[Video memory text]&lt;&gt;"") * ISNUMBER(SEARCH(VRAM_table[Video memory text], B604)), ""))</f>
        <v>8GB,8GB</v>
      </c>
    </row>
    <row r="605" spans="1:9" hidden="1" x14ac:dyDescent="0.35">
      <c r="A605" t="s">
        <v>9</v>
      </c>
      <c r="B605" t="s">
        <v>132</v>
      </c>
      <c r="C605">
        <v>12490000</v>
      </c>
      <c r="D605">
        <v>11890000</v>
      </c>
      <c r="E605" t="s">
        <v>133</v>
      </c>
      <c r="F605" t="s">
        <v>1051</v>
      </c>
      <c r="G605" t="str">
        <f>_xlfn.TEXTJOIN(",",TRUE,_xlfn._xlws.FILTER(GPU_brand[GPU brand], (GPU_brand[GPU brand text]&lt;&gt;"") * ISNUMBER(SEARCH(GPU_brand[GPU brand text], B605)), ""))</f>
        <v>ASUS</v>
      </c>
      <c r="H605" t="str">
        <f>_xlfn.TEXTJOIN(",",TRUE,_xlfn._xlws.FILTER(Chipset_Table[Chipset], (Chipset_Table[Chipset text]&lt;&gt;"") * ISNUMBER(SEARCH(Chipset_Table[Chipset text], B605)), ""))</f>
        <v>GeForce RTX 5060</v>
      </c>
      <c r="I605" t="str">
        <f>_xlfn.TEXTJOIN(",",TRUE,_xlfn._xlws.FILTER(VRAM_table[Video memory], (VRAM_table[Video memory text]&lt;&gt;"") * ISNUMBER(SEARCH(VRAM_table[Video memory text], B605)), ""))</f>
        <v>8GB,8GB</v>
      </c>
    </row>
    <row r="606" spans="1:9" hidden="1" x14ac:dyDescent="0.35">
      <c r="A606" t="s">
        <v>9</v>
      </c>
      <c r="B606" t="s">
        <v>134</v>
      </c>
      <c r="C606">
        <v>14990000</v>
      </c>
      <c r="D606">
        <v>12990000</v>
      </c>
      <c r="E606" t="s">
        <v>135</v>
      </c>
      <c r="F606" t="s">
        <v>1051</v>
      </c>
      <c r="G606" t="str">
        <f>_xlfn.TEXTJOIN(",",TRUE,_xlfn._xlws.FILTER(GPU_brand[GPU brand], (GPU_brand[GPU brand text]&lt;&gt;"") * ISNUMBER(SEARCH(GPU_brand[GPU brand text], B606)), ""))</f>
        <v>Gigabyte</v>
      </c>
      <c r="H606" t="str">
        <f>_xlfn.TEXTJOIN(",",TRUE,_xlfn._xlws.FILTER(Chipset_Table[Chipset], (Chipset_Table[Chipset text]&lt;&gt;"") * ISNUMBER(SEARCH(Chipset_Table[Chipset text], B606)), ""))</f>
        <v>GeForce RTX 5060,GeForce RTX 5060 Ti,RTX 5060 Ti</v>
      </c>
      <c r="I606" t="str">
        <f>_xlfn.TEXTJOIN(",",TRUE,_xlfn._xlws.FILTER(VRAM_table[Video memory], (VRAM_table[Video memory text]&lt;&gt;"") * ISNUMBER(SEARCH(VRAM_table[Video memory text], B606)), ""))</f>
        <v>8GB,8GB</v>
      </c>
    </row>
    <row r="607" spans="1:9" hidden="1" x14ac:dyDescent="0.35">
      <c r="A607" t="s">
        <v>9</v>
      </c>
      <c r="B607" t="s">
        <v>136</v>
      </c>
      <c r="C607">
        <v>23990000</v>
      </c>
      <c r="D607">
        <v>22990000</v>
      </c>
      <c r="E607" t="s">
        <v>137</v>
      </c>
      <c r="F607" t="s">
        <v>1051</v>
      </c>
      <c r="G607" t="str">
        <f>_xlfn.TEXTJOIN(",",TRUE,_xlfn._xlws.FILTER(GPU_brand[GPU brand], (GPU_brand[GPU brand text]&lt;&gt;"") * ISNUMBER(SEARCH(GPU_brand[GPU brand text], B607)), ""))</f>
        <v>MSI</v>
      </c>
      <c r="H607" t="str">
        <f>_xlfn.TEXTJOIN(",",TRUE,_xlfn._xlws.FILTER(Chipset_Table[Chipset], (Chipset_Table[Chipset text]&lt;&gt;"") * ISNUMBER(SEARCH(Chipset_Table[Chipset text], B607)), ""))</f>
        <v>GeForce RTX 5070,RTX 5070</v>
      </c>
      <c r="I607" t="str">
        <f>_xlfn.TEXTJOIN(",",TRUE,_xlfn._xlws.FILTER(VRAM_table[Video memory], (VRAM_table[Video memory text]&lt;&gt;"") * ISNUMBER(SEARCH(VRAM_table[Video memory text], B607)), ""))</f>
        <v>12GB,2GB</v>
      </c>
    </row>
    <row r="608" spans="1:9" hidden="1" x14ac:dyDescent="0.35">
      <c r="A608" t="s">
        <v>9</v>
      </c>
      <c r="B608" t="s">
        <v>138</v>
      </c>
      <c r="C608">
        <v>16790000</v>
      </c>
      <c r="D608">
        <v>16390000</v>
      </c>
      <c r="E608" t="s">
        <v>139</v>
      </c>
      <c r="F608" t="s">
        <v>1051</v>
      </c>
      <c r="G608" t="str">
        <f>_xlfn.TEXTJOIN(",",TRUE,_xlfn._xlws.FILTER(GPU_brand[GPU brand], (GPU_brand[GPU brand text]&lt;&gt;"") * ISNUMBER(SEARCH(GPU_brand[GPU brand text], B608)), ""))</f>
        <v>MSI</v>
      </c>
      <c r="H608" t="str">
        <f>_xlfn.TEXTJOIN(",",TRUE,_xlfn._xlws.FILTER(Chipset_Table[Chipset], (Chipset_Table[Chipset text]&lt;&gt;"") * ISNUMBER(SEARCH(Chipset_Table[Chipset text], B608)), ""))</f>
        <v>GeForce RTX 5060,GeForce RTX 5060 Ti,RTX 5060 Ti</v>
      </c>
      <c r="I608" t="str">
        <f>_xlfn.TEXTJOIN(",",TRUE,_xlfn._xlws.FILTER(VRAM_table[Video memory], (VRAM_table[Video memory text]&lt;&gt;"") * ISNUMBER(SEARCH(VRAM_table[Video memory text], B608)), ""))</f>
        <v>16GB,16GB,6GB,6GB</v>
      </c>
    </row>
    <row r="609" spans="1:9" hidden="1" x14ac:dyDescent="0.35">
      <c r="A609" t="s">
        <v>9</v>
      </c>
      <c r="B609" t="s">
        <v>140</v>
      </c>
      <c r="C609">
        <v>15990000</v>
      </c>
      <c r="D609">
        <v>14990000</v>
      </c>
      <c r="E609" t="s">
        <v>141</v>
      </c>
      <c r="F609" t="s">
        <v>1051</v>
      </c>
      <c r="G609" t="str">
        <f>_xlfn.TEXTJOIN(",",TRUE,_xlfn._xlws.FILTER(GPU_brand[GPU brand], (GPU_brand[GPU brand text]&lt;&gt;"") * ISNUMBER(SEARCH(GPU_brand[GPU brand text], B609)), ""))</f>
        <v>MSI</v>
      </c>
      <c r="H609" t="str">
        <f>_xlfn.TEXTJOIN(",",TRUE,_xlfn._xlws.FILTER(Chipset_Table[Chipset], (Chipset_Table[Chipset text]&lt;&gt;"") * ISNUMBER(SEARCH(Chipset_Table[Chipset text], B609)), ""))</f>
        <v>GeForce RTX 5060,GeForce RTX 5060 Ti,RTX 5060 Ti</v>
      </c>
      <c r="I609" t="str">
        <f>_xlfn.TEXTJOIN(",",TRUE,_xlfn._xlws.FILTER(VRAM_table[Video memory], (VRAM_table[Video memory text]&lt;&gt;"") * ISNUMBER(SEARCH(VRAM_table[Video memory text], B609)), ""))</f>
        <v>16GB,16GB,6GB,6GB</v>
      </c>
    </row>
    <row r="610" spans="1:9" hidden="1" x14ac:dyDescent="0.35">
      <c r="A610" t="s">
        <v>9</v>
      </c>
      <c r="B610" t="s">
        <v>142</v>
      </c>
      <c r="C610">
        <v>14390000</v>
      </c>
      <c r="D610">
        <v>12990000</v>
      </c>
      <c r="E610" t="s">
        <v>143</v>
      </c>
      <c r="F610" t="s">
        <v>1051</v>
      </c>
      <c r="G610" t="str">
        <f>_xlfn.TEXTJOIN(",",TRUE,_xlfn._xlws.FILTER(GPU_brand[GPU brand], (GPU_brand[GPU brand text]&lt;&gt;"") * ISNUMBER(SEARCH(GPU_brand[GPU brand text], B610)), ""))</f>
        <v>MSI</v>
      </c>
      <c r="H610" t="str">
        <f>_xlfn.TEXTJOIN(",",TRUE,_xlfn._xlws.FILTER(Chipset_Table[Chipset], (Chipset_Table[Chipset text]&lt;&gt;"") * ISNUMBER(SEARCH(Chipset_Table[Chipset text], B610)), ""))</f>
        <v>GeForce RTX 5060,GeForce RTX 5060 Ti,RTX 5060 Ti</v>
      </c>
      <c r="I610" t="str">
        <f>_xlfn.TEXTJOIN(",",TRUE,_xlfn._xlws.FILTER(VRAM_table[Video memory], (VRAM_table[Video memory text]&lt;&gt;"") * ISNUMBER(SEARCH(VRAM_table[Video memory text], B610)), ""))</f>
        <v>8GB,8GB</v>
      </c>
    </row>
    <row r="611" spans="1:9" hidden="1" x14ac:dyDescent="0.35">
      <c r="A611" t="s">
        <v>9</v>
      </c>
      <c r="B611" t="s">
        <v>144</v>
      </c>
      <c r="C611">
        <v>19290000</v>
      </c>
      <c r="D611">
        <v>18690000</v>
      </c>
      <c r="E611" t="s">
        <v>145</v>
      </c>
      <c r="F611" t="s">
        <v>1051</v>
      </c>
      <c r="G611" t="str">
        <f>_xlfn.TEXTJOIN(",",TRUE,_xlfn._xlws.FILTER(GPU_brand[GPU brand], (GPU_brand[GPU brand text]&lt;&gt;"") * ISNUMBER(SEARCH(GPU_brand[GPU brand text], B611)), ""))</f>
        <v>MSI</v>
      </c>
      <c r="H611" t="str">
        <f>_xlfn.TEXTJOIN(",",TRUE,_xlfn._xlws.FILTER(Chipset_Table[Chipset], (Chipset_Table[Chipset text]&lt;&gt;"") * ISNUMBER(SEARCH(Chipset_Table[Chipset text], B611)), ""))</f>
        <v>GeForce RTX 5060,GeForce RTX 5060 Ti,RTX 5060 Ti</v>
      </c>
      <c r="I611" t="str">
        <f>_xlfn.TEXTJOIN(",",TRUE,_xlfn._xlws.FILTER(VRAM_table[Video memory], (VRAM_table[Video memory text]&lt;&gt;"") * ISNUMBER(SEARCH(VRAM_table[Video memory text], B611)), ""))</f>
        <v>16GB,16GB,6GB,6GB</v>
      </c>
    </row>
    <row r="612" spans="1:9" hidden="1" x14ac:dyDescent="0.35">
      <c r="A612" t="s">
        <v>9</v>
      </c>
      <c r="B612" t="s">
        <v>146</v>
      </c>
      <c r="C612">
        <v>13290000</v>
      </c>
      <c r="D612">
        <v>12990000</v>
      </c>
      <c r="E612" t="s">
        <v>147</v>
      </c>
      <c r="F612" t="s">
        <v>1051</v>
      </c>
      <c r="G612" t="str">
        <f>_xlfn.TEXTJOIN(",",TRUE,_xlfn._xlws.FILTER(GPU_brand[GPU brand], (GPU_brand[GPU brand text]&lt;&gt;"") * ISNUMBER(SEARCH(GPU_brand[GPU brand text], B612)), ""))</f>
        <v>MSI</v>
      </c>
      <c r="H612" t="str">
        <f>_xlfn.TEXTJOIN(",",TRUE,_xlfn._xlws.FILTER(Chipset_Table[Chipset], (Chipset_Table[Chipset text]&lt;&gt;"") * ISNUMBER(SEARCH(Chipset_Table[Chipset text], B612)), ""))</f>
        <v>GeForce RTX 5060,GeForce RTX 5060 Ti,RTX 5060 Ti</v>
      </c>
      <c r="I612" t="str">
        <f>_xlfn.TEXTJOIN(",",TRUE,_xlfn._xlws.FILTER(VRAM_table[Video memory], (VRAM_table[Video memory text]&lt;&gt;"") * ISNUMBER(SEARCH(VRAM_table[Video memory text], B612)), ""))</f>
        <v>8GB,8GB</v>
      </c>
    </row>
    <row r="613" spans="1:9" hidden="1" x14ac:dyDescent="0.35">
      <c r="A613" t="s">
        <v>9</v>
      </c>
      <c r="B613" t="s">
        <v>148</v>
      </c>
      <c r="C613">
        <v>16990000</v>
      </c>
      <c r="D613">
        <v>16290000</v>
      </c>
      <c r="E613" t="s">
        <v>149</v>
      </c>
      <c r="F613" t="s">
        <v>1051</v>
      </c>
      <c r="G613" t="str">
        <f>_xlfn.TEXTJOIN(",",TRUE,_xlfn._xlws.FILTER(GPU_brand[GPU brand], (GPU_brand[GPU brand text]&lt;&gt;"") * ISNUMBER(SEARCH(GPU_brand[GPU brand text], B613)), ""))</f>
        <v>MSI</v>
      </c>
      <c r="H613" t="str">
        <f>_xlfn.TEXTJOIN(",",TRUE,_xlfn._xlws.FILTER(Chipset_Table[Chipset], (Chipset_Table[Chipset text]&lt;&gt;"") * ISNUMBER(SEARCH(Chipset_Table[Chipset text], B613)), ""))</f>
        <v>GeForce RTX 5060,GeForce RTX 5060 Ti,RTX 5060 Ti</v>
      </c>
      <c r="I613" t="str">
        <f>_xlfn.TEXTJOIN(",",TRUE,_xlfn._xlws.FILTER(VRAM_table[Video memory], (VRAM_table[Video memory text]&lt;&gt;"") * ISNUMBER(SEARCH(VRAM_table[Video memory text], B613)), ""))</f>
        <v>16GB,16GB,6GB,6GB</v>
      </c>
    </row>
    <row r="614" spans="1:9" hidden="1" x14ac:dyDescent="0.35">
      <c r="A614" t="s">
        <v>9</v>
      </c>
      <c r="B614" t="s">
        <v>150</v>
      </c>
      <c r="C614">
        <v>18290000</v>
      </c>
      <c r="D614">
        <v>17690000</v>
      </c>
      <c r="E614" t="s">
        <v>151</v>
      </c>
      <c r="F614" t="s">
        <v>1051</v>
      </c>
      <c r="G614" t="str">
        <f>_xlfn.TEXTJOIN(",",TRUE,_xlfn._xlws.FILTER(GPU_brand[GPU brand], (GPU_brand[GPU brand text]&lt;&gt;"") * ISNUMBER(SEARCH(GPU_brand[GPU brand text], B614)), ""))</f>
        <v>MSI</v>
      </c>
      <c r="H614" t="str">
        <f>_xlfn.TEXTJOIN(",",TRUE,_xlfn._xlws.FILTER(Chipset_Table[Chipset], (Chipset_Table[Chipset text]&lt;&gt;"") * ISNUMBER(SEARCH(Chipset_Table[Chipset text], B614)), ""))</f>
        <v>GeForce RTX 5060,GeForce RTX 5060 Ti,RTX 5060 Ti</v>
      </c>
      <c r="I614" t="str">
        <f>_xlfn.TEXTJOIN(",",TRUE,_xlfn._xlws.FILTER(VRAM_table[Video memory], (VRAM_table[Video memory text]&lt;&gt;"") * ISNUMBER(SEARCH(VRAM_table[Video memory text], B614)), ""))</f>
        <v>16GB,16GB,6GB,6GB</v>
      </c>
    </row>
    <row r="615" spans="1:9" hidden="1" x14ac:dyDescent="0.35">
      <c r="A615" t="s">
        <v>9</v>
      </c>
      <c r="B615" t="s">
        <v>152</v>
      </c>
      <c r="C615">
        <v>17890000</v>
      </c>
      <c r="D615">
        <v>17390000</v>
      </c>
      <c r="E615" t="s">
        <v>153</v>
      </c>
      <c r="F615" t="s">
        <v>1051</v>
      </c>
      <c r="G615" t="str">
        <f>_xlfn.TEXTJOIN(",",TRUE,_xlfn._xlws.FILTER(GPU_brand[GPU brand], (GPU_brand[GPU brand text]&lt;&gt;"") * ISNUMBER(SEARCH(GPU_brand[GPU brand text], B615)), ""))</f>
        <v>MSI</v>
      </c>
      <c r="H615" t="str">
        <f>_xlfn.TEXTJOIN(",",TRUE,_xlfn._xlws.FILTER(Chipset_Table[Chipset], (Chipset_Table[Chipset text]&lt;&gt;"") * ISNUMBER(SEARCH(Chipset_Table[Chipset text], B615)), ""))</f>
        <v>GeForce RTX 5060,GeForce RTX 5060 Ti,RTX 5060 Ti</v>
      </c>
      <c r="I615" t="str">
        <f>_xlfn.TEXTJOIN(",",TRUE,_xlfn._xlws.FILTER(VRAM_table[Video memory], (VRAM_table[Video memory text]&lt;&gt;"") * ISNUMBER(SEARCH(VRAM_table[Video memory text], B615)), ""))</f>
        <v>16GB,16GB,6GB,6GB</v>
      </c>
    </row>
    <row r="616" spans="1:9" hidden="1" x14ac:dyDescent="0.35">
      <c r="A616" t="s">
        <v>9</v>
      </c>
      <c r="B616" t="s">
        <v>154</v>
      </c>
      <c r="C616">
        <v>15290000</v>
      </c>
      <c r="D616">
        <v>14890000</v>
      </c>
      <c r="E616" t="s">
        <v>155</v>
      </c>
      <c r="F616" t="s">
        <v>1051</v>
      </c>
      <c r="G616" t="str">
        <f>_xlfn.TEXTJOIN(",",TRUE,_xlfn._xlws.FILTER(GPU_brand[GPU brand], (GPU_brand[GPU brand text]&lt;&gt;"") * ISNUMBER(SEARCH(GPU_brand[GPU brand text], B616)), ""))</f>
        <v>MSI</v>
      </c>
      <c r="H616" t="str">
        <f>_xlfn.TEXTJOIN(",",TRUE,_xlfn._xlws.FILTER(Chipset_Table[Chipset], (Chipset_Table[Chipset text]&lt;&gt;"") * ISNUMBER(SEARCH(Chipset_Table[Chipset text], B616)), ""))</f>
        <v>GeForce RTX 5060,GeForce RTX 5060 Ti,RTX 5060 Ti</v>
      </c>
      <c r="I616" t="str">
        <f>_xlfn.TEXTJOIN(",",TRUE,_xlfn._xlws.FILTER(VRAM_table[Video memory], (VRAM_table[Video memory text]&lt;&gt;"") * ISNUMBER(SEARCH(VRAM_table[Video memory text], B616)), ""))</f>
        <v>8GB,8GB</v>
      </c>
    </row>
    <row r="617" spans="1:9" hidden="1" x14ac:dyDescent="0.35">
      <c r="A617" t="s">
        <v>9</v>
      </c>
      <c r="B617" t="s">
        <v>156</v>
      </c>
      <c r="C617">
        <v>17590000</v>
      </c>
      <c r="D617">
        <v>16890000</v>
      </c>
      <c r="E617" t="s">
        <v>157</v>
      </c>
      <c r="F617" t="s">
        <v>1051</v>
      </c>
      <c r="G617" t="str">
        <f>_xlfn.TEXTJOIN(",",TRUE,_xlfn._xlws.FILTER(GPU_brand[GPU brand], (GPU_brand[GPU brand text]&lt;&gt;"") * ISNUMBER(SEARCH(GPU_brand[GPU brand text], B617)), ""))</f>
        <v>MSI</v>
      </c>
      <c r="H617" t="str">
        <f>_xlfn.TEXTJOIN(",",TRUE,_xlfn._xlws.FILTER(Chipset_Table[Chipset], (Chipset_Table[Chipset text]&lt;&gt;"") * ISNUMBER(SEARCH(Chipset_Table[Chipset text], B617)), ""))</f>
        <v>GeForce RTX 5060,GeForce RTX 5060 Ti,RTX 5060 Ti</v>
      </c>
      <c r="I617" t="str">
        <f>_xlfn.TEXTJOIN(",",TRUE,_xlfn._xlws.FILTER(VRAM_table[Video memory], (VRAM_table[Video memory text]&lt;&gt;"") * ISNUMBER(SEARCH(VRAM_table[Video memory text], B617)), ""))</f>
        <v>16GB,16GB,6GB,6GB</v>
      </c>
    </row>
    <row r="618" spans="1:9" hidden="1" x14ac:dyDescent="0.35">
      <c r="A618" t="s">
        <v>9</v>
      </c>
      <c r="B618" t="s">
        <v>158</v>
      </c>
      <c r="C618">
        <v>14990000</v>
      </c>
      <c r="D618">
        <v>14290000</v>
      </c>
      <c r="E618" t="s">
        <v>159</v>
      </c>
      <c r="F618" t="s">
        <v>1051</v>
      </c>
      <c r="G618" t="str">
        <f>_xlfn.TEXTJOIN(",",TRUE,_xlfn._xlws.FILTER(GPU_brand[GPU brand], (GPU_brand[GPU brand text]&lt;&gt;"") * ISNUMBER(SEARCH(GPU_brand[GPU brand text], B618)), ""))</f>
        <v>ASUS</v>
      </c>
      <c r="H618" t="str">
        <f>_xlfn.TEXTJOIN(",",TRUE,_xlfn._xlws.FILTER(Chipset_Table[Chipset], (Chipset_Table[Chipset text]&lt;&gt;"") * ISNUMBER(SEARCH(Chipset_Table[Chipset text], B618)), ""))</f>
        <v>GeForce RTX 5060,GeForce RTX 5060 Ti,RTX 5060 Ti</v>
      </c>
      <c r="I618" t="str">
        <f>_xlfn.TEXTJOIN(",",TRUE,_xlfn._xlws.FILTER(VRAM_table[Video memory], (VRAM_table[Video memory text]&lt;&gt;"") * ISNUMBER(SEARCH(VRAM_table[Video memory text], B618)), ""))</f>
        <v>8GB,8GB</v>
      </c>
    </row>
    <row r="619" spans="1:9" hidden="1" x14ac:dyDescent="0.35">
      <c r="A619" t="s">
        <v>9</v>
      </c>
      <c r="B619" t="s">
        <v>160</v>
      </c>
      <c r="C619">
        <v>15190000</v>
      </c>
      <c r="D619">
        <v>14990000</v>
      </c>
      <c r="E619" t="s">
        <v>161</v>
      </c>
      <c r="F619" t="s">
        <v>1051</v>
      </c>
      <c r="G619" t="str">
        <f>_xlfn.TEXTJOIN(",",TRUE,_xlfn._xlws.FILTER(GPU_brand[GPU brand], (GPU_brand[GPU brand text]&lt;&gt;"") * ISNUMBER(SEARCH(GPU_brand[GPU brand text], B619)), ""))</f>
        <v>ASUS</v>
      </c>
      <c r="H619" t="str">
        <f>_xlfn.TEXTJOIN(",",TRUE,_xlfn._xlws.FILTER(Chipset_Table[Chipset], (Chipset_Table[Chipset text]&lt;&gt;"") * ISNUMBER(SEARCH(Chipset_Table[Chipset text], B619)), ""))</f>
        <v>GeForce RTX 5060,GeForce RTX 5060 Ti,RTX 5060 Ti</v>
      </c>
      <c r="I619" t="str">
        <f>_xlfn.TEXTJOIN(",",TRUE,_xlfn._xlws.FILTER(VRAM_table[Video memory], (VRAM_table[Video memory text]&lt;&gt;"") * ISNUMBER(SEARCH(VRAM_table[Video memory text], B619)), ""))</f>
        <v>8GB,8GB</v>
      </c>
    </row>
    <row r="620" spans="1:9" hidden="1" x14ac:dyDescent="0.35">
      <c r="A620" t="s">
        <v>9</v>
      </c>
      <c r="B620" t="s">
        <v>162</v>
      </c>
      <c r="C620">
        <v>15490000</v>
      </c>
      <c r="D620">
        <v>15390000</v>
      </c>
      <c r="E620" t="s">
        <v>163</v>
      </c>
      <c r="F620" t="s">
        <v>1051</v>
      </c>
      <c r="G620" t="str">
        <f>_xlfn.TEXTJOIN(",",TRUE,_xlfn._xlws.FILTER(GPU_brand[GPU brand], (GPU_brand[GPU brand text]&lt;&gt;"") * ISNUMBER(SEARCH(GPU_brand[GPU brand text], B620)), ""))</f>
        <v>ASUS</v>
      </c>
      <c r="H620" t="str">
        <f>_xlfn.TEXTJOIN(",",TRUE,_xlfn._xlws.FILTER(Chipset_Table[Chipset], (Chipset_Table[Chipset text]&lt;&gt;"") * ISNUMBER(SEARCH(Chipset_Table[Chipset text], B620)), ""))</f>
        <v>GeForce RTX 5060,GeForce RTX 5060 Ti,RTX 5060 Ti</v>
      </c>
      <c r="I620" t="str">
        <f>_xlfn.TEXTJOIN(",",TRUE,_xlfn._xlws.FILTER(VRAM_table[Video memory], (VRAM_table[Video memory text]&lt;&gt;"") * ISNUMBER(SEARCH(VRAM_table[Video memory text], B620)), ""))</f>
        <v>8GB,8GB</v>
      </c>
    </row>
    <row r="621" spans="1:9" hidden="1" x14ac:dyDescent="0.35">
      <c r="A621" t="s">
        <v>9</v>
      </c>
      <c r="B621" t="s">
        <v>164</v>
      </c>
      <c r="C621">
        <v>0</v>
      </c>
      <c r="D621">
        <v>16990000</v>
      </c>
      <c r="E621" t="s">
        <v>165</v>
      </c>
      <c r="F621" t="s">
        <v>1051</v>
      </c>
      <c r="G621" t="str">
        <f>_xlfn.TEXTJOIN(",",TRUE,_xlfn._xlws.FILTER(GPU_brand[GPU brand], (GPU_brand[GPU brand text]&lt;&gt;"") * ISNUMBER(SEARCH(GPU_brand[GPU brand text], B621)), ""))</f>
        <v>ASUS</v>
      </c>
      <c r="H621" t="str">
        <f>_xlfn.TEXTJOIN(",",TRUE,_xlfn._xlws.FILTER(Chipset_Table[Chipset], (Chipset_Table[Chipset text]&lt;&gt;"") * ISNUMBER(SEARCH(Chipset_Table[Chipset text], B621)), ""))</f>
        <v>GeForce RTX 5060,GeForce RTX 5060 Ti,RTX 5060 Ti</v>
      </c>
      <c r="I621" t="str">
        <f>_xlfn.TEXTJOIN(",",TRUE,_xlfn._xlws.FILTER(VRAM_table[Video memory], (VRAM_table[Video memory text]&lt;&gt;"") * ISNUMBER(SEARCH(VRAM_table[Video memory text], B621)), ""))</f>
        <v>8GB,8GB</v>
      </c>
    </row>
    <row r="622" spans="1:9" hidden="1" x14ac:dyDescent="0.35">
      <c r="A622" t="s">
        <v>9</v>
      </c>
      <c r="B622" t="s">
        <v>166</v>
      </c>
      <c r="C622">
        <v>0</v>
      </c>
      <c r="D622">
        <v>18990000</v>
      </c>
      <c r="E622" t="s">
        <v>167</v>
      </c>
      <c r="F622" t="s">
        <v>1051</v>
      </c>
      <c r="G622" t="str">
        <f>_xlfn.TEXTJOIN(",",TRUE,_xlfn._xlws.FILTER(GPU_brand[GPU brand], (GPU_brand[GPU brand text]&lt;&gt;"") * ISNUMBER(SEARCH(GPU_brand[GPU brand text], B622)), ""))</f>
        <v>ASUS</v>
      </c>
      <c r="H622" t="str">
        <f>_xlfn.TEXTJOIN(",",TRUE,_xlfn._xlws.FILTER(Chipset_Table[Chipset], (Chipset_Table[Chipset text]&lt;&gt;"") * ISNUMBER(SEARCH(Chipset_Table[Chipset text], B622)), ""))</f>
        <v>GeForce RTX 5060,GeForce RTX 5060 Ti,RTX 5060 Ti</v>
      </c>
      <c r="I622" t="str">
        <f>_xlfn.TEXTJOIN(",",TRUE,_xlfn._xlws.FILTER(VRAM_table[Video memory], (VRAM_table[Video memory text]&lt;&gt;"") * ISNUMBER(SEARCH(VRAM_table[Video memory text], B622)), ""))</f>
        <v>16GB,16GB,6GB,6GB</v>
      </c>
    </row>
    <row r="623" spans="1:9" hidden="1" x14ac:dyDescent="0.35">
      <c r="A623" t="s">
        <v>9</v>
      </c>
      <c r="B623" t="s">
        <v>168</v>
      </c>
      <c r="C623">
        <v>0</v>
      </c>
      <c r="D623">
        <v>19490000</v>
      </c>
      <c r="E623" t="s">
        <v>169</v>
      </c>
      <c r="F623" t="s">
        <v>1051</v>
      </c>
      <c r="G623" t="str">
        <f>_xlfn.TEXTJOIN(",",TRUE,_xlfn._xlws.FILTER(GPU_brand[GPU brand], (GPU_brand[GPU brand text]&lt;&gt;"") * ISNUMBER(SEARCH(GPU_brand[GPU brand text], B623)), ""))</f>
        <v>ASUS</v>
      </c>
      <c r="H623" t="str">
        <f>_xlfn.TEXTJOIN(",",TRUE,_xlfn._xlws.FILTER(Chipset_Table[Chipset], (Chipset_Table[Chipset text]&lt;&gt;"") * ISNUMBER(SEARCH(Chipset_Table[Chipset text], B623)), ""))</f>
        <v>GeForce RTX 5060,GeForce RTX 5060 Ti,RTX 5060 Ti</v>
      </c>
      <c r="I623" t="str">
        <f>_xlfn.TEXTJOIN(",",TRUE,_xlfn._xlws.FILTER(VRAM_table[Video memory], (VRAM_table[Video memory text]&lt;&gt;"") * ISNUMBER(SEARCH(VRAM_table[Video memory text], B623)), ""))</f>
        <v>16GB,16GB,6GB,6GB</v>
      </c>
    </row>
    <row r="624" spans="1:9" hidden="1" x14ac:dyDescent="0.35">
      <c r="A624" t="s">
        <v>9</v>
      </c>
      <c r="B624" t="s">
        <v>170</v>
      </c>
      <c r="C624">
        <v>20490000</v>
      </c>
      <c r="D624">
        <v>20290000</v>
      </c>
      <c r="E624" t="s">
        <v>171</v>
      </c>
      <c r="F624" t="s">
        <v>1051</v>
      </c>
      <c r="G624" t="str">
        <f>_xlfn.TEXTJOIN(",",TRUE,_xlfn._xlws.FILTER(GPU_brand[GPU brand], (GPU_brand[GPU brand text]&lt;&gt;"") * ISNUMBER(SEARCH(GPU_brand[GPU brand text], B624)), ""))</f>
        <v>ASUS</v>
      </c>
      <c r="H624" t="str">
        <f>_xlfn.TEXTJOIN(",",TRUE,_xlfn._xlws.FILTER(Chipset_Table[Chipset], (Chipset_Table[Chipset text]&lt;&gt;"") * ISNUMBER(SEARCH(Chipset_Table[Chipset text], B624)), ""))</f>
        <v>GeForce RTX 5060,GeForce RTX 5060 Ti,RTX 5060 Ti</v>
      </c>
      <c r="I624" t="str">
        <f>_xlfn.TEXTJOIN(",",TRUE,_xlfn._xlws.FILTER(VRAM_table[Video memory], (VRAM_table[Video memory text]&lt;&gt;"") * ISNUMBER(SEARCH(VRAM_table[Video memory text], B624)), ""))</f>
        <v>16GB,16GB,6GB,6GB</v>
      </c>
    </row>
    <row r="625" spans="1:9" hidden="1" x14ac:dyDescent="0.35">
      <c r="A625" t="s">
        <v>9</v>
      </c>
      <c r="B625" t="s">
        <v>172</v>
      </c>
      <c r="C625">
        <v>22390000</v>
      </c>
      <c r="D625">
        <v>18990000</v>
      </c>
      <c r="E625" t="s">
        <v>173</v>
      </c>
      <c r="F625" t="s">
        <v>1051</v>
      </c>
      <c r="G625" t="str">
        <f>_xlfn.TEXTJOIN(",",TRUE,_xlfn._xlws.FILTER(GPU_brand[GPU brand], (GPU_brand[GPU brand text]&lt;&gt;"") * ISNUMBER(SEARCH(GPU_brand[GPU brand text], B625)), ""))</f>
        <v>Gigabyte</v>
      </c>
      <c r="H625" t="str">
        <f>_xlfn.TEXTJOIN(",",TRUE,_xlfn._xlws.FILTER(Chipset_Table[Chipset], (Chipset_Table[Chipset text]&lt;&gt;"") * ISNUMBER(SEARCH(Chipset_Table[Chipset text], B625)), ""))</f>
        <v>GeForce RTX 5060,GeForce RTX 5060 Ti,RTX 5060 Ti</v>
      </c>
      <c r="I625" t="str">
        <f>_xlfn.TEXTJOIN(",",TRUE,_xlfn._xlws.FILTER(VRAM_table[Video memory], (VRAM_table[Video memory text]&lt;&gt;"") * ISNUMBER(SEARCH(VRAM_table[Video memory text], B625)), ""))</f>
        <v>16GB,16GB,6GB,6GB</v>
      </c>
    </row>
    <row r="626" spans="1:9" hidden="1" x14ac:dyDescent="0.35">
      <c r="A626" t="s">
        <v>9</v>
      </c>
      <c r="B626" t="s">
        <v>174</v>
      </c>
      <c r="C626">
        <v>21990000</v>
      </c>
      <c r="D626">
        <v>17490000</v>
      </c>
      <c r="E626" t="s">
        <v>175</v>
      </c>
      <c r="F626" t="s">
        <v>1051</v>
      </c>
      <c r="G626" t="str">
        <f>_xlfn.TEXTJOIN(",",TRUE,_xlfn._xlws.FILTER(GPU_brand[GPU brand], (GPU_brand[GPU brand text]&lt;&gt;"") * ISNUMBER(SEARCH(GPU_brand[GPU brand text], B626)), ""))</f>
        <v>Gigabyte</v>
      </c>
      <c r="H626" t="str">
        <f>_xlfn.TEXTJOIN(",",TRUE,_xlfn._xlws.FILTER(Chipset_Table[Chipset], (Chipset_Table[Chipset text]&lt;&gt;"") * ISNUMBER(SEARCH(Chipset_Table[Chipset text], B626)), ""))</f>
        <v>GeForce RTX 5060,GeForce RTX 5060 Ti,RTX 5060 Ti</v>
      </c>
      <c r="I626" t="str">
        <f>_xlfn.TEXTJOIN(",",TRUE,_xlfn._xlws.FILTER(VRAM_table[Video memory], (VRAM_table[Video memory text]&lt;&gt;"") * ISNUMBER(SEARCH(VRAM_table[Video memory text], B626)), ""))</f>
        <v>16GB,16GB,6GB,6GB</v>
      </c>
    </row>
    <row r="627" spans="1:9" hidden="1" x14ac:dyDescent="0.35">
      <c r="A627" t="s">
        <v>9</v>
      </c>
      <c r="B627" t="s">
        <v>176</v>
      </c>
      <c r="C627">
        <v>17990000</v>
      </c>
      <c r="D627">
        <v>13990000</v>
      </c>
      <c r="E627" t="s">
        <v>177</v>
      </c>
      <c r="F627" t="s">
        <v>1051</v>
      </c>
      <c r="G627" t="str">
        <f>_xlfn.TEXTJOIN(",",TRUE,_xlfn._xlws.FILTER(GPU_brand[GPU brand], (GPU_brand[GPU brand text]&lt;&gt;"") * ISNUMBER(SEARCH(GPU_brand[GPU brand text], B627)), ""))</f>
        <v>Gigabyte</v>
      </c>
      <c r="H627" t="str">
        <f>_xlfn.TEXTJOIN(",",TRUE,_xlfn._xlws.FILTER(Chipset_Table[Chipset], (Chipset_Table[Chipset text]&lt;&gt;"") * ISNUMBER(SEARCH(Chipset_Table[Chipset text], B627)), ""))</f>
        <v>GeForce RTX 5060,GeForce RTX 5060 Ti,RTX 5060 Ti</v>
      </c>
      <c r="I627" t="str">
        <f>_xlfn.TEXTJOIN(",",TRUE,_xlfn._xlws.FILTER(VRAM_table[Video memory], (VRAM_table[Video memory text]&lt;&gt;"") * ISNUMBER(SEARCH(VRAM_table[Video memory text], B627)), ""))</f>
        <v>16GB,16GB,6GB,6GB</v>
      </c>
    </row>
    <row r="628" spans="1:9" hidden="1" x14ac:dyDescent="0.35">
      <c r="A628" t="s">
        <v>9</v>
      </c>
      <c r="B628" t="s">
        <v>178</v>
      </c>
      <c r="C628">
        <v>18990000</v>
      </c>
      <c r="D628">
        <v>14690000</v>
      </c>
      <c r="E628" t="s">
        <v>179</v>
      </c>
      <c r="F628" t="s">
        <v>1051</v>
      </c>
      <c r="G628" t="str">
        <f>_xlfn.TEXTJOIN(",",TRUE,_xlfn._xlws.FILTER(GPU_brand[GPU brand], (GPU_brand[GPU brand text]&lt;&gt;"") * ISNUMBER(SEARCH(GPU_brand[GPU brand text], B628)), ""))</f>
        <v>Gigabyte</v>
      </c>
      <c r="H628" t="str">
        <f>_xlfn.TEXTJOIN(",",TRUE,_xlfn._xlws.FILTER(Chipset_Table[Chipset], (Chipset_Table[Chipset text]&lt;&gt;"") * ISNUMBER(SEARCH(Chipset_Table[Chipset text], B628)), ""))</f>
        <v>GeForce RTX 5060,GeForce RTX 5060 Ti,RTX 5060 Ti</v>
      </c>
      <c r="I628" t="str">
        <f>_xlfn.TEXTJOIN(",",TRUE,_xlfn._xlws.FILTER(VRAM_table[Video memory], (VRAM_table[Video memory text]&lt;&gt;"") * ISNUMBER(SEARCH(VRAM_table[Video memory text], B628)), ""))</f>
        <v>16GB,16GB,6GB,6GB</v>
      </c>
    </row>
    <row r="629" spans="1:9" hidden="1" x14ac:dyDescent="0.35">
      <c r="A629" t="s">
        <v>9</v>
      </c>
      <c r="B629" t="s">
        <v>180</v>
      </c>
      <c r="C629">
        <v>22490000</v>
      </c>
      <c r="D629">
        <v>20490000</v>
      </c>
      <c r="E629" t="s">
        <v>181</v>
      </c>
      <c r="F629" t="s">
        <v>1051</v>
      </c>
      <c r="G629" t="str">
        <f>_xlfn.TEXTJOIN(",",TRUE,_xlfn._xlws.FILTER(GPU_brand[GPU brand], (GPU_brand[GPU brand text]&lt;&gt;"") * ISNUMBER(SEARCH(GPU_brand[GPU brand text], B629)), ""))</f>
        <v>Gigabyte</v>
      </c>
      <c r="H629" t="str">
        <f>_xlfn.TEXTJOIN(",",TRUE,_xlfn._xlws.FILTER(Chipset_Table[Chipset], (Chipset_Table[Chipset text]&lt;&gt;"") * ISNUMBER(SEARCH(Chipset_Table[Chipset text], B629)), ""))</f>
        <v>GeForce RTX 5060,GeForce RTX 5060 Ti,RTX 5060 Ti</v>
      </c>
      <c r="I629" t="str">
        <f>_xlfn.TEXTJOIN(",",TRUE,_xlfn._xlws.FILTER(VRAM_table[Video memory], (VRAM_table[Video memory text]&lt;&gt;"") * ISNUMBER(SEARCH(VRAM_table[Video memory text], B629)), ""))</f>
        <v>16GB,16GB,6GB,6GB</v>
      </c>
    </row>
    <row r="630" spans="1:9" hidden="1" x14ac:dyDescent="0.35">
      <c r="A630" t="s">
        <v>9</v>
      </c>
      <c r="B630" t="s">
        <v>182</v>
      </c>
      <c r="C630">
        <v>20490000</v>
      </c>
      <c r="D630">
        <v>16990000</v>
      </c>
      <c r="E630" t="s">
        <v>183</v>
      </c>
      <c r="F630" t="s">
        <v>1051</v>
      </c>
      <c r="G630" t="str">
        <f>_xlfn.TEXTJOIN(",",TRUE,_xlfn._xlws.FILTER(GPU_brand[GPU brand], (GPU_brand[GPU brand text]&lt;&gt;"") * ISNUMBER(SEARCH(GPU_brand[GPU brand text], B630)), ""))</f>
        <v>Gigabyte</v>
      </c>
      <c r="H630" t="str">
        <f>_xlfn.TEXTJOIN(",",TRUE,_xlfn._xlws.FILTER(Chipset_Table[Chipset], (Chipset_Table[Chipset text]&lt;&gt;"") * ISNUMBER(SEARCH(Chipset_Table[Chipset text], B630)), ""))</f>
        <v>GeForce RTX 5060,GeForce RTX 5060 Ti,RTX 5060 Ti</v>
      </c>
      <c r="I630" t="str">
        <f>_xlfn.TEXTJOIN(",",TRUE,_xlfn._xlws.FILTER(VRAM_table[Video memory], (VRAM_table[Video memory text]&lt;&gt;"") * ISNUMBER(SEARCH(VRAM_table[Video memory text], B630)), ""))</f>
        <v>16GB,16GB,6GB,6GB</v>
      </c>
    </row>
    <row r="631" spans="1:9" hidden="1" x14ac:dyDescent="0.35">
      <c r="A631" t="s">
        <v>9</v>
      </c>
      <c r="B631" t="s">
        <v>184</v>
      </c>
      <c r="C631">
        <v>21990000</v>
      </c>
      <c r="D631">
        <v>19690000</v>
      </c>
      <c r="E631" t="s">
        <v>185</v>
      </c>
      <c r="F631" t="s">
        <v>1051</v>
      </c>
      <c r="G631" t="str">
        <f>_xlfn.TEXTJOIN(",",TRUE,_xlfn._xlws.FILTER(GPU_brand[GPU brand], (GPU_brand[GPU brand text]&lt;&gt;"") * ISNUMBER(SEARCH(GPU_brand[GPU brand text], B631)), ""))</f>
        <v>Gigabyte</v>
      </c>
      <c r="H631" t="str">
        <f>_xlfn.TEXTJOIN(",",TRUE,_xlfn._xlws.FILTER(Chipset_Table[Chipset], (Chipset_Table[Chipset text]&lt;&gt;"") * ISNUMBER(SEARCH(Chipset_Table[Chipset text], B631)), ""))</f>
        <v>GeForce RTX 5060,GeForce RTX 5060 Ti,RTX 5060 Ti</v>
      </c>
      <c r="I631" t="str">
        <f>_xlfn.TEXTJOIN(",",TRUE,_xlfn._xlws.FILTER(VRAM_table[Video memory], (VRAM_table[Video memory text]&lt;&gt;"") * ISNUMBER(SEARCH(VRAM_table[Video memory text], B631)), ""))</f>
        <v>16GB,16GB,6GB,6GB</v>
      </c>
    </row>
    <row r="632" spans="1:9" hidden="1" x14ac:dyDescent="0.35">
      <c r="A632" t="s">
        <v>9</v>
      </c>
      <c r="B632" t="s">
        <v>186</v>
      </c>
      <c r="C632">
        <v>41990000</v>
      </c>
      <c r="D632">
        <v>37490000</v>
      </c>
      <c r="E632" t="s">
        <v>187</v>
      </c>
      <c r="F632" t="s">
        <v>1051</v>
      </c>
      <c r="G632" t="str">
        <f>_xlfn.TEXTJOIN(",",TRUE,_xlfn._xlws.FILTER(GPU_brand[GPU brand], (GPU_brand[GPU brand text]&lt;&gt;"") * ISNUMBER(SEARCH(GPU_brand[GPU brand text], B632)), ""))</f>
        <v>MSI</v>
      </c>
      <c r="H632" t="str">
        <f>_xlfn.TEXTJOIN(",",TRUE,_xlfn._xlws.FILTER(Chipset_Table[Chipset], (Chipset_Table[Chipset text]&lt;&gt;"") * ISNUMBER(SEARCH(Chipset_Table[Chipset text], B632)), ""))</f>
        <v>GeForce RTX 5080,RTX 5080</v>
      </c>
      <c r="I632" t="str">
        <f>_xlfn.TEXTJOIN(",",TRUE,_xlfn._xlws.FILTER(VRAM_table[Video memory], (VRAM_table[Video memory text]&lt;&gt;"") * ISNUMBER(SEARCH(VRAM_table[Video memory text], B632)), ""))</f>
        <v>16GB,6GB</v>
      </c>
    </row>
    <row r="633" spans="1:9" hidden="1" x14ac:dyDescent="0.35">
      <c r="A633" t="s">
        <v>9</v>
      </c>
      <c r="B633" t="s">
        <v>38</v>
      </c>
      <c r="C633">
        <v>53990000</v>
      </c>
      <c r="D633">
        <v>49990000</v>
      </c>
      <c r="E633" t="s">
        <v>39</v>
      </c>
      <c r="F633" t="s">
        <v>1051</v>
      </c>
      <c r="G633" t="str">
        <f>_xlfn.TEXTJOIN(",",TRUE,_xlfn._xlws.FILTER(GPU_brand[GPU brand], (GPU_brand[GPU brand text]&lt;&gt;"") * ISNUMBER(SEARCH(GPU_brand[GPU brand text], B633)), ""))</f>
        <v>MSI</v>
      </c>
      <c r="H633" t="str">
        <f>_xlfn.TEXTJOIN(",",TRUE,_xlfn._xlws.FILTER(Chipset_Table[Chipset], (Chipset_Table[Chipset text]&lt;&gt;"") * ISNUMBER(SEARCH(Chipset_Table[Chipset text], B633)), ""))</f>
        <v>GeForce RTX 5080,RTX 5080</v>
      </c>
      <c r="I633" t="str">
        <f>_xlfn.TEXTJOIN(",",TRUE,_xlfn._xlws.FILTER(VRAM_table[Video memory], (VRAM_table[Video memory text]&lt;&gt;"") * ISNUMBER(SEARCH(VRAM_table[Video memory text], B633)), ""))</f>
        <v>16GB,6GB</v>
      </c>
    </row>
    <row r="634" spans="1:9" hidden="1" x14ac:dyDescent="0.35">
      <c r="A634" t="s">
        <v>9</v>
      </c>
      <c r="B634" t="s">
        <v>188</v>
      </c>
      <c r="C634">
        <v>45990000</v>
      </c>
      <c r="D634">
        <v>44990000</v>
      </c>
      <c r="E634" t="s">
        <v>189</v>
      </c>
      <c r="F634" t="s">
        <v>1051</v>
      </c>
      <c r="G634" t="str">
        <f>_xlfn.TEXTJOIN(",",TRUE,_xlfn._xlws.FILTER(GPU_brand[GPU brand], (GPU_brand[GPU brand text]&lt;&gt;"") * ISNUMBER(SEARCH(GPU_brand[GPU brand text], B634)), ""))</f>
        <v>MSI</v>
      </c>
      <c r="H634" t="str">
        <f>_xlfn.TEXTJOIN(",",TRUE,_xlfn._xlws.FILTER(Chipset_Table[Chipset], (Chipset_Table[Chipset text]&lt;&gt;"") * ISNUMBER(SEARCH(Chipset_Table[Chipset text], B634)), ""))</f>
        <v>GeForce RTX 5080,RTX 5080</v>
      </c>
      <c r="I634" t="str">
        <f>_xlfn.TEXTJOIN(",",TRUE,_xlfn._xlws.FILTER(VRAM_table[Video memory], (VRAM_table[Video memory text]&lt;&gt;"") * ISNUMBER(SEARCH(VRAM_table[Video memory text], B634)), ""))</f>
        <v>16GB,6GB</v>
      </c>
    </row>
    <row r="635" spans="1:9" hidden="1" x14ac:dyDescent="0.35">
      <c r="A635" t="s">
        <v>9</v>
      </c>
      <c r="B635" t="s">
        <v>190</v>
      </c>
      <c r="C635">
        <v>0</v>
      </c>
      <c r="D635">
        <v>29990000</v>
      </c>
      <c r="E635" t="s">
        <v>191</v>
      </c>
      <c r="F635" t="s">
        <v>1051</v>
      </c>
      <c r="G635" t="str">
        <f>_xlfn.TEXTJOIN(",",TRUE,_xlfn._xlws.FILTER(GPU_brand[GPU brand], (GPU_brand[GPU brand text]&lt;&gt;"") * ISNUMBER(SEARCH(GPU_brand[GPU brand text], B635)), ""))</f>
        <v>Colorful</v>
      </c>
      <c r="H635" t="str">
        <f>_xlfn.TEXTJOIN(",",TRUE,_xlfn._xlws.FILTER(Chipset_Table[Chipset], (Chipset_Table[Chipset text]&lt;&gt;"") * ISNUMBER(SEARCH(Chipset_Table[Chipset text], B635)), ""))</f>
        <v>GeForce RTX 5070,GeForce RTX 5070 Ti,RTX 5070</v>
      </c>
      <c r="I635" t="str">
        <f>_xlfn.TEXTJOIN(",",TRUE,_xlfn._xlws.FILTER(VRAM_table[Video memory], (VRAM_table[Video memory text]&lt;&gt;"") * ISNUMBER(SEARCH(VRAM_table[Video memory text], B635)), ""))</f>
        <v>16GB,16GB,6GB,6GB</v>
      </c>
    </row>
    <row r="636" spans="1:9" hidden="1" x14ac:dyDescent="0.35">
      <c r="A636" t="s">
        <v>9</v>
      </c>
      <c r="B636" t="s">
        <v>192</v>
      </c>
      <c r="C636">
        <v>99990000</v>
      </c>
      <c r="D636">
        <v>98990000</v>
      </c>
      <c r="E636" t="s">
        <v>193</v>
      </c>
      <c r="F636" t="s">
        <v>1051</v>
      </c>
      <c r="G636" t="str">
        <f>_xlfn.TEXTJOIN(",",TRUE,_xlfn._xlws.FILTER(GPU_brand[GPU brand], (GPU_brand[GPU brand text]&lt;&gt;"") * ISNUMBER(SEARCH(GPU_brand[GPU brand text], B636)), ""))</f>
        <v>Gigabyte</v>
      </c>
      <c r="H636" t="str">
        <f>_xlfn.TEXTJOIN(",",TRUE,_xlfn._xlws.FILTER(Chipset_Table[Chipset], (Chipset_Table[Chipset text]&lt;&gt;"") * ISNUMBER(SEARCH(Chipset_Table[Chipset text], B636)), ""))</f>
        <v>GeForce RTX 5090</v>
      </c>
      <c r="I636" t="str">
        <f>_xlfn.TEXTJOIN(",",TRUE,_xlfn._xlws.FILTER(VRAM_table[Video memory], (VRAM_table[Video memory text]&lt;&gt;"") * ISNUMBER(SEARCH(VRAM_table[Video memory text], B636)), ""))</f>
        <v>32GB,2GB</v>
      </c>
    </row>
    <row r="637" spans="1:9" hidden="1" x14ac:dyDescent="0.35">
      <c r="A637" t="s">
        <v>9</v>
      </c>
      <c r="B637" t="s">
        <v>196</v>
      </c>
      <c r="C637">
        <v>21490000</v>
      </c>
      <c r="D637">
        <v>19890000</v>
      </c>
      <c r="E637" t="s">
        <v>197</v>
      </c>
      <c r="F637" t="s">
        <v>1051</v>
      </c>
      <c r="G637" t="str">
        <f>_xlfn.TEXTJOIN(",",TRUE,_xlfn._xlws.FILTER(GPU_brand[GPU brand], (GPU_brand[GPU brand text]&lt;&gt;"") * ISNUMBER(SEARCH(GPU_brand[GPU brand text], B637)), ""))</f>
        <v>ASUS</v>
      </c>
      <c r="H637" t="str">
        <f>_xlfn.TEXTJOIN(",",TRUE,_xlfn._xlws.FILTER(Chipset_Table[Chipset], (Chipset_Table[Chipset text]&lt;&gt;"") * ISNUMBER(SEARCH(Chipset_Table[Chipset text], B637)), ""))</f>
        <v>GeForce RTX 5070,RTX 5070</v>
      </c>
      <c r="I637" t="str">
        <f>_xlfn.TEXTJOIN(",",TRUE,_xlfn._xlws.FILTER(VRAM_table[Video memory], (VRAM_table[Video memory text]&lt;&gt;"") * ISNUMBER(SEARCH(VRAM_table[Video memory text], B637)), ""))</f>
        <v>12GB,2GB</v>
      </c>
    </row>
    <row r="638" spans="1:9" hidden="1" x14ac:dyDescent="0.35">
      <c r="A638" t="s">
        <v>9</v>
      </c>
      <c r="B638" t="s">
        <v>198</v>
      </c>
      <c r="C638">
        <v>21690000</v>
      </c>
      <c r="D638">
        <v>20490000</v>
      </c>
      <c r="E638" t="s">
        <v>199</v>
      </c>
      <c r="F638" t="s">
        <v>1051</v>
      </c>
      <c r="G638" t="str">
        <f>_xlfn.TEXTJOIN(",",TRUE,_xlfn._xlws.FILTER(GPU_brand[GPU brand], (GPU_brand[GPU brand text]&lt;&gt;"") * ISNUMBER(SEARCH(GPU_brand[GPU brand text], B638)), ""))</f>
        <v>ASUS</v>
      </c>
      <c r="H638" t="str">
        <f>_xlfn.TEXTJOIN(",",TRUE,_xlfn._xlws.FILTER(Chipset_Table[Chipset], (Chipset_Table[Chipset text]&lt;&gt;"") * ISNUMBER(SEARCH(Chipset_Table[Chipset text], B638)), ""))</f>
        <v>GeForce RTX 5070,RTX 5070</v>
      </c>
      <c r="I638" t="str">
        <f>_xlfn.TEXTJOIN(",",TRUE,_xlfn._xlws.FILTER(VRAM_table[Video memory], (VRAM_table[Video memory text]&lt;&gt;"") * ISNUMBER(SEARCH(VRAM_table[Video memory text], B638)), ""))</f>
        <v>12GB,2GB</v>
      </c>
    </row>
    <row r="639" spans="1:9" hidden="1" x14ac:dyDescent="0.35">
      <c r="A639" t="s">
        <v>9</v>
      </c>
      <c r="B639" t="s">
        <v>200</v>
      </c>
      <c r="C639">
        <v>25490000</v>
      </c>
      <c r="D639">
        <v>22490000</v>
      </c>
      <c r="E639" t="s">
        <v>201</v>
      </c>
      <c r="F639" t="s">
        <v>1051</v>
      </c>
      <c r="G639" t="str">
        <f>_xlfn.TEXTJOIN(",",TRUE,_xlfn._xlws.FILTER(GPU_brand[GPU brand], (GPU_brand[GPU brand text]&lt;&gt;"") * ISNUMBER(SEARCH(GPU_brand[GPU brand text], B639)), ""))</f>
        <v>ASUS</v>
      </c>
      <c r="H639" t="str">
        <f>_xlfn.TEXTJOIN(",",TRUE,_xlfn._xlws.FILTER(Chipset_Table[Chipset], (Chipset_Table[Chipset text]&lt;&gt;"") * ISNUMBER(SEARCH(Chipset_Table[Chipset text], B639)), ""))</f>
        <v>GeForce RTX 5070,RTX 5070</v>
      </c>
      <c r="I639" t="str">
        <f>_xlfn.TEXTJOIN(",",TRUE,_xlfn._xlws.FILTER(VRAM_table[Video memory], (VRAM_table[Video memory text]&lt;&gt;"") * ISNUMBER(SEARCH(VRAM_table[Video memory text], B639)), ""))</f>
        <v>12GB,2GB</v>
      </c>
    </row>
    <row r="640" spans="1:9" hidden="1" x14ac:dyDescent="0.35">
      <c r="A640" t="s">
        <v>9</v>
      </c>
      <c r="B640" t="s">
        <v>202</v>
      </c>
      <c r="C640">
        <v>25990000</v>
      </c>
      <c r="D640">
        <v>24990000</v>
      </c>
      <c r="E640" t="s">
        <v>203</v>
      </c>
      <c r="F640" t="s">
        <v>1051</v>
      </c>
      <c r="G640" t="str">
        <f>_xlfn.TEXTJOIN(",",TRUE,_xlfn._xlws.FILTER(GPU_brand[GPU brand], (GPU_brand[GPU brand text]&lt;&gt;"") * ISNUMBER(SEARCH(GPU_brand[GPU brand text], B640)), ""))</f>
        <v>ASUS</v>
      </c>
      <c r="H640" t="str">
        <f>_xlfn.TEXTJOIN(",",TRUE,_xlfn._xlws.FILTER(Chipset_Table[Chipset], (Chipset_Table[Chipset text]&lt;&gt;"") * ISNUMBER(SEARCH(Chipset_Table[Chipset text], B640)), ""))</f>
        <v>GeForce RTX 5070,RTX 5070</v>
      </c>
      <c r="I640" t="str">
        <f>_xlfn.TEXTJOIN(",",TRUE,_xlfn._xlws.FILTER(VRAM_table[Video memory], (VRAM_table[Video memory text]&lt;&gt;"") * ISNUMBER(SEARCH(VRAM_table[Video memory text], B640)), ""))</f>
        <v>12GB,2GB</v>
      </c>
    </row>
    <row r="641" spans="1:9" hidden="1" x14ac:dyDescent="0.35">
      <c r="A641" t="s">
        <v>9</v>
      </c>
      <c r="B641" t="s">
        <v>204</v>
      </c>
      <c r="C641">
        <v>29490000</v>
      </c>
      <c r="D641">
        <v>25490000</v>
      </c>
      <c r="E641" t="s">
        <v>205</v>
      </c>
      <c r="F641" t="s">
        <v>1051</v>
      </c>
      <c r="G641" t="str">
        <f>_xlfn.TEXTJOIN(",",TRUE,_xlfn._xlws.FILTER(GPU_brand[GPU brand], (GPU_brand[GPU brand text]&lt;&gt;"") * ISNUMBER(SEARCH(GPU_brand[GPU brand text], B641)), ""))</f>
        <v>ASUS</v>
      </c>
      <c r="H641" t="str">
        <f>_xlfn.TEXTJOIN(",",TRUE,_xlfn._xlws.FILTER(Chipset_Table[Chipset], (Chipset_Table[Chipset text]&lt;&gt;"") * ISNUMBER(SEARCH(Chipset_Table[Chipset text], B641)), ""))</f>
        <v>GeForce RTX 5070,RTX 5070</v>
      </c>
      <c r="I641" t="str">
        <f>_xlfn.TEXTJOIN(",",TRUE,_xlfn._xlws.FILTER(VRAM_table[Video memory], (VRAM_table[Video memory text]&lt;&gt;"") * ISNUMBER(SEARCH(VRAM_table[Video memory text], B641)), ""))</f>
        <v>12GB,2GB</v>
      </c>
    </row>
    <row r="642" spans="1:9" hidden="1" x14ac:dyDescent="0.35">
      <c r="A642" t="s">
        <v>9</v>
      </c>
      <c r="B642" t="s">
        <v>206</v>
      </c>
      <c r="C642">
        <v>29990000</v>
      </c>
      <c r="D642">
        <v>26490000</v>
      </c>
      <c r="E642" t="s">
        <v>207</v>
      </c>
      <c r="F642" t="s">
        <v>1051</v>
      </c>
      <c r="G642" t="str">
        <f>_xlfn.TEXTJOIN(",",TRUE,_xlfn._xlws.FILTER(GPU_brand[GPU brand], (GPU_brand[GPU brand text]&lt;&gt;"") * ISNUMBER(SEARCH(GPU_brand[GPU brand text], B642)), ""))</f>
        <v>ASUS</v>
      </c>
      <c r="H642" t="str">
        <f>_xlfn.TEXTJOIN(",",TRUE,_xlfn._xlws.FILTER(Chipset_Table[Chipset], (Chipset_Table[Chipset text]&lt;&gt;"") * ISNUMBER(SEARCH(Chipset_Table[Chipset text], B642)), ""))</f>
        <v>GeForce RTX 5070,RTX 5070</v>
      </c>
      <c r="I642" t="str">
        <f>_xlfn.TEXTJOIN(",",TRUE,_xlfn._xlws.FILTER(VRAM_table[Video memory], (VRAM_table[Video memory text]&lt;&gt;"") * ISNUMBER(SEARCH(VRAM_table[Video memory text], B642)), ""))</f>
        <v>12GB,2GB</v>
      </c>
    </row>
    <row r="643" spans="1:9" hidden="1" x14ac:dyDescent="0.35">
      <c r="A643" t="s">
        <v>9</v>
      </c>
      <c r="B643" t="s">
        <v>208</v>
      </c>
      <c r="C643">
        <v>0</v>
      </c>
      <c r="D643">
        <v>39490000</v>
      </c>
      <c r="E643" t="s">
        <v>209</v>
      </c>
      <c r="F643" t="s">
        <v>1051</v>
      </c>
      <c r="G643" t="str">
        <f>_xlfn.TEXTJOIN(",",TRUE,_xlfn._xlws.FILTER(GPU_brand[GPU brand], (GPU_brand[GPU brand text]&lt;&gt;"") * ISNUMBER(SEARCH(GPU_brand[GPU brand text], B643)), ""))</f>
        <v>ASUS</v>
      </c>
      <c r="H643" t="str">
        <f>_xlfn.TEXTJOIN(",",TRUE,_xlfn._xlws.FILTER(Chipset_Table[Chipset], (Chipset_Table[Chipset text]&lt;&gt;"") * ISNUMBER(SEARCH(Chipset_Table[Chipset text], B643)), ""))</f>
        <v>GeForce RTX 5070,GeForce RTX 5070 Ti,RTX 5070</v>
      </c>
      <c r="I643" t="str">
        <f>_xlfn.TEXTJOIN(",",TRUE,_xlfn._xlws.FILTER(VRAM_table[Video memory], (VRAM_table[Video memory text]&lt;&gt;"") * ISNUMBER(SEARCH(VRAM_table[Video memory text], B643)), ""))</f>
        <v>16GB,16GB,6GB,6GB</v>
      </c>
    </row>
    <row r="644" spans="1:9" hidden="1" x14ac:dyDescent="0.35">
      <c r="A644" t="s">
        <v>9</v>
      </c>
      <c r="B644" t="s">
        <v>212</v>
      </c>
      <c r="C644">
        <v>26990000</v>
      </c>
      <c r="D644">
        <v>25990000</v>
      </c>
      <c r="E644" t="s">
        <v>213</v>
      </c>
      <c r="F644" t="s">
        <v>1051</v>
      </c>
      <c r="G644" t="str">
        <f>_xlfn.TEXTJOIN(",",TRUE,_xlfn._xlws.FILTER(GPU_brand[GPU brand], (GPU_brand[GPU brand text]&lt;&gt;"") * ISNUMBER(SEARCH(GPU_brand[GPU brand text], B644)), ""))</f>
        <v>Gigabyte</v>
      </c>
      <c r="H644" t="str">
        <f>_xlfn.TEXTJOIN(",",TRUE,_xlfn._xlws.FILTER(Chipset_Table[Chipset], (Chipset_Table[Chipset text]&lt;&gt;"") * ISNUMBER(SEARCH(Chipset_Table[Chipset text], B644)), ""))</f>
        <v>GeForce RTX 5070,RTX 5070</v>
      </c>
      <c r="I644" t="str">
        <f>_xlfn.TEXTJOIN(",",TRUE,_xlfn._xlws.FILTER(VRAM_table[Video memory], (VRAM_table[Video memory text]&lt;&gt;"") * ISNUMBER(SEARCH(VRAM_table[Video memory text], B644)), ""))</f>
        <v>12GB,2GB</v>
      </c>
    </row>
    <row r="645" spans="1:9" hidden="1" x14ac:dyDescent="0.35">
      <c r="A645" t="s">
        <v>9</v>
      </c>
      <c r="B645" t="s">
        <v>214</v>
      </c>
      <c r="C645">
        <v>25990000</v>
      </c>
      <c r="D645">
        <v>24990000</v>
      </c>
      <c r="E645" t="s">
        <v>215</v>
      </c>
      <c r="F645" t="s">
        <v>1051</v>
      </c>
      <c r="G645" t="str">
        <f>_xlfn.TEXTJOIN(",",TRUE,_xlfn._xlws.FILTER(GPU_brand[GPU brand], (GPU_brand[GPU brand text]&lt;&gt;"") * ISNUMBER(SEARCH(GPU_brand[GPU brand text], B645)), ""))</f>
        <v>Gigabyte</v>
      </c>
      <c r="H645" t="str">
        <f>_xlfn.TEXTJOIN(",",TRUE,_xlfn._xlws.FILTER(Chipset_Table[Chipset], (Chipset_Table[Chipset text]&lt;&gt;"") * ISNUMBER(SEARCH(Chipset_Table[Chipset text], B645)), ""))</f>
        <v>GeForce RTX 5070,RTX 5070</v>
      </c>
      <c r="I645" t="str">
        <f>_xlfn.TEXTJOIN(",",TRUE,_xlfn._xlws.FILTER(VRAM_table[Video memory], (VRAM_table[Video memory text]&lt;&gt;"") * ISNUMBER(SEARCH(VRAM_table[Video memory text], B645)), ""))</f>
        <v>12GB,2GB</v>
      </c>
    </row>
    <row r="646" spans="1:9" hidden="1" x14ac:dyDescent="0.35">
      <c r="A646" t="s">
        <v>9</v>
      </c>
      <c r="B646" t="s">
        <v>216</v>
      </c>
      <c r="C646">
        <v>26490000</v>
      </c>
      <c r="D646">
        <v>25490000</v>
      </c>
      <c r="E646" t="s">
        <v>217</v>
      </c>
      <c r="F646" t="s">
        <v>1051</v>
      </c>
      <c r="G646" t="str">
        <f>_xlfn.TEXTJOIN(",",TRUE,_xlfn._xlws.FILTER(GPU_brand[GPU brand], (GPU_brand[GPU brand text]&lt;&gt;"") * ISNUMBER(SEARCH(GPU_brand[GPU brand text], B646)), ""))</f>
        <v>Gigabyte</v>
      </c>
      <c r="H646" t="str">
        <f>_xlfn.TEXTJOIN(",",TRUE,_xlfn._xlws.FILTER(Chipset_Table[Chipset], (Chipset_Table[Chipset text]&lt;&gt;"") * ISNUMBER(SEARCH(Chipset_Table[Chipset text], B646)), ""))</f>
        <v>GeForce RTX 5070,RTX 5070</v>
      </c>
      <c r="I646" t="str">
        <f>_xlfn.TEXTJOIN(",",TRUE,_xlfn._xlws.FILTER(VRAM_table[Video memory], (VRAM_table[Video memory text]&lt;&gt;"") * ISNUMBER(SEARCH(VRAM_table[Video memory text], B646)), ""))</f>
        <v>12GB,2GB</v>
      </c>
    </row>
    <row r="647" spans="1:9" hidden="1" x14ac:dyDescent="0.35">
      <c r="A647" t="s">
        <v>9</v>
      </c>
      <c r="B647" t="s">
        <v>218</v>
      </c>
      <c r="C647">
        <v>27490000</v>
      </c>
      <c r="D647">
        <v>26990000</v>
      </c>
      <c r="E647" t="s">
        <v>219</v>
      </c>
      <c r="F647" t="s">
        <v>1051</v>
      </c>
      <c r="G647" t="str">
        <f>_xlfn.TEXTJOIN(",",TRUE,_xlfn._xlws.FILTER(GPU_brand[GPU brand], (GPU_brand[GPU brand text]&lt;&gt;"") * ISNUMBER(SEARCH(GPU_brand[GPU brand text], B647)), ""))</f>
        <v>Gigabyte</v>
      </c>
      <c r="H647" t="str">
        <f>_xlfn.TEXTJOIN(",",TRUE,_xlfn._xlws.FILTER(Chipset_Table[Chipset], (Chipset_Table[Chipset text]&lt;&gt;"") * ISNUMBER(SEARCH(Chipset_Table[Chipset text], B647)), ""))</f>
        <v>GeForce RTX 5070,RTX 5070</v>
      </c>
      <c r="I647" t="str">
        <f>_xlfn.TEXTJOIN(",",TRUE,_xlfn._xlws.FILTER(VRAM_table[Video memory], (VRAM_table[Video memory text]&lt;&gt;"") * ISNUMBER(SEARCH(VRAM_table[Video memory text], B647)), ""))</f>
        <v>12GB,2GB</v>
      </c>
    </row>
    <row r="648" spans="1:9" hidden="1" x14ac:dyDescent="0.35">
      <c r="A648" t="s">
        <v>9</v>
      </c>
      <c r="B648" t="s">
        <v>220</v>
      </c>
      <c r="C648">
        <v>35990000</v>
      </c>
      <c r="D648">
        <v>31990000</v>
      </c>
      <c r="E648" t="s">
        <v>221</v>
      </c>
      <c r="F648" t="s">
        <v>1051</v>
      </c>
      <c r="G648" t="str">
        <f>_xlfn.TEXTJOIN(",",TRUE,_xlfn._xlws.FILTER(GPU_brand[GPU brand], (GPU_brand[GPU brand text]&lt;&gt;"") * ISNUMBER(SEARCH(GPU_brand[GPU brand text], B648)), ""))</f>
        <v>Gigabyte</v>
      </c>
      <c r="H648" t="str">
        <f>_xlfn.TEXTJOIN(",",TRUE,_xlfn._xlws.FILTER(Chipset_Table[Chipset], (Chipset_Table[Chipset text]&lt;&gt;"") * ISNUMBER(SEARCH(Chipset_Table[Chipset text], B648)), ""))</f>
        <v>GeForce RTX 5070,GeForce RTX 5070 Ti,RTX 5070</v>
      </c>
      <c r="I648" t="str">
        <f>_xlfn.TEXTJOIN(",",TRUE,_xlfn._xlws.FILTER(VRAM_table[Video memory], (VRAM_table[Video memory text]&lt;&gt;"") * ISNUMBER(SEARCH(VRAM_table[Video memory text], B648)), ""))</f>
        <v>16GB,6GB</v>
      </c>
    </row>
    <row r="649" spans="1:9" hidden="1" x14ac:dyDescent="0.35">
      <c r="A649" t="s">
        <v>9</v>
      </c>
      <c r="B649" t="s">
        <v>222</v>
      </c>
      <c r="C649">
        <v>35790000</v>
      </c>
      <c r="D649">
        <v>33990000</v>
      </c>
      <c r="E649" t="s">
        <v>223</v>
      </c>
      <c r="F649" t="s">
        <v>1051</v>
      </c>
      <c r="G649" t="str">
        <f>_xlfn.TEXTJOIN(",",TRUE,_xlfn._xlws.FILTER(GPU_brand[GPU brand], (GPU_brand[GPU brand text]&lt;&gt;"") * ISNUMBER(SEARCH(GPU_brand[GPU brand text], B649)), ""))</f>
        <v>Gigabyte</v>
      </c>
      <c r="H649" t="str">
        <f>_xlfn.TEXTJOIN(",",TRUE,_xlfn._xlws.FILTER(Chipset_Table[Chipset], (Chipset_Table[Chipset text]&lt;&gt;"") * ISNUMBER(SEARCH(Chipset_Table[Chipset text], B649)), ""))</f>
        <v>GeForce RTX 5070,GeForce RTX 5070 Ti,RTX 5070</v>
      </c>
      <c r="I649" t="str">
        <f>_xlfn.TEXTJOIN(",",TRUE,_xlfn._xlws.FILTER(VRAM_table[Video memory], (VRAM_table[Video memory text]&lt;&gt;"") * ISNUMBER(SEARCH(VRAM_table[Video memory text], B649)), ""))</f>
        <v>16GB,6GB</v>
      </c>
    </row>
    <row r="650" spans="1:9" hidden="1" x14ac:dyDescent="0.35">
      <c r="A650" t="s">
        <v>9</v>
      </c>
      <c r="B650" t="s">
        <v>224</v>
      </c>
      <c r="C650">
        <v>33390000</v>
      </c>
      <c r="D650">
        <v>30990000</v>
      </c>
      <c r="E650" t="s">
        <v>225</v>
      </c>
      <c r="F650" t="s">
        <v>1051</v>
      </c>
      <c r="G650" t="str">
        <f>_xlfn.TEXTJOIN(",",TRUE,_xlfn._xlws.FILTER(GPU_brand[GPU brand], (GPU_brand[GPU brand text]&lt;&gt;"") * ISNUMBER(SEARCH(GPU_brand[GPU brand text], B650)), ""))</f>
        <v>Gigabyte</v>
      </c>
      <c r="H650" t="str">
        <f>_xlfn.TEXTJOIN(",",TRUE,_xlfn._xlws.FILTER(Chipset_Table[Chipset], (Chipset_Table[Chipset text]&lt;&gt;"") * ISNUMBER(SEARCH(Chipset_Table[Chipset text], B650)), ""))</f>
        <v>GeForce RTX 5070,GeForce RTX 5070 Ti,RTX 5070</v>
      </c>
      <c r="I650" t="str">
        <f>_xlfn.TEXTJOIN(",",TRUE,_xlfn._xlws.FILTER(VRAM_table[Video memory], (VRAM_table[Video memory text]&lt;&gt;"") * ISNUMBER(SEARCH(VRAM_table[Video memory text], B650)), ""))</f>
        <v>16GB,6GB</v>
      </c>
    </row>
    <row r="651" spans="1:9" hidden="1" x14ac:dyDescent="0.35">
      <c r="A651" t="s">
        <v>9</v>
      </c>
      <c r="B651" t="s">
        <v>226</v>
      </c>
      <c r="C651">
        <v>0</v>
      </c>
      <c r="D651">
        <v>33990000</v>
      </c>
      <c r="E651" t="s">
        <v>227</v>
      </c>
      <c r="F651" t="s">
        <v>1051</v>
      </c>
      <c r="G651" t="str">
        <f>_xlfn.TEXTJOIN(",",TRUE,_xlfn._xlws.FILTER(GPU_brand[GPU brand], (GPU_brand[GPU brand text]&lt;&gt;"") * ISNUMBER(SEARCH(GPU_brand[GPU brand text], B651)), ""))</f>
        <v>Gigabyte</v>
      </c>
      <c r="H651" t="str">
        <f>_xlfn.TEXTJOIN(",",TRUE,_xlfn._xlws.FILTER(Chipset_Table[Chipset], (Chipset_Table[Chipset text]&lt;&gt;"") * ISNUMBER(SEARCH(Chipset_Table[Chipset text], B651)), ""))</f>
        <v>GeForce RTX 5070,GeForce RTX 5070 Ti,RTX 5070</v>
      </c>
      <c r="I651" t="str">
        <f>_xlfn.TEXTJOIN(",",TRUE,_xlfn._xlws.FILTER(VRAM_table[Video memory], (VRAM_table[Video memory text]&lt;&gt;"") * ISNUMBER(SEARCH(VRAM_table[Video memory text], B651)), ""))</f>
        <v>16GB,6GB</v>
      </c>
    </row>
    <row r="652" spans="1:9" hidden="1" x14ac:dyDescent="0.35">
      <c r="A652" t="s">
        <v>9</v>
      </c>
      <c r="B652" t="s">
        <v>228</v>
      </c>
      <c r="C652">
        <v>0</v>
      </c>
      <c r="D652">
        <v>36490000</v>
      </c>
      <c r="E652" t="s">
        <v>229</v>
      </c>
      <c r="F652" t="s">
        <v>1051</v>
      </c>
      <c r="G652" t="str">
        <f>_xlfn.TEXTJOIN(",",TRUE,_xlfn._xlws.FILTER(GPU_brand[GPU brand], (GPU_brand[GPU brand text]&lt;&gt;"") * ISNUMBER(SEARCH(GPU_brand[GPU brand text], B652)), ""))</f>
        <v>Gigabyte</v>
      </c>
      <c r="H652" t="str">
        <f>_xlfn.TEXTJOIN(",",TRUE,_xlfn._xlws.FILTER(Chipset_Table[Chipset], (Chipset_Table[Chipset text]&lt;&gt;"") * ISNUMBER(SEARCH(Chipset_Table[Chipset text], B652)), ""))</f>
        <v>GeForce RTX 5070,GeForce RTX 5070 Ti,RTX 5070</v>
      </c>
      <c r="I652" t="str">
        <f>_xlfn.TEXTJOIN(",",TRUE,_xlfn._xlws.FILTER(VRAM_table[Video memory], (VRAM_table[Video memory text]&lt;&gt;"") * ISNUMBER(SEARCH(VRAM_table[Video memory text], B652)), ""))</f>
        <v>16GB,6GB</v>
      </c>
    </row>
    <row r="653" spans="1:9" hidden="1" x14ac:dyDescent="0.35">
      <c r="A653" t="s">
        <v>9</v>
      </c>
      <c r="B653" t="s">
        <v>230</v>
      </c>
      <c r="C653">
        <v>45990000</v>
      </c>
      <c r="D653">
        <v>43990000</v>
      </c>
      <c r="E653" t="s">
        <v>231</v>
      </c>
      <c r="F653" t="s">
        <v>1051</v>
      </c>
      <c r="G653" t="str">
        <f>_xlfn.TEXTJOIN(",",TRUE,_xlfn._xlws.FILTER(GPU_brand[GPU brand], (GPU_brand[GPU brand text]&lt;&gt;"") * ISNUMBER(SEARCH(GPU_brand[GPU brand text], B653)), ""))</f>
        <v>Gigabyte</v>
      </c>
      <c r="H653" t="str">
        <f>_xlfn.TEXTJOIN(",",TRUE,_xlfn._xlws.FILTER(Chipset_Table[Chipset], (Chipset_Table[Chipset text]&lt;&gt;"") * ISNUMBER(SEARCH(Chipset_Table[Chipset text], B653)), ""))</f>
        <v>GeForce RTX 5080,RTX 5080</v>
      </c>
      <c r="I653" t="str">
        <f>_xlfn.TEXTJOIN(",",TRUE,_xlfn._xlws.FILTER(VRAM_table[Video memory], (VRAM_table[Video memory text]&lt;&gt;"") * ISNUMBER(SEARCH(VRAM_table[Video memory text], B653)), ""))</f>
        <v>16GB,6GB</v>
      </c>
    </row>
    <row r="654" spans="1:9" hidden="1" x14ac:dyDescent="0.35">
      <c r="A654" t="s">
        <v>9</v>
      </c>
      <c r="B654" t="s">
        <v>232</v>
      </c>
      <c r="C654">
        <v>47990000</v>
      </c>
      <c r="D654">
        <v>44990000</v>
      </c>
      <c r="E654" t="s">
        <v>233</v>
      </c>
      <c r="F654" t="s">
        <v>1051</v>
      </c>
      <c r="G654" t="str">
        <f>_xlfn.TEXTJOIN(",",TRUE,_xlfn._xlws.FILTER(GPU_brand[GPU brand], (GPU_brand[GPU brand text]&lt;&gt;"") * ISNUMBER(SEARCH(GPU_brand[GPU brand text], B654)), ""))</f>
        <v>Gigabyte</v>
      </c>
      <c r="H654" t="str">
        <f>_xlfn.TEXTJOIN(",",TRUE,_xlfn._xlws.FILTER(Chipset_Table[Chipset], (Chipset_Table[Chipset text]&lt;&gt;"") * ISNUMBER(SEARCH(Chipset_Table[Chipset text], B654)), ""))</f>
        <v>GeForce RTX 5080,RTX 5080</v>
      </c>
      <c r="I654" t="str">
        <f>_xlfn.TEXTJOIN(",",TRUE,_xlfn._xlws.FILTER(VRAM_table[Video memory], (VRAM_table[Video memory text]&lt;&gt;"") * ISNUMBER(SEARCH(VRAM_table[Video memory text], B654)), ""))</f>
        <v>16GB,6GB</v>
      </c>
    </row>
    <row r="655" spans="1:9" hidden="1" x14ac:dyDescent="0.35">
      <c r="A655" t="s">
        <v>9</v>
      </c>
      <c r="B655" t="s">
        <v>234</v>
      </c>
      <c r="C655">
        <v>47490000</v>
      </c>
      <c r="D655">
        <v>44990000</v>
      </c>
      <c r="E655" t="s">
        <v>235</v>
      </c>
      <c r="F655" t="s">
        <v>1051</v>
      </c>
      <c r="G655" t="str">
        <f>_xlfn.TEXTJOIN(",",TRUE,_xlfn._xlws.FILTER(GPU_brand[GPU brand], (GPU_brand[GPU brand text]&lt;&gt;"") * ISNUMBER(SEARCH(GPU_brand[GPU brand text], B655)), ""))</f>
        <v>Gigabyte</v>
      </c>
      <c r="H655" t="str">
        <f>_xlfn.TEXTJOIN(",",TRUE,_xlfn._xlws.FILTER(Chipset_Table[Chipset], (Chipset_Table[Chipset text]&lt;&gt;"") * ISNUMBER(SEARCH(Chipset_Table[Chipset text], B655)), ""))</f>
        <v>GeForce RTX 5080,RTX 5080</v>
      </c>
      <c r="I655" t="str">
        <f>_xlfn.TEXTJOIN(",",TRUE,_xlfn._xlws.FILTER(VRAM_table[Video memory], (VRAM_table[Video memory text]&lt;&gt;"") * ISNUMBER(SEARCH(VRAM_table[Video memory text], B655)), ""))</f>
        <v>16GB,6GB</v>
      </c>
    </row>
    <row r="656" spans="1:9" hidden="1" x14ac:dyDescent="0.35">
      <c r="A656" t="s">
        <v>9</v>
      </c>
      <c r="B656" t="s">
        <v>236</v>
      </c>
      <c r="C656">
        <v>0</v>
      </c>
      <c r="D656">
        <v>49990000</v>
      </c>
      <c r="E656" t="s">
        <v>237</v>
      </c>
      <c r="F656" t="s">
        <v>1051</v>
      </c>
      <c r="G656" t="str">
        <f>_xlfn.TEXTJOIN(",",TRUE,_xlfn._xlws.FILTER(GPU_brand[GPU brand], (GPU_brand[GPU brand text]&lt;&gt;"") * ISNUMBER(SEARCH(GPU_brand[GPU brand text], B656)), ""))</f>
        <v>Gigabyte</v>
      </c>
      <c r="H656" t="str">
        <f>_xlfn.TEXTJOIN(",",TRUE,_xlfn._xlws.FILTER(Chipset_Table[Chipset], (Chipset_Table[Chipset text]&lt;&gt;"") * ISNUMBER(SEARCH(Chipset_Table[Chipset text], B656)), ""))</f>
        <v>GeForce RTX 5080,RTX 5080</v>
      </c>
      <c r="I656" t="str">
        <f>_xlfn.TEXTJOIN(",",TRUE,_xlfn._xlws.FILTER(VRAM_table[Video memory], (VRAM_table[Video memory text]&lt;&gt;"") * ISNUMBER(SEARCH(VRAM_table[Video memory text], B656)), ""))</f>
        <v>16GB,6GB</v>
      </c>
    </row>
    <row r="657" spans="1:9" hidden="1" x14ac:dyDescent="0.35">
      <c r="A657" t="s">
        <v>9</v>
      </c>
      <c r="B657" t="s">
        <v>238</v>
      </c>
      <c r="C657">
        <v>0</v>
      </c>
      <c r="D657">
        <v>50990000</v>
      </c>
      <c r="E657" t="s">
        <v>239</v>
      </c>
      <c r="F657" t="s">
        <v>1051</v>
      </c>
      <c r="G657" t="str">
        <f>_xlfn.TEXTJOIN(",",TRUE,_xlfn._xlws.FILTER(GPU_brand[GPU brand], (GPU_brand[GPU brand text]&lt;&gt;"") * ISNUMBER(SEARCH(GPU_brand[GPU brand text], B657)), ""))</f>
        <v>Gigabyte</v>
      </c>
      <c r="H657" t="str">
        <f>_xlfn.TEXTJOIN(",",TRUE,_xlfn._xlws.FILTER(Chipset_Table[Chipset], (Chipset_Table[Chipset text]&lt;&gt;"") * ISNUMBER(SEARCH(Chipset_Table[Chipset text], B657)), ""))</f>
        <v>GeForce RTX 5080,RTX 5080</v>
      </c>
      <c r="I657" t="str">
        <f>_xlfn.TEXTJOIN(",",TRUE,_xlfn._xlws.FILTER(VRAM_table[Video memory], (VRAM_table[Video memory text]&lt;&gt;"") * ISNUMBER(SEARCH(VRAM_table[Video memory text], B657)), ""))</f>
        <v>16GB,6GB</v>
      </c>
    </row>
    <row r="658" spans="1:9" hidden="1" x14ac:dyDescent="0.35">
      <c r="A658" t="s">
        <v>9</v>
      </c>
      <c r="B658" t="s">
        <v>240</v>
      </c>
      <c r="C658">
        <v>0</v>
      </c>
      <c r="D658">
        <v>51990000</v>
      </c>
      <c r="E658" t="s">
        <v>241</v>
      </c>
      <c r="F658" t="s">
        <v>1051</v>
      </c>
      <c r="G658" t="str">
        <f>_xlfn.TEXTJOIN(",",TRUE,_xlfn._xlws.FILTER(GPU_brand[GPU brand], (GPU_brand[GPU brand text]&lt;&gt;"") * ISNUMBER(SEARCH(GPU_brand[GPU brand text], B658)), ""))</f>
        <v>Gigabyte</v>
      </c>
      <c r="H658" t="str">
        <f>_xlfn.TEXTJOIN(",",TRUE,_xlfn._xlws.FILTER(Chipset_Table[Chipset], (Chipset_Table[Chipset text]&lt;&gt;"") * ISNUMBER(SEARCH(Chipset_Table[Chipset text], B658)), ""))</f>
        <v>GeForce RTX 5080,RTX 5080</v>
      </c>
      <c r="I658" t="str">
        <f>_xlfn.TEXTJOIN(",",TRUE,_xlfn._xlws.FILTER(VRAM_table[Video memory], (VRAM_table[Video memory text]&lt;&gt;"") * ISNUMBER(SEARCH(VRAM_table[Video memory text], B658)), ""))</f>
        <v>16GB,6GB</v>
      </c>
    </row>
    <row r="659" spans="1:9" hidden="1" x14ac:dyDescent="0.35">
      <c r="A659" t="s">
        <v>9</v>
      </c>
      <c r="B659" t="s">
        <v>242</v>
      </c>
      <c r="C659">
        <v>54990000</v>
      </c>
      <c r="D659">
        <v>51990000</v>
      </c>
      <c r="E659" t="s">
        <v>243</v>
      </c>
      <c r="F659" t="s">
        <v>1051</v>
      </c>
      <c r="G659" t="str">
        <f>_xlfn.TEXTJOIN(",",TRUE,_xlfn._xlws.FILTER(GPU_brand[GPU brand], (GPU_brand[GPU brand text]&lt;&gt;"") * ISNUMBER(SEARCH(GPU_brand[GPU brand text], B659)), ""))</f>
        <v>Gigabyte</v>
      </c>
      <c r="H659" t="str">
        <f>_xlfn.TEXTJOIN(",",TRUE,_xlfn._xlws.FILTER(Chipset_Table[Chipset], (Chipset_Table[Chipset text]&lt;&gt;"") * ISNUMBER(SEARCH(Chipset_Table[Chipset text], B659)), ""))</f>
        <v>GeForce RTX 5080,RTX 5080</v>
      </c>
      <c r="I659" t="str">
        <f>_xlfn.TEXTJOIN(",",TRUE,_xlfn._xlws.FILTER(VRAM_table[Video memory], (VRAM_table[Video memory text]&lt;&gt;"") * ISNUMBER(SEARCH(VRAM_table[Video memory text], B659)), ""))</f>
        <v>16GB,6GB</v>
      </c>
    </row>
    <row r="660" spans="1:9" hidden="1" x14ac:dyDescent="0.35">
      <c r="A660" t="s">
        <v>9</v>
      </c>
      <c r="B660" t="s">
        <v>244</v>
      </c>
      <c r="C660">
        <v>105990000</v>
      </c>
      <c r="D660">
        <v>102990000</v>
      </c>
      <c r="E660" t="s">
        <v>245</v>
      </c>
      <c r="F660" t="s">
        <v>1051</v>
      </c>
      <c r="G660" t="str">
        <f>_xlfn.TEXTJOIN(",",TRUE,_xlfn._xlws.FILTER(GPU_brand[GPU brand], (GPU_brand[GPU brand text]&lt;&gt;"") * ISNUMBER(SEARCH(GPU_brand[GPU brand text], B660)), ""))</f>
        <v>Gigabyte</v>
      </c>
      <c r="H660" t="str">
        <f>_xlfn.TEXTJOIN(",",TRUE,_xlfn._xlws.FILTER(Chipset_Table[Chipset], (Chipset_Table[Chipset text]&lt;&gt;"") * ISNUMBER(SEARCH(Chipset_Table[Chipset text], B660)), ""))</f>
        <v>GeForce RTX 5090</v>
      </c>
      <c r="I660" t="str">
        <f>_xlfn.TEXTJOIN(",",TRUE,_xlfn._xlws.FILTER(VRAM_table[Video memory], (VRAM_table[Video memory text]&lt;&gt;"") * ISNUMBER(SEARCH(VRAM_table[Video memory text], B660)), ""))</f>
        <v>32GB,2GB</v>
      </c>
    </row>
    <row r="661" spans="1:9" hidden="1" x14ac:dyDescent="0.35">
      <c r="A661" t="s">
        <v>9</v>
      </c>
      <c r="B661" t="s">
        <v>246</v>
      </c>
      <c r="C661">
        <v>119000000</v>
      </c>
      <c r="D661">
        <v>114990000</v>
      </c>
      <c r="E661" t="s">
        <v>247</v>
      </c>
      <c r="F661" t="s">
        <v>1051</v>
      </c>
      <c r="G661" t="str">
        <f>_xlfn.TEXTJOIN(",",TRUE,_xlfn._xlws.FILTER(GPU_brand[GPU brand], (GPU_brand[GPU brand text]&lt;&gt;"") * ISNUMBER(SEARCH(GPU_brand[GPU brand text], B661)), ""))</f>
        <v>Gigabyte</v>
      </c>
      <c r="H661" t="str">
        <f>_xlfn.TEXTJOIN(",",TRUE,_xlfn._xlws.FILTER(Chipset_Table[Chipset], (Chipset_Table[Chipset text]&lt;&gt;"") * ISNUMBER(SEARCH(Chipset_Table[Chipset text], B661)), ""))</f>
        <v>GeForce RTX 5090</v>
      </c>
      <c r="I661" t="str">
        <f>_xlfn.TEXTJOIN(",",TRUE,_xlfn._xlws.FILTER(VRAM_table[Video memory], (VRAM_table[Video memory text]&lt;&gt;"") * ISNUMBER(SEARCH(VRAM_table[Video memory text], B661)), ""))</f>
        <v>32GB,2GB</v>
      </c>
    </row>
    <row r="662" spans="1:9" hidden="1" x14ac:dyDescent="0.35">
      <c r="A662" t="s">
        <v>9</v>
      </c>
      <c r="B662" t="s">
        <v>248</v>
      </c>
      <c r="C662">
        <v>110000000</v>
      </c>
      <c r="D662">
        <v>99990000</v>
      </c>
      <c r="E662" t="s">
        <v>249</v>
      </c>
      <c r="F662" t="s">
        <v>1051</v>
      </c>
      <c r="G662" t="str">
        <f>_xlfn.TEXTJOIN(",",TRUE,_xlfn._xlws.FILTER(GPU_brand[GPU brand], (GPU_brand[GPU brand text]&lt;&gt;"") * ISNUMBER(SEARCH(GPU_brand[GPU brand text], B662)), ""))</f>
        <v>Gigabyte</v>
      </c>
      <c r="H662" t="str">
        <f>_xlfn.TEXTJOIN(",",TRUE,_xlfn._xlws.FILTER(Chipset_Table[Chipset], (Chipset_Table[Chipset text]&lt;&gt;"") * ISNUMBER(SEARCH(Chipset_Table[Chipset text], B662)), ""))</f>
        <v>GeForce RTX 5090</v>
      </c>
      <c r="I662" t="str">
        <f>_xlfn.TEXTJOIN(",",TRUE,_xlfn._xlws.FILTER(VRAM_table[Video memory], (VRAM_table[Video memory text]&lt;&gt;"") * ISNUMBER(SEARCH(VRAM_table[Video memory text], B662)), ""))</f>
        <v>32GB,2GB</v>
      </c>
    </row>
    <row r="663" spans="1:9" hidden="1" x14ac:dyDescent="0.35">
      <c r="A663" t="s">
        <v>9</v>
      </c>
      <c r="B663" t="s">
        <v>250</v>
      </c>
      <c r="C663">
        <v>120000000</v>
      </c>
      <c r="D663">
        <v>109990000</v>
      </c>
      <c r="E663" t="s">
        <v>251</v>
      </c>
      <c r="F663" t="s">
        <v>1051</v>
      </c>
      <c r="G663" t="str">
        <f>_xlfn.TEXTJOIN(",",TRUE,_xlfn._xlws.FILTER(GPU_brand[GPU brand], (GPU_brand[GPU brand text]&lt;&gt;"") * ISNUMBER(SEARCH(GPU_brand[GPU brand text], B663)), ""))</f>
        <v>Gigabyte</v>
      </c>
      <c r="H663" t="str">
        <f>_xlfn.TEXTJOIN(",",TRUE,_xlfn._xlws.FILTER(Chipset_Table[Chipset], (Chipset_Table[Chipset text]&lt;&gt;"") * ISNUMBER(SEARCH(Chipset_Table[Chipset text], B663)), ""))</f>
        <v>GeForce RTX 5090</v>
      </c>
      <c r="I663" t="str">
        <f>_xlfn.TEXTJOIN(",",TRUE,_xlfn._xlws.FILTER(VRAM_table[Video memory], (VRAM_table[Video memory text]&lt;&gt;"") * ISNUMBER(SEARCH(VRAM_table[Video memory text], B663)), ""))</f>
        <v>32GB,2GB</v>
      </c>
    </row>
    <row r="664" spans="1:9" hidden="1" x14ac:dyDescent="0.35">
      <c r="A664" t="s">
        <v>9</v>
      </c>
      <c r="B664" t="s">
        <v>252</v>
      </c>
      <c r="C664">
        <v>118990000</v>
      </c>
      <c r="D664">
        <v>113990000</v>
      </c>
      <c r="E664" t="s">
        <v>253</v>
      </c>
      <c r="F664" t="s">
        <v>1051</v>
      </c>
      <c r="G664" t="str">
        <f>_xlfn.TEXTJOIN(",",TRUE,_xlfn._xlws.FILTER(GPU_brand[GPU brand], (GPU_brand[GPU brand text]&lt;&gt;"") * ISNUMBER(SEARCH(GPU_brand[GPU brand text], B664)), ""))</f>
        <v>Gigabyte</v>
      </c>
      <c r="H664" t="str">
        <f>_xlfn.TEXTJOIN(",",TRUE,_xlfn._xlws.FILTER(Chipset_Table[Chipset], (Chipset_Table[Chipset text]&lt;&gt;"") * ISNUMBER(SEARCH(Chipset_Table[Chipset text], B664)), ""))</f>
        <v>GeForce RTX 5090</v>
      </c>
      <c r="I664" t="str">
        <f>_xlfn.TEXTJOIN(",",TRUE,_xlfn._xlws.FILTER(VRAM_table[Video memory], (VRAM_table[Video memory text]&lt;&gt;"") * ISNUMBER(SEARCH(VRAM_table[Video memory text], B664)), ""))</f>
        <v>32GB,2GB</v>
      </c>
    </row>
    <row r="665" spans="1:9" hidden="1" x14ac:dyDescent="0.35">
      <c r="A665" t="s">
        <v>9</v>
      </c>
      <c r="B665" t="s">
        <v>254</v>
      </c>
      <c r="C665">
        <v>0</v>
      </c>
      <c r="D665">
        <v>21690000</v>
      </c>
      <c r="E665" t="s">
        <v>255</v>
      </c>
      <c r="F665" t="s">
        <v>1051</v>
      </c>
      <c r="G665" t="str">
        <f>_xlfn.TEXTJOIN(",",TRUE,_xlfn._xlws.FILTER(GPU_brand[GPU brand], (GPU_brand[GPU brand text]&lt;&gt;"") * ISNUMBER(SEARCH(GPU_brand[GPU brand text], B665)), ""))</f>
        <v>MSI</v>
      </c>
      <c r="H665" t="str">
        <f>_xlfn.TEXTJOIN(",",TRUE,_xlfn._xlws.FILTER(Chipset_Table[Chipset], (Chipset_Table[Chipset text]&lt;&gt;"") * ISNUMBER(SEARCH(Chipset_Table[Chipset text], B665)), ""))</f>
        <v>GeForce RTX 5070,RTX 5070</v>
      </c>
      <c r="I665" t="str">
        <f>_xlfn.TEXTJOIN(",",TRUE,_xlfn._xlws.FILTER(VRAM_table[Video memory], (VRAM_table[Video memory text]&lt;&gt;"") * ISNUMBER(SEARCH(VRAM_table[Video memory text], B665)), ""))</f>
        <v>12GB,2GB</v>
      </c>
    </row>
    <row r="666" spans="1:9" hidden="1" x14ac:dyDescent="0.35">
      <c r="A666" t="s">
        <v>9</v>
      </c>
      <c r="B666" t="s">
        <v>256</v>
      </c>
      <c r="C666">
        <v>21490000</v>
      </c>
      <c r="D666">
        <v>19490000</v>
      </c>
      <c r="E666" t="s">
        <v>257</v>
      </c>
      <c r="F666" t="s">
        <v>1051</v>
      </c>
      <c r="G666" t="str">
        <f>_xlfn.TEXTJOIN(",",TRUE,_xlfn._xlws.FILTER(GPU_brand[GPU brand], (GPU_brand[GPU brand text]&lt;&gt;"") * ISNUMBER(SEARCH(GPU_brand[GPU brand text], B666)), ""))</f>
        <v>MSI</v>
      </c>
      <c r="H666" t="str">
        <f>_xlfn.TEXTJOIN(",",TRUE,_xlfn._xlws.FILTER(Chipset_Table[Chipset], (Chipset_Table[Chipset text]&lt;&gt;"") * ISNUMBER(SEARCH(Chipset_Table[Chipset text], B666)), ""))</f>
        <v>GeForce RTX 5070,RTX 5070</v>
      </c>
      <c r="I666" t="str">
        <f>_xlfn.TEXTJOIN(",",TRUE,_xlfn._xlws.FILTER(VRAM_table[Video memory], (VRAM_table[Video memory text]&lt;&gt;"") * ISNUMBER(SEARCH(VRAM_table[Video memory text], B666)), ""))</f>
        <v>12GB,2GB</v>
      </c>
    </row>
    <row r="667" spans="1:9" hidden="1" x14ac:dyDescent="0.35">
      <c r="A667" t="s">
        <v>9</v>
      </c>
      <c r="B667" t="s">
        <v>258</v>
      </c>
      <c r="C667">
        <v>21990000</v>
      </c>
      <c r="D667">
        <v>20690000</v>
      </c>
      <c r="E667" t="s">
        <v>259</v>
      </c>
      <c r="F667" t="s">
        <v>1051</v>
      </c>
      <c r="G667" t="str">
        <f>_xlfn.TEXTJOIN(",",TRUE,_xlfn._xlws.FILTER(GPU_brand[GPU brand], (GPU_brand[GPU brand text]&lt;&gt;"") * ISNUMBER(SEARCH(GPU_brand[GPU brand text], B667)), ""))</f>
        <v>MSI</v>
      </c>
      <c r="H667" t="str">
        <f>_xlfn.TEXTJOIN(",",TRUE,_xlfn._xlws.FILTER(Chipset_Table[Chipset], (Chipset_Table[Chipset text]&lt;&gt;"") * ISNUMBER(SEARCH(Chipset_Table[Chipset text], B667)), ""))</f>
        <v>GeForce RTX 5070,RTX 5070</v>
      </c>
      <c r="I667" t="str">
        <f>_xlfn.TEXTJOIN(",",TRUE,_xlfn._xlws.FILTER(VRAM_table[Video memory], (VRAM_table[Video memory text]&lt;&gt;"") * ISNUMBER(SEARCH(VRAM_table[Video memory text], B667)), ""))</f>
        <v>12GB,2GB</v>
      </c>
    </row>
    <row r="668" spans="1:9" hidden="1" x14ac:dyDescent="0.35">
      <c r="A668" t="s">
        <v>9</v>
      </c>
      <c r="B668" t="s">
        <v>260</v>
      </c>
      <c r="C668">
        <v>21790000</v>
      </c>
      <c r="D668">
        <v>20790000</v>
      </c>
      <c r="E668" t="s">
        <v>261</v>
      </c>
      <c r="F668" t="s">
        <v>1051</v>
      </c>
      <c r="G668" t="str">
        <f>_xlfn.TEXTJOIN(",",TRUE,_xlfn._xlws.FILTER(GPU_brand[GPU brand], (GPU_brand[GPU brand text]&lt;&gt;"") * ISNUMBER(SEARCH(GPU_brand[GPU brand text], B668)), ""))</f>
        <v>MSI</v>
      </c>
      <c r="H668" t="str">
        <f>_xlfn.TEXTJOIN(",",TRUE,_xlfn._xlws.FILTER(Chipset_Table[Chipset], (Chipset_Table[Chipset text]&lt;&gt;"") * ISNUMBER(SEARCH(Chipset_Table[Chipset text], B668)), ""))</f>
        <v>GeForce RTX 5070,RTX 5070</v>
      </c>
      <c r="I668" t="str">
        <f>_xlfn.TEXTJOIN(",",TRUE,_xlfn._xlws.FILTER(VRAM_table[Video memory], (VRAM_table[Video memory text]&lt;&gt;"") * ISNUMBER(SEARCH(VRAM_table[Video memory text], B668)), ""))</f>
        <v>12GB,2GB</v>
      </c>
    </row>
    <row r="669" spans="1:9" hidden="1" x14ac:dyDescent="0.35">
      <c r="A669" t="s">
        <v>9</v>
      </c>
      <c r="B669" t="s">
        <v>262</v>
      </c>
      <c r="C669">
        <v>0</v>
      </c>
      <c r="D669">
        <v>22490000</v>
      </c>
      <c r="E669" t="s">
        <v>263</v>
      </c>
      <c r="F669" t="s">
        <v>1051</v>
      </c>
      <c r="G669" t="str">
        <f>_xlfn.TEXTJOIN(",",TRUE,_xlfn._xlws.FILTER(GPU_brand[GPU brand], (GPU_brand[GPU brand text]&lt;&gt;"") * ISNUMBER(SEARCH(GPU_brand[GPU brand text], B669)), ""))</f>
        <v>MSI</v>
      </c>
      <c r="H669" t="str">
        <f>_xlfn.TEXTJOIN(",",TRUE,_xlfn._xlws.FILTER(Chipset_Table[Chipset], (Chipset_Table[Chipset text]&lt;&gt;"") * ISNUMBER(SEARCH(Chipset_Table[Chipset text], B669)), ""))</f>
        <v>GeForce RTX 5070,RTX 5070</v>
      </c>
      <c r="I669" t="str">
        <f>_xlfn.TEXTJOIN(",",TRUE,_xlfn._xlws.FILTER(VRAM_table[Video memory], (VRAM_table[Video memory text]&lt;&gt;"") * ISNUMBER(SEARCH(VRAM_table[Video memory text], B669)), ""))</f>
        <v>12GB,2GB</v>
      </c>
    </row>
    <row r="670" spans="1:9" hidden="1" x14ac:dyDescent="0.35">
      <c r="A670" t="s">
        <v>9</v>
      </c>
      <c r="B670" t="s">
        <v>264</v>
      </c>
      <c r="C670">
        <v>0</v>
      </c>
      <c r="D670">
        <v>23490000</v>
      </c>
      <c r="E670" t="s">
        <v>265</v>
      </c>
      <c r="F670" t="s">
        <v>1051</v>
      </c>
      <c r="G670" t="str">
        <f>_xlfn.TEXTJOIN(",",TRUE,_xlfn._xlws.FILTER(GPU_brand[GPU brand], (GPU_brand[GPU brand text]&lt;&gt;"") * ISNUMBER(SEARCH(GPU_brand[GPU brand text], B670)), ""))</f>
        <v>MSI</v>
      </c>
      <c r="H670" t="str">
        <f>_xlfn.TEXTJOIN(",",TRUE,_xlfn._xlws.FILTER(Chipset_Table[Chipset], (Chipset_Table[Chipset text]&lt;&gt;"") * ISNUMBER(SEARCH(Chipset_Table[Chipset text], B670)), ""))</f>
        <v>GeForce RTX 5070,RTX 5070</v>
      </c>
      <c r="I670" t="str">
        <f>_xlfn.TEXTJOIN(",",TRUE,_xlfn._xlws.FILTER(VRAM_table[Video memory], (VRAM_table[Video memory text]&lt;&gt;"") * ISNUMBER(SEARCH(VRAM_table[Video memory text], B670)), ""))</f>
        <v>12GB,2GB</v>
      </c>
    </row>
    <row r="671" spans="1:9" hidden="1" x14ac:dyDescent="0.35">
      <c r="A671" t="s">
        <v>9</v>
      </c>
      <c r="B671" t="s">
        <v>266</v>
      </c>
      <c r="C671">
        <v>24990000</v>
      </c>
      <c r="D671">
        <v>23890000</v>
      </c>
      <c r="E671" t="s">
        <v>267</v>
      </c>
      <c r="F671" t="s">
        <v>1051</v>
      </c>
      <c r="G671" t="str">
        <f>_xlfn.TEXTJOIN(",",TRUE,_xlfn._xlws.FILTER(GPU_brand[GPU brand], (GPU_brand[GPU brand text]&lt;&gt;"") * ISNUMBER(SEARCH(GPU_brand[GPU brand text], B671)), ""))</f>
        <v>MSI</v>
      </c>
      <c r="H671" t="str">
        <f>_xlfn.TEXTJOIN(",",TRUE,_xlfn._xlws.FILTER(Chipset_Table[Chipset], (Chipset_Table[Chipset text]&lt;&gt;"") * ISNUMBER(SEARCH(Chipset_Table[Chipset text], B671)), ""))</f>
        <v>GeForce RTX 5070,RTX 5070</v>
      </c>
      <c r="I671" t="str">
        <f>_xlfn.TEXTJOIN(",",TRUE,_xlfn._xlws.FILTER(VRAM_table[Video memory], (VRAM_table[Video memory text]&lt;&gt;"") * ISNUMBER(SEARCH(VRAM_table[Video memory text], B671)), ""))</f>
        <v>12GB,2GB</v>
      </c>
    </row>
    <row r="672" spans="1:9" hidden="1" x14ac:dyDescent="0.35">
      <c r="A672" t="s">
        <v>9</v>
      </c>
      <c r="B672" t="s">
        <v>268</v>
      </c>
      <c r="C672">
        <v>0</v>
      </c>
      <c r="D672">
        <v>28990000</v>
      </c>
      <c r="E672" t="s">
        <v>269</v>
      </c>
      <c r="F672" t="s">
        <v>1051</v>
      </c>
      <c r="G672" t="str">
        <f>_xlfn.TEXTJOIN(",",TRUE,_xlfn._xlws.FILTER(GPU_brand[GPU brand], (GPU_brand[GPU brand text]&lt;&gt;"") * ISNUMBER(SEARCH(GPU_brand[GPU brand text], B672)), ""))</f>
        <v>MSI</v>
      </c>
      <c r="H672" t="str">
        <f>_xlfn.TEXTJOIN(",",TRUE,_xlfn._xlws.FILTER(Chipset_Table[Chipset], (Chipset_Table[Chipset text]&lt;&gt;"") * ISNUMBER(SEARCH(Chipset_Table[Chipset text], B672)), ""))</f>
        <v>GeForce RTX 5070,GeForce RTX 5070 Ti,RTX 5070</v>
      </c>
      <c r="I672" t="str">
        <f>_xlfn.TEXTJOIN(",",TRUE,_xlfn._xlws.FILTER(VRAM_table[Video memory], (VRAM_table[Video memory text]&lt;&gt;"") * ISNUMBER(SEARCH(VRAM_table[Video memory text], B672)), ""))</f>
        <v>16GB,6GB</v>
      </c>
    </row>
    <row r="673" spans="1:9" hidden="1" x14ac:dyDescent="0.35">
      <c r="A673" t="s">
        <v>9</v>
      </c>
      <c r="B673" t="s">
        <v>270</v>
      </c>
      <c r="C673">
        <v>0</v>
      </c>
      <c r="D673">
        <v>29990000</v>
      </c>
      <c r="E673" t="s">
        <v>271</v>
      </c>
      <c r="F673" t="s">
        <v>1051</v>
      </c>
      <c r="G673" t="str">
        <f>_xlfn.TEXTJOIN(",",TRUE,_xlfn._xlws.FILTER(GPU_brand[GPU brand], (GPU_brand[GPU brand text]&lt;&gt;"") * ISNUMBER(SEARCH(GPU_brand[GPU brand text], B673)), ""))</f>
        <v>MSI</v>
      </c>
      <c r="H673" t="str">
        <f>_xlfn.TEXTJOIN(",",TRUE,_xlfn._xlws.FILTER(Chipset_Table[Chipset], (Chipset_Table[Chipset text]&lt;&gt;"") * ISNUMBER(SEARCH(Chipset_Table[Chipset text], B673)), ""))</f>
        <v>GeForce RTX 5070,GeForce RTX 5070 Ti,RTX 5070</v>
      </c>
      <c r="I673" t="str">
        <f>_xlfn.TEXTJOIN(",",TRUE,_xlfn._xlws.FILTER(VRAM_table[Video memory], (VRAM_table[Video memory text]&lt;&gt;"") * ISNUMBER(SEARCH(VRAM_table[Video memory text], B673)), ""))</f>
        <v>16GB,6GB</v>
      </c>
    </row>
    <row r="674" spans="1:9" hidden="1" x14ac:dyDescent="0.35">
      <c r="A674" t="s">
        <v>9</v>
      </c>
      <c r="B674" t="s">
        <v>272</v>
      </c>
      <c r="C674">
        <v>0</v>
      </c>
      <c r="D674">
        <v>29490000</v>
      </c>
      <c r="E674" t="s">
        <v>273</v>
      </c>
      <c r="F674" t="s">
        <v>1051</v>
      </c>
      <c r="G674" t="str">
        <f>_xlfn.TEXTJOIN(",",TRUE,_xlfn._xlws.FILTER(GPU_brand[GPU brand], (GPU_brand[GPU brand text]&lt;&gt;"") * ISNUMBER(SEARCH(GPU_brand[GPU brand text], B674)), ""))</f>
        <v>MSI</v>
      </c>
      <c r="H674" t="str">
        <f>_xlfn.TEXTJOIN(",",TRUE,_xlfn._xlws.FILTER(Chipset_Table[Chipset], (Chipset_Table[Chipset text]&lt;&gt;"") * ISNUMBER(SEARCH(Chipset_Table[Chipset text], B674)), ""))</f>
        <v>GeForce RTX 5070,GeForce RTX 5070 Ti,RTX 5070</v>
      </c>
      <c r="I674" t="str">
        <f>_xlfn.TEXTJOIN(",",TRUE,_xlfn._xlws.FILTER(VRAM_table[Video memory], (VRAM_table[Video memory text]&lt;&gt;"") * ISNUMBER(SEARCH(VRAM_table[Video memory text], B674)), ""))</f>
        <v>16GB,6GB</v>
      </c>
    </row>
    <row r="675" spans="1:9" hidden="1" x14ac:dyDescent="0.35">
      <c r="A675" t="s">
        <v>9</v>
      </c>
      <c r="B675" t="s">
        <v>274</v>
      </c>
      <c r="C675">
        <v>32990000</v>
      </c>
      <c r="D675">
        <v>31490000</v>
      </c>
      <c r="E675" t="s">
        <v>275</v>
      </c>
      <c r="F675" t="s">
        <v>1051</v>
      </c>
      <c r="G675" t="str">
        <f>_xlfn.TEXTJOIN(",",TRUE,_xlfn._xlws.FILTER(GPU_brand[GPU brand], (GPU_brand[GPU brand text]&lt;&gt;"") * ISNUMBER(SEARCH(GPU_brand[GPU brand text], B675)), ""))</f>
        <v>MSI</v>
      </c>
      <c r="H675" t="str">
        <f>_xlfn.TEXTJOIN(",",TRUE,_xlfn._xlws.FILTER(Chipset_Table[Chipset], (Chipset_Table[Chipset text]&lt;&gt;"") * ISNUMBER(SEARCH(Chipset_Table[Chipset text], B675)), ""))</f>
        <v>GeForce RTX 5070,GeForce RTX 5070 Ti,RTX 5070</v>
      </c>
      <c r="I675" t="str">
        <f>_xlfn.TEXTJOIN(",",TRUE,_xlfn._xlws.FILTER(VRAM_table[Video memory], (VRAM_table[Video memory text]&lt;&gt;"") * ISNUMBER(SEARCH(VRAM_table[Video memory text], B675)), ""))</f>
        <v>16GB,6GB</v>
      </c>
    </row>
    <row r="676" spans="1:9" hidden="1" x14ac:dyDescent="0.35">
      <c r="A676" t="s">
        <v>9</v>
      </c>
      <c r="B676" t="s">
        <v>276</v>
      </c>
      <c r="C676">
        <v>53990000</v>
      </c>
      <c r="D676">
        <v>48990000</v>
      </c>
      <c r="E676" t="s">
        <v>277</v>
      </c>
      <c r="F676" t="s">
        <v>1051</v>
      </c>
      <c r="G676" t="str">
        <f>_xlfn.TEXTJOIN(",",TRUE,_xlfn._xlws.FILTER(GPU_brand[GPU brand], (GPU_brand[GPU brand text]&lt;&gt;"") * ISNUMBER(SEARCH(GPU_brand[GPU brand text], B676)), ""))</f>
        <v>MSI</v>
      </c>
      <c r="H676" t="str">
        <f>_xlfn.TEXTJOIN(",",TRUE,_xlfn._xlws.FILTER(Chipset_Table[Chipset], (Chipset_Table[Chipset text]&lt;&gt;"") * ISNUMBER(SEARCH(Chipset_Table[Chipset text], B676)), ""))</f>
        <v>GeForce RTX 5080,RTX 5080</v>
      </c>
      <c r="I676" t="str">
        <f>_xlfn.TEXTJOIN(",",TRUE,_xlfn._xlws.FILTER(VRAM_table[Video memory], (VRAM_table[Video memory text]&lt;&gt;"") * ISNUMBER(SEARCH(VRAM_table[Video memory text], B676)), ""))</f>
        <v>16GB,6GB</v>
      </c>
    </row>
    <row r="677" spans="1:9" hidden="1" x14ac:dyDescent="0.35">
      <c r="A677" t="s">
        <v>9</v>
      </c>
      <c r="B677" t="s">
        <v>278</v>
      </c>
      <c r="C677">
        <v>42990000</v>
      </c>
      <c r="D677">
        <v>38990000</v>
      </c>
      <c r="E677" t="s">
        <v>279</v>
      </c>
      <c r="F677" t="s">
        <v>1051</v>
      </c>
      <c r="G677" t="str">
        <f>_xlfn.TEXTJOIN(",",TRUE,_xlfn._xlws.FILTER(GPU_brand[GPU brand], (GPU_brand[GPU brand text]&lt;&gt;"") * ISNUMBER(SEARCH(GPU_brand[GPU brand text], B677)), ""))</f>
        <v>MSI</v>
      </c>
      <c r="H677" t="str">
        <f>_xlfn.TEXTJOIN(",",TRUE,_xlfn._xlws.FILTER(Chipset_Table[Chipset], (Chipset_Table[Chipset text]&lt;&gt;"") * ISNUMBER(SEARCH(Chipset_Table[Chipset text], B677)), ""))</f>
        <v>GeForce RTX 5080,RTX 5080</v>
      </c>
      <c r="I677" t="str">
        <f>_xlfn.TEXTJOIN(",",TRUE,_xlfn._xlws.FILTER(VRAM_table[Video memory], (VRAM_table[Video memory text]&lt;&gt;"") * ISNUMBER(SEARCH(VRAM_table[Video memory text], B677)), ""))</f>
        <v>16GB,6GB</v>
      </c>
    </row>
    <row r="678" spans="1:9" hidden="1" x14ac:dyDescent="0.35">
      <c r="A678" t="s">
        <v>9</v>
      </c>
      <c r="B678" t="s">
        <v>280</v>
      </c>
      <c r="C678">
        <v>43990000</v>
      </c>
      <c r="D678">
        <v>42990000</v>
      </c>
      <c r="E678" t="s">
        <v>281</v>
      </c>
      <c r="F678" t="s">
        <v>1051</v>
      </c>
      <c r="G678" t="str">
        <f>_xlfn.TEXTJOIN(",",TRUE,_xlfn._xlws.FILTER(GPU_brand[GPU brand], (GPU_brand[GPU brand text]&lt;&gt;"") * ISNUMBER(SEARCH(GPU_brand[GPU brand text], B678)), ""))</f>
        <v>MSI</v>
      </c>
      <c r="H678" t="str">
        <f>_xlfn.TEXTJOIN(",",TRUE,_xlfn._xlws.FILTER(Chipset_Table[Chipset], (Chipset_Table[Chipset text]&lt;&gt;"") * ISNUMBER(SEARCH(Chipset_Table[Chipset text], B678)), ""))</f>
        <v>GeForce RTX 5080,RTX 5080</v>
      </c>
      <c r="I678" t="str">
        <f>_xlfn.TEXTJOIN(",",TRUE,_xlfn._xlws.FILTER(VRAM_table[Video memory], (VRAM_table[Video memory text]&lt;&gt;"") * ISNUMBER(SEARCH(VRAM_table[Video memory text], B678)), ""))</f>
        <v>16GB,6GB</v>
      </c>
    </row>
    <row r="679" spans="1:9" hidden="1" x14ac:dyDescent="0.35">
      <c r="A679" t="s">
        <v>9</v>
      </c>
      <c r="B679" t="s">
        <v>282</v>
      </c>
      <c r="C679">
        <v>45990000</v>
      </c>
      <c r="D679">
        <v>45490000</v>
      </c>
      <c r="E679" t="s">
        <v>283</v>
      </c>
      <c r="F679" t="s">
        <v>1051</v>
      </c>
      <c r="G679" t="str">
        <f>_xlfn.TEXTJOIN(",",TRUE,_xlfn._xlws.FILTER(GPU_brand[GPU brand], (GPU_brand[GPU brand text]&lt;&gt;"") * ISNUMBER(SEARCH(GPU_brand[GPU brand text], B679)), ""))</f>
        <v>MSI</v>
      </c>
      <c r="H679" t="str">
        <f>_xlfn.TEXTJOIN(",",TRUE,_xlfn._xlws.FILTER(Chipset_Table[Chipset], (Chipset_Table[Chipset text]&lt;&gt;"") * ISNUMBER(SEARCH(Chipset_Table[Chipset text], B679)), ""))</f>
        <v>GeForce RTX 5080,RTX 5080</v>
      </c>
      <c r="I679" t="str">
        <f>_xlfn.TEXTJOIN(",",TRUE,_xlfn._xlws.FILTER(VRAM_table[Video memory], (VRAM_table[Video memory text]&lt;&gt;"") * ISNUMBER(SEARCH(VRAM_table[Video memory text], B679)), ""))</f>
        <v>16GB,6GB</v>
      </c>
    </row>
    <row r="680" spans="1:9" hidden="1" x14ac:dyDescent="0.35">
      <c r="A680" t="s">
        <v>9</v>
      </c>
      <c r="B680" t="s">
        <v>284</v>
      </c>
      <c r="C680">
        <v>119990000</v>
      </c>
      <c r="D680">
        <v>118990000</v>
      </c>
      <c r="E680" t="s">
        <v>285</v>
      </c>
      <c r="F680" t="s">
        <v>1051</v>
      </c>
      <c r="G680" t="str">
        <f>_xlfn.TEXTJOIN(",",TRUE,_xlfn._xlws.FILTER(GPU_brand[GPU brand], (GPU_brand[GPU brand text]&lt;&gt;"") * ISNUMBER(SEARCH(GPU_brand[GPU brand text], B680)), ""))</f>
        <v>MSI</v>
      </c>
      <c r="H680" t="str">
        <f>_xlfn.TEXTJOIN(",",TRUE,_xlfn._xlws.FILTER(Chipset_Table[Chipset], (Chipset_Table[Chipset text]&lt;&gt;"") * ISNUMBER(SEARCH(Chipset_Table[Chipset text], B680)), ""))</f>
        <v>GeForce RTX 5090</v>
      </c>
      <c r="I680" t="str">
        <f>_xlfn.TEXTJOIN(",",TRUE,_xlfn._xlws.FILTER(VRAM_table[Video memory], (VRAM_table[Video memory text]&lt;&gt;"") * ISNUMBER(SEARCH(VRAM_table[Video memory text], B680)), ""))</f>
        <v>32GB,2GB</v>
      </c>
    </row>
    <row r="681" spans="1:9" hidden="1" x14ac:dyDescent="0.35">
      <c r="A681" t="s">
        <v>9</v>
      </c>
      <c r="B681" t="s">
        <v>286</v>
      </c>
      <c r="C681">
        <v>134990000</v>
      </c>
      <c r="D681">
        <v>129990000</v>
      </c>
      <c r="E681" t="s">
        <v>287</v>
      </c>
      <c r="F681" t="s">
        <v>1051</v>
      </c>
      <c r="G681" t="str">
        <f>_xlfn.TEXTJOIN(",",TRUE,_xlfn._xlws.FILTER(GPU_brand[GPU brand], (GPU_brand[GPU brand text]&lt;&gt;"") * ISNUMBER(SEARCH(GPU_brand[GPU brand text], B681)), ""))</f>
        <v>MSI</v>
      </c>
      <c r="H681" t="str">
        <f>_xlfn.TEXTJOIN(",",TRUE,_xlfn._xlws.FILTER(Chipset_Table[Chipset], (Chipset_Table[Chipset text]&lt;&gt;"") * ISNUMBER(SEARCH(Chipset_Table[Chipset text], B681)), ""))</f>
        <v>GeForce RTX 5090</v>
      </c>
      <c r="I681" t="str">
        <f>_xlfn.TEXTJOIN(",",TRUE,_xlfn._xlws.FILTER(VRAM_table[Video memory], (VRAM_table[Video memory text]&lt;&gt;"") * ISNUMBER(SEARCH(VRAM_table[Video memory text], B681)), ""))</f>
        <v>32GB,2GB</v>
      </c>
    </row>
    <row r="682" spans="1:9" hidden="1" x14ac:dyDescent="0.35">
      <c r="A682" t="s">
        <v>9</v>
      </c>
      <c r="B682" t="s">
        <v>290</v>
      </c>
      <c r="C682">
        <v>104990000</v>
      </c>
      <c r="D682">
        <v>98990000</v>
      </c>
      <c r="E682" t="s">
        <v>291</v>
      </c>
      <c r="F682" t="s">
        <v>1051</v>
      </c>
      <c r="G682" t="str">
        <f>_xlfn.TEXTJOIN(",",TRUE,_xlfn._xlws.FILTER(GPU_brand[GPU brand], (GPU_brand[GPU brand text]&lt;&gt;"") * ISNUMBER(SEARCH(GPU_brand[GPU brand text], B682)), ""))</f>
        <v>MSI</v>
      </c>
      <c r="H682" t="str">
        <f>_xlfn.TEXTJOIN(",",TRUE,_xlfn._xlws.FILTER(Chipset_Table[Chipset], (Chipset_Table[Chipset text]&lt;&gt;"") * ISNUMBER(SEARCH(Chipset_Table[Chipset text], B682)), ""))</f>
        <v>GeForce RTX 5090</v>
      </c>
      <c r="I682" t="str">
        <f>_xlfn.TEXTJOIN(",",TRUE,_xlfn._xlws.FILTER(VRAM_table[Video memory], (VRAM_table[Video memory text]&lt;&gt;"") * ISNUMBER(SEARCH(VRAM_table[Video memory text], B682)), ""))</f>
        <v>32GB,2GB</v>
      </c>
    </row>
    <row r="683" spans="1:9" hidden="1" x14ac:dyDescent="0.35">
      <c r="A683" t="s">
        <v>9</v>
      </c>
      <c r="B683" t="s">
        <v>292</v>
      </c>
      <c r="C683">
        <v>33990000</v>
      </c>
      <c r="D683">
        <v>32990000</v>
      </c>
      <c r="E683" t="s">
        <v>293</v>
      </c>
      <c r="F683" t="s">
        <v>1051</v>
      </c>
      <c r="G683" t="str">
        <f>_xlfn.TEXTJOIN(",",TRUE,_xlfn._xlws.FILTER(GPU_brand[GPU brand], (GPU_brand[GPU brand text]&lt;&gt;"") * ISNUMBER(SEARCH(GPU_brand[GPU brand text], B683)), ""))</f>
        <v>ASUS</v>
      </c>
      <c r="H683" t="str">
        <f>_xlfn.TEXTJOIN(",",TRUE,_xlfn._xlws.FILTER(Chipset_Table[Chipset], (Chipset_Table[Chipset text]&lt;&gt;"") * ISNUMBER(SEARCH(Chipset_Table[Chipset text], B683)), ""))</f>
        <v>GeForce RTX 5070,GeForce RTX 5070 Ti,RTX 5070</v>
      </c>
      <c r="I683" t="str">
        <f>_xlfn.TEXTJOIN(",",TRUE,_xlfn._xlws.FILTER(VRAM_table[Video memory], (VRAM_table[Video memory text]&lt;&gt;"") * ISNUMBER(SEARCH(VRAM_table[Video memory text], B683)), ""))</f>
        <v>16GB,16GB,6GB,6GB</v>
      </c>
    </row>
    <row r="684" spans="1:9" hidden="1" x14ac:dyDescent="0.35">
      <c r="A684" t="s">
        <v>9</v>
      </c>
      <c r="B684" t="s">
        <v>294</v>
      </c>
      <c r="C684">
        <v>33990000</v>
      </c>
      <c r="D684">
        <v>32990000</v>
      </c>
      <c r="E684" t="s">
        <v>295</v>
      </c>
      <c r="F684" t="s">
        <v>1051</v>
      </c>
      <c r="G684" t="str">
        <f>_xlfn.TEXTJOIN(",",TRUE,_xlfn._xlws.FILTER(GPU_brand[GPU brand], (GPU_brand[GPU brand text]&lt;&gt;"") * ISNUMBER(SEARCH(GPU_brand[GPU brand text], B684)), ""))</f>
        <v>ASUS</v>
      </c>
      <c r="H684" t="str">
        <f>_xlfn.TEXTJOIN(",",TRUE,_xlfn._xlws.FILTER(Chipset_Table[Chipset], (Chipset_Table[Chipset text]&lt;&gt;"") * ISNUMBER(SEARCH(Chipset_Table[Chipset text], B684)), ""))</f>
        <v>GeForce RTX 5070,GeForce RTX 5070 Ti,RTX 5070</v>
      </c>
      <c r="I684" t="str">
        <f>_xlfn.TEXTJOIN(",",TRUE,_xlfn._xlws.FILTER(VRAM_table[Video memory], (VRAM_table[Video memory text]&lt;&gt;"") * ISNUMBER(SEARCH(VRAM_table[Video memory text], B684)), ""))</f>
        <v>16GB,16GB,6GB,6GB</v>
      </c>
    </row>
    <row r="685" spans="1:9" hidden="1" x14ac:dyDescent="0.35">
      <c r="A685" t="s">
        <v>9</v>
      </c>
      <c r="B685" t="s">
        <v>296</v>
      </c>
      <c r="C685">
        <v>34490000</v>
      </c>
      <c r="D685">
        <v>33990000</v>
      </c>
      <c r="E685" t="s">
        <v>297</v>
      </c>
      <c r="F685" t="s">
        <v>1051</v>
      </c>
      <c r="G685" t="str">
        <f>_xlfn.TEXTJOIN(",",TRUE,_xlfn._xlws.FILTER(GPU_brand[GPU brand], (GPU_brand[GPU brand text]&lt;&gt;"") * ISNUMBER(SEARCH(GPU_brand[GPU brand text], B685)), ""))</f>
        <v>ASUS</v>
      </c>
      <c r="H685" t="str">
        <f>_xlfn.TEXTJOIN(",",TRUE,_xlfn._xlws.FILTER(Chipset_Table[Chipset], (Chipset_Table[Chipset text]&lt;&gt;"") * ISNUMBER(SEARCH(Chipset_Table[Chipset text], B685)), ""))</f>
        <v>GeForce RTX 5070,GeForce RTX 5070 Ti,RTX 5070</v>
      </c>
      <c r="I685" t="str">
        <f>_xlfn.TEXTJOIN(",",TRUE,_xlfn._xlws.FILTER(VRAM_table[Video memory], (VRAM_table[Video memory text]&lt;&gt;"") * ISNUMBER(SEARCH(VRAM_table[Video memory text], B685)), ""))</f>
        <v>16GB,16GB,6GB,6GB</v>
      </c>
    </row>
    <row r="686" spans="1:9" hidden="1" x14ac:dyDescent="0.35">
      <c r="A686" t="s">
        <v>9</v>
      </c>
      <c r="B686" t="s">
        <v>298</v>
      </c>
      <c r="C686">
        <v>33490000</v>
      </c>
      <c r="D686">
        <v>31990000</v>
      </c>
      <c r="E686" t="s">
        <v>299</v>
      </c>
      <c r="F686" t="s">
        <v>1051</v>
      </c>
      <c r="G686" t="str">
        <f>_xlfn.TEXTJOIN(",",TRUE,_xlfn._xlws.FILTER(GPU_brand[GPU brand], (GPU_brand[GPU brand text]&lt;&gt;"") * ISNUMBER(SEARCH(GPU_brand[GPU brand text], B686)), ""))</f>
        <v>ASUS</v>
      </c>
      <c r="H686" t="str">
        <f>_xlfn.TEXTJOIN(",",TRUE,_xlfn._xlws.FILTER(Chipset_Table[Chipset], (Chipset_Table[Chipset text]&lt;&gt;"") * ISNUMBER(SEARCH(Chipset_Table[Chipset text], B686)), ""))</f>
        <v>GeForce RTX 5070,GeForce RTX 5070 Ti,RTX 5070</v>
      </c>
      <c r="I686" t="str">
        <f>_xlfn.TEXTJOIN(",",TRUE,_xlfn._xlws.FILTER(VRAM_table[Video memory], (VRAM_table[Video memory text]&lt;&gt;"") * ISNUMBER(SEARCH(VRAM_table[Video memory text], B686)), ""))</f>
        <v>16GB,16GB,6GB,6GB</v>
      </c>
    </row>
    <row r="687" spans="1:9" hidden="1" x14ac:dyDescent="0.35">
      <c r="A687" t="s">
        <v>9</v>
      </c>
      <c r="B687" t="s">
        <v>300</v>
      </c>
      <c r="C687">
        <v>40990000</v>
      </c>
      <c r="D687">
        <v>39990000</v>
      </c>
      <c r="E687" t="s">
        <v>301</v>
      </c>
      <c r="F687" t="s">
        <v>1051</v>
      </c>
      <c r="G687" t="str">
        <f>_xlfn.TEXTJOIN(",",TRUE,_xlfn._xlws.FILTER(GPU_brand[GPU brand], (GPU_brand[GPU brand text]&lt;&gt;"") * ISNUMBER(SEARCH(GPU_brand[GPU brand text], B687)), ""))</f>
        <v>ASUS</v>
      </c>
      <c r="H687" t="str">
        <f>_xlfn.TEXTJOIN(",",TRUE,_xlfn._xlws.FILTER(Chipset_Table[Chipset], (Chipset_Table[Chipset text]&lt;&gt;"") * ISNUMBER(SEARCH(Chipset_Table[Chipset text], B687)), ""))</f>
        <v>GeForce RTX 5080,RTX 5080</v>
      </c>
      <c r="I687" t="str">
        <f>_xlfn.TEXTJOIN(",",TRUE,_xlfn._xlws.FILTER(VRAM_table[Video memory], (VRAM_table[Video memory text]&lt;&gt;"") * ISNUMBER(SEARCH(VRAM_table[Video memory text], B687)), ""))</f>
        <v>16GB,16GB,6GB,6GB</v>
      </c>
    </row>
    <row r="688" spans="1:9" hidden="1" x14ac:dyDescent="0.35">
      <c r="A688" t="s">
        <v>9</v>
      </c>
      <c r="B688" t="s">
        <v>302</v>
      </c>
      <c r="C688">
        <v>41490000</v>
      </c>
      <c r="D688">
        <v>38690000</v>
      </c>
      <c r="E688" t="s">
        <v>303</v>
      </c>
      <c r="F688" t="s">
        <v>1051</v>
      </c>
      <c r="G688" t="str">
        <f>_xlfn.TEXTJOIN(",",TRUE,_xlfn._xlws.FILTER(GPU_brand[GPU brand], (GPU_brand[GPU brand text]&lt;&gt;"") * ISNUMBER(SEARCH(GPU_brand[GPU brand text], B688)), ""))</f>
        <v>ASUS</v>
      </c>
      <c r="H688" t="str">
        <f>_xlfn.TEXTJOIN(",",TRUE,_xlfn._xlws.FILTER(Chipset_Table[Chipset], (Chipset_Table[Chipset text]&lt;&gt;"") * ISNUMBER(SEARCH(Chipset_Table[Chipset text], B688)), ""))</f>
        <v>GeForce RTX 5080,RTX 5080</v>
      </c>
      <c r="I688" t="str">
        <f>_xlfn.TEXTJOIN(",",TRUE,_xlfn._xlws.FILTER(VRAM_table[Video memory], (VRAM_table[Video memory text]&lt;&gt;"") * ISNUMBER(SEARCH(VRAM_table[Video memory text], B688)), ""))</f>
        <v>16GB,16GB,6GB,6GB</v>
      </c>
    </row>
    <row r="689" spans="1:9" hidden="1" x14ac:dyDescent="0.35">
      <c r="A689" t="s">
        <v>9</v>
      </c>
      <c r="B689" t="s">
        <v>304</v>
      </c>
      <c r="C689">
        <v>45490000</v>
      </c>
      <c r="D689">
        <v>43990000</v>
      </c>
      <c r="E689" t="s">
        <v>305</v>
      </c>
      <c r="F689" t="s">
        <v>1051</v>
      </c>
      <c r="G689" t="str">
        <f>_xlfn.TEXTJOIN(",",TRUE,_xlfn._xlws.FILTER(GPU_brand[GPU brand], (GPU_brand[GPU brand text]&lt;&gt;"") * ISNUMBER(SEARCH(GPU_brand[GPU brand text], B689)), ""))</f>
        <v>ASUS</v>
      </c>
      <c r="H689" t="str">
        <f>_xlfn.TEXTJOIN(",",TRUE,_xlfn._xlws.FILTER(Chipset_Table[Chipset], (Chipset_Table[Chipset text]&lt;&gt;"") * ISNUMBER(SEARCH(Chipset_Table[Chipset text], B689)), ""))</f>
        <v>GeForce RTX 5080,RTX 5080</v>
      </c>
      <c r="I689" t="str">
        <f>_xlfn.TEXTJOIN(",",TRUE,_xlfn._xlws.FILTER(VRAM_table[Video memory], (VRAM_table[Video memory text]&lt;&gt;"") * ISNUMBER(SEARCH(VRAM_table[Video memory text], B689)), ""))</f>
        <v>16GB,16GB,6GB,6GB</v>
      </c>
    </row>
    <row r="690" spans="1:9" hidden="1" x14ac:dyDescent="0.35">
      <c r="A690" t="s">
        <v>9</v>
      </c>
      <c r="B690" t="s">
        <v>306</v>
      </c>
      <c r="C690">
        <v>48990000</v>
      </c>
      <c r="D690">
        <v>47290000</v>
      </c>
      <c r="E690" t="s">
        <v>307</v>
      </c>
      <c r="F690" t="s">
        <v>1051</v>
      </c>
      <c r="G690" t="str">
        <f>_xlfn.TEXTJOIN(",",TRUE,_xlfn._xlws.FILTER(GPU_brand[GPU brand], (GPU_brand[GPU brand text]&lt;&gt;"") * ISNUMBER(SEARCH(GPU_brand[GPU brand text], B690)), ""))</f>
        <v>ASUS</v>
      </c>
      <c r="H690" t="str">
        <f>_xlfn.TEXTJOIN(",",TRUE,_xlfn._xlws.FILTER(Chipset_Table[Chipset], (Chipset_Table[Chipset text]&lt;&gt;"") * ISNUMBER(SEARCH(Chipset_Table[Chipset text], B690)), ""))</f>
        <v>GeForce RTX 5080,RTX 5080</v>
      </c>
      <c r="I690" t="str">
        <f>_xlfn.TEXTJOIN(",",TRUE,_xlfn._xlws.FILTER(VRAM_table[Video memory], (VRAM_table[Video memory text]&lt;&gt;"") * ISNUMBER(SEARCH(VRAM_table[Video memory text], B690)), ""))</f>
        <v>16GB,16GB,6GB,6GB</v>
      </c>
    </row>
    <row r="691" spans="1:9" hidden="1" x14ac:dyDescent="0.35">
      <c r="A691" t="s">
        <v>9</v>
      </c>
      <c r="B691" t="s">
        <v>308</v>
      </c>
      <c r="C691">
        <v>104990000</v>
      </c>
      <c r="D691">
        <v>99990000</v>
      </c>
      <c r="E691" t="s">
        <v>309</v>
      </c>
      <c r="F691" t="s">
        <v>1051</v>
      </c>
      <c r="G691" t="str">
        <f>_xlfn.TEXTJOIN(",",TRUE,_xlfn._xlws.FILTER(GPU_brand[GPU brand], (GPU_brand[GPU brand text]&lt;&gt;"") * ISNUMBER(SEARCH(GPU_brand[GPU brand text], B691)), ""))</f>
        <v>ASUS</v>
      </c>
      <c r="H691" t="str">
        <f>_xlfn.TEXTJOIN(",",TRUE,_xlfn._xlws.FILTER(Chipset_Table[Chipset], (Chipset_Table[Chipset text]&lt;&gt;"") * ISNUMBER(SEARCH(Chipset_Table[Chipset text], B691)), ""))</f>
        <v>GeForce RTX 5090</v>
      </c>
      <c r="I691" t="str">
        <f>_xlfn.TEXTJOIN(",",TRUE,_xlfn._xlws.FILTER(VRAM_table[Video memory], (VRAM_table[Video memory text]&lt;&gt;"") * ISNUMBER(SEARCH(VRAM_table[Video memory text], B691)), ""))</f>
        <v>32GB,32GB,2GB</v>
      </c>
    </row>
    <row r="692" spans="1:9" hidden="1" x14ac:dyDescent="0.35">
      <c r="A692" t="s">
        <v>9</v>
      </c>
      <c r="B692" t="s">
        <v>310</v>
      </c>
      <c r="C692">
        <v>135000000</v>
      </c>
      <c r="D692">
        <v>108990000</v>
      </c>
      <c r="E692" t="s">
        <v>311</v>
      </c>
      <c r="F692" t="s">
        <v>1051</v>
      </c>
      <c r="G692" t="str">
        <f>_xlfn.TEXTJOIN(",",TRUE,_xlfn._xlws.FILTER(GPU_brand[GPU brand], (GPU_brand[GPU brand text]&lt;&gt;"") * ISNUMBER(SEARCH(GPU_brand[GPU brand text], B692)), ""))</f>
        <v>ASUS</v>
      </c>
      <c r="H692" t="str">
        <f>_xlfn.TEXTJOIN(",",TRUE,_xlfn._xlws.FILTER(Chipset_Table[Chipset], (Chipset_Table[Chipset text]&lt;&gt;"") * ISNUMBER(SEARCH(Chipset_Table[Chipset text], B692)), ""))</f>
        <v>GeForce RTX 5090</v>
      </c>
      <c r="I692" t="str">
        <f>_xlfn.TEXTJOIN(",",TRUE,_xlfn._xlws.FILTER(VRAM_table[Video memory], (VRAM_table[Video memory text]&lt;&gt;"") * ISNUMBER(SEARCH(VRAM_table[Video memory text], B692)), ""))</f>
        <v>32GB,32GB,2GB</v>
      </c>
    </row>
    <row r="693" spans="1:9" hidden="1" x14ac:dyDescent="0.35">
      <c r="A693" t="s">
        <v>9</v>
      </c>
      <c r="B693" t="s">
        <v>312</v>
      </c>
      <c r="C693">
        <v>135000000</v>
      </c>
      <c r="D693">
        <v>115000000</v>
      </c>
      <c r="E693" t="s">
        <v>313</v>
      </c>
      <c r="F693" t="s">
        <v>1051</v>
      </c>
      <c r="G693" t="str">
        <f>_xlfn.TEXTJOIN(",",TRUE,_xlfn._xlws.FILTER(GPU_brand[GPU brand], (GPU_brand[GPU brand text]&lt;&gt;"") * ISNUMBER(SEARCH(GPU_brand[GPU brand text], B693)), ""))</f>
        <v>ASUS</v>
      </c>
      <c r="H693" t="str">
        <f>_xlfn.TEXTJOIN(",",TRUE,_xlfn._xlws.FILTER(Chipset_Table[Chipset], (Chipset_Table[Chipset text]&lt;&gt;"") * ISNUMBER(SEARCH(Chipset_Table[Chipset text], B693)), ""))</f>
        <v>GeForce RTX 5090</v>
      </c>
      <c r="I693" t="str">
        <f>_xlfn.TEXTJOIN(",",TRUE,_xlfn._xlws.FILTER(VRAM_table[Video memory], (VRAM_table[Video memory text]&lt;&gt;"") * ISNUMBER(SEARCH(VRAM_table[Video memory text], B693)), ""))</f>
        <v>32GB,32GB,2GB</v>
      </c>
    </row>
    <row r="694" spans="1:9" hidden="1" x14ac:dyDescent="0.35">
      <c r="A694" t="s">
        <v>9</v>
      </c>
      <c r="B694" t="s">
        <v>314</v>
      </c>
      <c r="C694">
        <v>139000000</v>
      </c>
      <c r="D694">
        <v>104990000</v>
      </c>
      <c r="E694" t="s">
        <v>315</v>
      </c>
      <c r="F694" t="s">
        <v>1051</v>
      </c>
      <c r="G694" t="str">
        <f>_xlfn.TEXTJOIN(",",TRUE,_xlfn._xlws.FILTER(GPU_brand[GPU brand], (GPU_brand[GPU brand text]&lt;&gt;"") * ISNUMBER(SEARCH(GPU_brand[GPU brand text], B694)), ""))</f>
        <v>ASUS</v>
      </c>
      <c r="H694" t="str">
        <f>_xlfn.TEXTJOIN(",",TRUE,_xlfn._xlws.FILTER(Chipset_Table[Chipset], (Chipset_Table[Chipset text]&lt;&gt;"") * ISNUMBER(SEARCH(Chipset_Table[Chipset text], B694)), ""))</f>
        <v>GeForce RTX 5090</v>
      </c>
      <c r="I694" t="str">
        <f>_xlfn.TEXTJOIN(",",TRUE,_xlfn._xlws.FILTER(VRAM_table[Video memory], (VRAM_table[Video memory text]&lt;&gt;"") * ISNUMBER(SEARCH(VRAM_table[Video memory text], B694)), ""))</f>
        <v>32GB,32GB,2GB</v>
      </c>
    </row>
    <row r="695" spans="1:9" hidden="1" x14ac:dyDescent="0.35">
      <c r="A695" t="s">
        <v>9</v>
      </c>
      <c r="B695" t="s">
        <v>321</v>
      </c>
      <c r="C695">
        <v>6890000</v>
      </c>
      <c r="D695">
        <v>5990000</v>
      </c>
      <c r="E695" t="s">
        <v>322</v>
      </c>
      <c r="F695" t="s">
        <v>1051</v>
      </c>
      <c r="G695" t="str">
        <f>_xlfn.TEXTJOIN(",",TRUE,_xlfn._xlws.FILTER(GPU_brand[GPU brand], (GPU_brand[GPU brand text]&lt;&gt;"") * ISNUMBER(SEARCH(GPU_brand[GPU brand text], B695)), ""))</f>
        <v>ZOTAC</v>
      </c>
      <c r="H695" t="str">
        <f>_xlfn.TEXTJOIN(",",TRUE,_xlfn._xlws.FILTER(Chipset_Table[Chipset], (Chipset_Table[Chipset text]&lt;&gt;"") * ISNUMBER(SEARCH(Chipset_Table[Chipset text], B695)), ""))</f>
        <v>GeForce RTX 3050</v>
      </c>
      <c r="I695" t="str">
        <f>_xlfn.TEXTJOIN(",",TRUE,_xlfn._xlws.FILTER(VRAM_table[Video memory], (VRAM_table[Video memory text]&lt;&gt;"") * ISNUMBER(SEARCH(VRAM_table[Video memory text], B695)), ""))</f>
        <v>6GB,6GB</v>
      </c>
    </row>
    <row r="696" spans="1:9" hidden="1" x14ac:dyDescent="0.35">
      <c r="A696" t="s">
        <v>9</v>
      </c>
      <c r="B696" t="s">
        <v>62</v>
      </c>
      <c r="C696">
        <v>13490000</v>
      </c>
      <c r="D696">
        <v>12490000</v>
      </c>
      <c r="E696" t="s">
        <v>63</v>
      </c>
      <c r="F696" t="s">
        <v>1051</v>
      </c>
      <c r="G696" t="str">
        <f>_xlfn.TEXTJOIN(",",TRUE,_xlfn._xlws.FILTER(GPU_brand[GPU brand], (GPU_brand[GPU brand text]&lt;&gt;"") * ISNUMBER(SEARCH(GPU_brand[GPU brand text], B696)), ""))</f>
        <v>ZOTAC</v>
      </c>
      <c r="H696" t="str">
        <f>_xlfn.TEXTJOIN(",",TRUE,_xlfn._xlws.FILTER(Chipset_Table[Chipset], (Chipset_Table[Chipset text]&lt;&gt;"") * ISNUMBER(SEARCH(Chipset_Table[Chipset text], B696)), ""))</f>
        <v>GeForce RTX 5060,GeForce RTX 5060 Ti,RTX 5060 Ti</v>
      </c>
      <c r="I696" t="str">
        <f>_xlfn.TEXTJOIN(",",TRUE,_xlfn._xlws.FILTER(VRAM_table[Video memory], (VRAM_table[Video memory text]&lt;&gt;"") * ISNUMBER(SEARCH(VRAM_table[Video memory text], B696)), ""))</f>
        <v>8GB,8GB</v>
      </c>
    </row>
    <row r="697" spans="1:9" hidden="1" x14ac:dyDescent="0.35">
      <c r="A697" t="s">
        <v>9</v>
      </c>
      <c r="B697" t="s">
        <v>21</v>
      </c>
      <c r="C697">
        <v>11990000</v>
      </c>
      <c r="D697">
        <v>11490000</v>
      </c>
      <c r="E697" t="s">
        <v>22</v>
      </c>
      <c r="F697" t="s">
        <v>1051</v>
      </c>
      <c r="G697" t="str">
        <f>_xlfn.TEXTJOIN(",",TRUE,_xlfn._xlws.FILTER(GPU_brand[GPU brand], (GPU_brand[GPU brand text]&lt;&gt;"") * ISNUMBER(SEARCH(GPU_brand[GPU brand text], B697)), ""))</f>
        <v>Gigabyte</v>
      </c>
      <c r="H697" t="str">
        <f>_xlfn.TEXTJOIN(",",TRUE,_xlfn._xlws.FILTER(Chipset_Table[Chipset], (Chipset_Table[Chipset text]&lt;&gt;"") * ISNUMBER(SEARCH(Chipset_Table[Chipset text], B697)), ""))</f>
        <v>GeForce RTX 5060</v>
      </c>
      <c r="I697" t="str">
        <f>_xlfn.TEXTJOIN(",",TRUE,_xlfn._xlws.FILTER(VRAM_table[Video memory], (VRAM_table[Video memory text]&lt;&gt;"") * ISNUMBER(SEARCH(VRAM_table[Video memory text], B697)), ""))</f>
        <v>8GB,8GB</v>
      </c>
    </row>
    <row r="698" spans="1:9" hidden="1" x14ac:dyDescent="0.35">
      <c r="A698" t="s">
        <v>9</v>
      </c>
      <c r="B698" t="s">
        <v>24</v>
      </c>
      <c r="C698">
        <v>9490000</v>
      </c>
      <c r="D698">
        <v>8990000</v>
      </c>
      <c r="E698" t="s">
        <v>25</v>
      </c>
      <c r="F698" t="s">
        <v>1051</v>
      </c>
      <c r="G698" t="str">
        <f>_xlfn.TEXTJOIN(",",TRUE,_xlfn._xlws.FILTER(GPU_brand[GPU brand], (GPU_brand[GPU brand text]&lt;&gt;"") * ISNUMBER(SEARCH(GPU_brand[GPU brand text], B698)), ""))</f>
        <v>ZOTAC</v>
      </c>
      <c r="H698" t="str">
        <f>_xlfn.TEXTJOIN(",",TRUE,_xlfn._xlws.FILTER(Chipset_Table[Chipset], (Chipset_Table[Chipset text]&lt;&gt;"") * ISNUMBER(SEARCH(Chipset_Table[Chipset text], B698)), ""))</f>
        <v>GEFORCE RTX 5050,RTX 5050</v>
      </c>
      <c r="I698" t="str">
        <f>_xlfn.TEXTJOIN(",",TRUE,_xlfn._xlws.FILTER(VRAM_table[Video memory], (VRAM_table[Video memory text]&lt;&gt;"") * ISNUMBER(SEARCH(VRAM_table[Video memory text], B698)), ""))</f>
        <v>8GB,8GB</v>
      </c>
    </row>
    <row r="699" spans="1:9" hidden="1" x14ac:dyDescent="0.35">
      <c r="A699" t="s">
        <v>9</v>
      </c>
      <c r="B699" t="s">
        <v>316</v>
      </c>
      <c r="C699">
        <v>8490000</v>
      </c>
      <c r="D699">
        <v>8390000</v>
      </c>
      <c r="E699" t="s">
        <v>317</v>
      </c>
      <c r="F699" t="s">
        <v>1051</v>
      </c>
      <c r="G699" t="str">
        <f>_xlfn.TEXTJOIN(",",TRUE,_xlfn._xlws.FILTER(GPU_brand[GPU brand], (GPU_brand[GPU brand text]&lt;&gt;"") * ISNUMBER(SEARCH(GPU_brand[GPU brand text], B699)), ""))</f>
        <v>Gigabyte</v>
      </c>
      <c r="H699" t="str">
        <f>_xlfn.TEXTJOIN(",",TRUE,_xlfn._xlws.FILTER(Chipset_Table[Chipset], (Chipset_Table[Chipset text]&lt;&gt;"") * ISNUMBER(SEARCH(Chipset_Table[Chipset text], B699)), ""))</f>
        <v>GeForce RTX 3050</v>
      </c>
      <c r="I699" t="str">
        <f>_xlfn.TEXTJOIN(",",TRUE,_xlfn._xlws.FILTER(VRAM_table[Video memory], (VRAM_table[Video memory text]&lt;&gt;"") * ISNUMBER(SEARCH(VRAM_table[Video memory text], B699)), ""))</f>
        <v>8GB</v>
      </c>
    </row>
    <row r="700" spans="1:9" hidden="1" x14ac:dyDescent="0.35">
      <c r="A700" t="s">
        <v>9</v>
      </c>
      <c r="B700" t="s">
        <v>32</v>
      </c>
      <c r="C700">
        <v>11990000</v>
      </c>
      <c r="D700">
        <v>11490000</v>
      </c>
      <c r="E700" t="s">
        <v>33</v>
      </c>
      <c r="F700" t="s">
        <v>1051</v>
      </c>
      <c r="G700" t="str">
        <f>_xlfn.TEXTJOIN(",",TRUE,_xlfn._xlws.FILTER(GPU_brand[GPU brand], (GPU_brand[GPU brand text]&lt;&gt;"") * ISNUMBER(SEARCH(GPU_brand[GPU brand text], B700)), ""))</f>
        <v>MSI</v>
      </c>
      <c r="H700" t="str">
        <f>_xlfn.TEXTJOIN(",",TRUE,_xlfn._xlws.FILTER(Chipset_Table[Chipset], (Chipset_Table[Chipset text]&lt;&gt;"") * ISNUMBER(SEARCH(Chipset_Table[Chipset text], B700)), ""))</f>
        <v>GeForce RTX 5060</v>
      </c>
      <c r="I700" t="str">
        <f>_xlfn.TEXTJOIN(",",TRUE,_xlfn._xlws.FILTER(VRAM_table[Video memory], (VRAM_table[Video memory text]&lt;&gt;"") * ISNUMBER(SEARCH(VRAM_table[Video memory text], B700)), ""))</f>
        <v>8GB,8GB</v>
      </c>
    </row>
    <row r="701" spans="1:9" hidden="1" x14ac:dyDescent="0.35">
      <c r="A701" t="s">
        <v>9</v>
      </c>
      <c r="B701" t="s">
        <v>108</v>
      </c>
      <c r="C701">
        <v>11990000</v>
      </c>
      <c r="D701">
        <v>10990000</v>
      </c>
      <c r="E701" t="s">
        <v>109</v>
      </c>
      <c r="F701" t="s">
        <v>1051</v>
      </c>
      <c r="G701" t="str">
        <f>_xlfn.TEXTJOIN(",",TRUE,_xlfn._xlws.FILTER(GPU_brand[GPU brand], (GPU_brand[GPU brand text]&lt;&gt;"") * ISNUMBER(SEARCH(GPU_brand[GPU brand text], B701)), ""))</f>
        <v>MSI</v>
      </c>
      <c r="H701" t="str">
        <f>_xlfn.TEXTJOIN(",",TRUE,_xlfn._xlws.FILTER(Chipset_Table[Chipset], (Chipset_Table[Chipset text]&lt;&gt;"") * ISNUMBER(SEARCH(Chipset_Table[Chipset text], B701)), ""))</f>
        <v>GeForce RTX 5060</v>
      </c>
      <c r="I701" t="str">
        <f>_xlfn.TEXTJOIN(",",TRUE,_xlfn._xlws.FILTER(VRAM_table[Video memory], (VRAM_table[Video memory text]&lt;&gt;"") * ISNUMBER(SEARCH(VRAM_table[Video memory text], B701)), ""))</f>
        <v>8GB,8GB</v>
      </c>
    </row>
    <row r="702" spans="1:9" hidden="1" x14ac:dyDescent="0.35">
      <c r="A702" t="s">
        <v>9</v>
      </c>
      <c r="B702" t="s">
        <v>29</v>
      </c>
      <c r="C702">
        <v>16990000</v>
      </c>
      <c r="D702">
        <v>15990000</v>
      </c>
      <c r="E702" t="s">
        <v>30</v>
      </c>
      <c r="F702" t="s">
        <v>1051</v>
      </c>
      <c r="G702" t="str">
        <f>_xlfn.TEXTJOIN(",",TRUE,_xlfn._xlws.FILTER(GPU_brand[GPU brand], (GPU_brand[GPU brand text]&lt;&gt;"") * ISNUMBER(SEARCH(GPU_brand[GPU brand text], B702)), ""))</f>
        <v>ZOTAC</v>
      </c>
      <c r="H702" t="str">
        <f>_xlfn.TEXTJOIN(",",TRUE,_xlfn._xlws.FILTER(Chipset_Table[Chipset], (Chipset_Table[Chipset text]&lt;&gt;"") * ISNUMBER(SEARCH(Chipset_Table[Chipset text], B702)), ""))</f>
        <v>GeForce RTX 5060,GeForce RTX 5060 Ti,RTX 5060 Ti</v>
      </c>
      <c r="I702" t="str">
        <f>_xlfn.TEXTJOIN(",",TRUE,_xlfn._xlws.FILTER(VRAM_table[Video memory], (VRAM_table[Video memory text]&lt;&gt;"") * ISNUMBER(SEARCH(VRAM_table[Video memory text], B702)), ""))</f>
        <v>16GB,16GB,6GB,6GB</v>
      </c>
    </row>
    <row r="703" spans="1:9" hidden="1" x14ac:dyDescent="0.35">
      <c r="A703" t="s">
        <v>9</v>
      </c>
      <c r="B703" t="s">
        <v>34</v>
      </c>
      <c r="C703">
        <v>11690000</v>
      </c>
      <c r="D703">
        <v>9990000</v>
      </c>
      <c r="E703" t="s">
        <v>35</v>
      </c>
      <c r="F703" t="s">
        <v>1051</v>
      </c>
      <c r="G703" t="str">
        <f>_xlfn.TEXTJOIN(",",TRUE,_xlfn._xlws.FILTER(GPU_brand[GPU brand], (GPU_brand[GPU brand text]&lt;&gt;"") * ISNUMBER(SEARCH(GPU_brand[GPU brand text], B703)), ""))</f>
        <v>Gigabyte</v>
      </c>
      <c r="H703" t="str">
        <f>_xlfn.TEXTJOIN(",",TRUE,_xlfn._xlws.FILTER(Chipset_Table[Chipset], (Chipset_Table[Chipset text]&lt;&gt;"") * ISNUMBER(SEARCH(Chipset_Table[Chipset text], B703)), ""))</f>
        <v>GeForce RTX 5060</v>
      </c>
      <c r="I703" t="str">
        <f>_xlfn.TEXTJOIN(",",TRUE,_xlfn._xlws.FILTER(VRAM_table[Video memory], (VRAM_table[Video memory text]&lt;&gt;"") * ISNUMBER(SEARCH(VRAM_table[Video memory text], B703)), ""))</f>
        <v>8GB,8GB</v>
      </c>
    </row>
    <row r="704" spans="1:9" hidden="1" x14ac:dyDescent="0.35">
      <c r="A704" t="s">
        <v>9</v>
      </c>
      <c r="B704" t="s">
        <v>324</v>
      </c>
      <c r="C704">
        <v>20990000</v>
      </c>
      <c r="D704">
        <v>19490000</v>
      </c>
      <c r="E704" t="s">
        <v>325</v>
      </c>
      <c r="F704" t="s">
        <v>1051</v>
      </c>
      <c r="G704" t="str">
        <f>_xlfn.TEXTJOIN(",",TRUE,_xlfn._xlws.FILTER(GPU_brand[GPU brand], (GPU_brand[GPU brand text]&lt;&gt;"") * ISNUMBER(SEARCH(GPU_brand[GPU brand text], B704)), ""))</f>
        <v>Gigabyte</v>
      </c>
      <c r="H704" t="str">
        <f>_xlfn.TEXTJOIN(",",TRUE,_xlfn._xlws.FILTER(Chipset_Table[Chipset], (Chipset_Table[Chipset text]&lt;&gt;"") * ISNUMBER(SEARCH(Chipset_Table[Chipset text], B704)), ""))</f>
        <v>GeForce RTX 4070 SUPER,GeForce RTX 4070</v>
      </c>
      <c r="I704" t="str">
        <f>_xlfn.TEXTJOIN(",",TRUE,_xlfn._xlws.FILTER(VRAM_table[Video memory], (VRAM_table[Video memory text]&lt;&gt;"") * ISNUMBER(SEARCH(VRAM_table[Video memory text], B704)), ""))</f>
        <v>12GB,2GB</v>
      </c>
    </row>
    <row r="705" spans="1:9" hidden="1" x14ac:dyDescent="0.35">
      <c r="A705" t="s">
        <v>9</v>
      </c>
      <c r="B705" t="s">
        <v>194</v>
      </c>
      <c r="C705">
        <v>118990000</v>
      </c>
      <c r="D705">
        <v>114990000</v>
      </c>
      <c r="E705" t="s">
        <v>195</v>
      </c>
      <c r="F705" t="s">
        <v>1051</v>
      </c>
      <c r="G705" t="str">
        <f>_xlfn.TEXTJOIN(",",TRUE,_xlfn._xlws.FILTER(GPU_brand[GPU brand], (GPU_brand[GPU brand text]&lt;&gt;"") * ISNUMBER(SEARCH(GPU_brand[GPU brand text], B705)), ""))</f>
        <v>MSI</v>
      </c>
      <c r="H705" t="str">
        <f>_xlfn.TEXTJOIN(",",TRUE,_xlfn._xlws.FILTER(Chipset_Table[Chipset], (Chipset_Table[Chipset text]&lt;&gt;"") * ISNUMBER(SEARCH(Chipset_Table[Chipset text], B705)), ""))</f>
        <v>GeForce RTX 5090</v>
      </c>
      <c r="I705" t="str">
        <f>_xlfn.TEXTJOIN(",",TRUE,_xlfn._xlws.FILTER(VRAM_table[Video memory], (VRAM_table[Video memory text]&lt;&gt;"") * ISNUMBER(SEARCH(VRAM_table[Video memory text], B705)), ""))</f>
        <v>32GB,2GB</v>
      </c>
    </row>
    <row r="706" spans="1:9" hidden="1" x14ac:dyDescent="0.35">
      <c r="A706" t="s">
        <v>9</v>
      </c>
      <c r="B706" t="s">
        <v>327</v>
      </c>
      <c r="C706">
        <v>8990000</v>
      </c>
      <c r="D706">
        <v>8590000</v>
      </c>
      <c r="E706" t="s">
        <v>328</v>
      </c>
      <c r="F706" t="s">
        <v>1051</v>
      </c>
      <c r="G706" t="str">
        <f>_xlfn.TEXTJOIN(",",TRUE,_xlfn._xlws.FILTER(GPU_brand[GPU brand], (GPU_brand[GPU brand text]&lt;&gt;"") * ISNUMBER(SEARCH(GPU_brand[GPU brand text], B706)), ""))</f>
        <v>Gigabyte</v>
      </c>
      <c r="H706" t="str">
        <f>_xlfn.TEXTJOIN(",",TRUE,_xlfn._xlws.FILTER(Chipset_Table[Chipset], (Chipset_Table[Chipset text]&lt;&gt;"") * ISNUMBER(SEARCH(Chipset_Table[Chipset text], B706)), ""))</f>
        <v>GeForce RTX 3060,RTX 3060</v>
      </c>
      <c r="I706" t="str">
        <f>_xlfn.TEXTJOIN(",",TRUE,_xlfn._xlws.FILTER(VRAM_table[Video memory], (VRAM_table[Video memory text]&lt;&gt;"") * ISNUMBER(SEARCH(VRAM_table[Video memory text], B706)), ""))</f>
        <v>12GB,2GB</v>
      </c>
    </row>
    <row r="707" spans="1:9" hidden="1" x14ac:dyDescent="0.35">
      <c r="A707" t="s">
        <v>9</v>
      </c>
      <c r="B707" t="s">
        <v>330</v>
      </c>
      <c r="C707">
        <v>4990000</v>
      </c>
      <c r="D707">
        <v>3790000</v>
      </c>
      <c r="E707" t="s">
        <v>331</v>
      </c>
      <c r="F707" t="s">
        <v>1051</v>
      </c>
      <c r="G707" t="str">
        <f>_xlfn.TEXTJOIN(",",TRUE,_xlfn._xlws.FILTER(GPU_brand[GPU brand], (GPU_brand[GPU brand text]&lt;&gt;"") * ISNUMBER(SEARCH(GPU_brand[GPU brand text], B707)), ""))</f>
        <v>ASUS</v>
      </c>
      <c r="H707" t="str">
        <f>_xlfn.TEXTJOIN(",",TRUE,_xlfn._xlws.FILTER(Chipset_Table[Chipset], (Chipset_Table[Chipset text]&lt;&gt;"") * ISNUMBER(SEARCH(Chipset_Table[Chipset text], B707)), ""))</f>
        <v>RX 6500 XT</v>
      </c>
      <c r="I707" t="str">
        <f>_xlfn.TEXTJOIN(",",TRUE,_xlfn._xlws.FILTER(VRAM_table[Video memory], (VRAM_table[Video memory text]&lt;&gt;"") * ISNUMBER(SEARCH(VRAM_table[Video memory text], B707)), ""))</f>
        <v>4GB,4GB</v>
      </c>
    </row>
    <row r="708" spans="1:9" hidden="1" x14ac:dyDescent="0.35">
      <c r="A708" t="s">
        <v>9</v>
      </c>
      <c r="B708" t="s">
        <v>333</v>
      </c>
      <c r="C708">
        <v>8990000</v>
      </c>
      <c r="D708">
        <v>8490000</v>
      </c>
      <c r="E708" t="s">
        <v>334</v>
      </c>
      <c r="F708" t="s">
        <v>1051</v>
      </c>
      <c r="G708" t="str">
        <f>_xlfn.TEXTJOIN(",",TRUE,_xlfn._xlws.FILTER(GPU_brand[GPU brand], (GPU_brand[GPU brand text]&lt;&gt;"") * ISNUMBER(SEARCH(GPU_brand[GPU brand text], B708)), ""))</f>
        <v>ASUS</v>
      </c>
      <c r="H708" t="str">
        <f>_xlfn.TEXTJOIN(",",TRUE,_xlfn._xlws.FILTER(Chipset_Table[Chipset], (Chipset_Table[Chipset text]&lt;&gt;"") * ISNUMBER(SEARCH(Chipset_Table[Chipset text], B708)), ""))</f>
        <v>GeForce RTX 4060</v>
      </c>
      <c r="I708" t="str">
        <f>_xlfn.TEXTJOIN(",",TRUE,_xlfn._xlws.FILTER(VRAM_table[Video memory], (VRAM_table[Video memory text]&lt;&gt;"") * ISNUMBER(SEARCH(VRAM_table[Video memory text], B708)), ""))</f>
        <v>8GB,8GB</v>
      </c>
    </row>
    <row r="709" spans="1:9" hidden="1" x14ac:dyDescent="0.35">
      <c r="A709" t="s">
        <v>9</v>
      </c>
      <c r="B709" t="s">
        <v>335</v>
      </c>
      <c r="C709">
        <v>7990000</v>
      </c>
      <c r="D709">
        <v>7790000</v>
      </c>
      <c r="E709" t="s">
        <v>336</v>
      </c>
      <c r="F709" t="s">
        <v>1051</v>
      </c>
      <c r="G709" t="str">
        <f>_xlfn.TEXTJOIN(",",TRUE,_xlfn._xlws.FILTER(GPU_brand[GPU brand], (GPU_brand[GPU brand text]&lt;&gt;"") * ISNUMBER(SEARCH(GPU_brand[GPU brand text], B709)), ""))</f>
        <v>ASUS</v>
      </c>
      <c r="H709" t="str">
        <f>_xlfn.TEXTJOIN(",",TRUE,_xlfn._xlws.FILTER(Chipset_Table[Chipset], (Chipset_Table[Chipset text]&lt;&gt;"") * ISNUMBER(SEARCH(Chipset_Table[Chipset text], B709)), ""))</f>
        <v>RX 7600</v>
      </c>
      <c r="I709" t="str">
        <f>_xlfn.TEXTJOIN(",",TRUE,_xlfn._xlws.FILTER(VRAM_table[Video memory], (VRAM_table[Video memory text]&lt;&gt;"") * ISNUMBER(SEARCH(VRAM_table[Video memory text], B709)), ""))</f>
        <v>8GB,8GB</v>
      </c>
    </row>
    <row r="710" spans="1:9" hidden="1" x14ac:dyDescent="0.35">
      <c r="A710" t="s">
        <v>9</v>
      </c>
      <c r="B710" t="s">
        <v>337</v>
      </c>
      <c r="C710">
        <v>59990000</v>
      </c>
      <c r="D710">
        <v>39990000</v>
      </c>
      <c r="E710" t="s">
        <v>338</v>
      </c>
      <c r="F710" t="s">
        <v>1051</v>
      </c>
      <c r="G710" t="str">
        <f>_xlfn.TEXTJOIN(",",TRUE,_xlfn._xlws.FILTER(GPU_brand[GPU brand], (GPU_brand[GPU brand text]&lt;&gt;"") * ISNUMBER(SEARCH(GPU_brand[GPU brand text], B710)), ""))</f>
        <v>Gigabyte</v>
      </c>
      <c r="H710" t="str">
        <f>_xlfn.TEXTJOIN(",",TRUE,_xlfn._xlws.FILTER(Chipset_Table[Chipset], (Chipset_Table[Chipset text]&lt;&gt;"") * ISNUMBER(SEARCH(Chipset_Table[Chipset text], B710)), ""))</f>
        <v>GeForce RTX 4080 SUPER,GeForce RTX 4080,GeForce RTX 4080 SUPER XT</v>
      </c>
      <c r="I710" t="str">
        <f>_xlfn.TEXTJOIN(",",TRUE,_xlfn._xlws.FILTER(VRAM_table[Video memory], (VRAM_table[Video memory text]&lt;&gt;"") * ISNUMBER(SEARCH(VRAM_table[Video memory text], B710)), ""))</f>
        <v>16GB,6GB</v>
      </c>
    </row>
    <row r="711" spans="1:9" hidden="1" x14ac:dyDescent="0.35">
      <c r="A711" t="s">
        <v>9</v>
      </c>
      <c r="B711" t="s">
        <v>385</v>
      </c>
      <c r="C711">
        <v>7490000</v>
      </c>
      <c r="D711">
        <v>6790000</v>
      </c>
      <c r="E711" t="s">
        <v>386</v>
      </c>
      <c r="F711" t="s">
        <v>1051</v>
      </c>
      <c r="G711" t="str">
        <f>_xlfn.TEXTJOIN(",",TRUE,_xlfn._xlws.FILTER(GPU_brand[GPU brand], (GPU_brand[GPU brand text]&lt;&gt;"") * ISNUMBER(SEARCH(GPU_brand[GPU brand text], B711)), ""))</f>
        <v>Gigabyte</v>
      </c>
      <c r="H711" t="str">
        <f>_xlfn.TEXTJOIN(",",TRUE,_xlfn._xlws.FILTER(Chipset_Table[Chipset], (Chipset_Table[Chipset text]&lt;&gt;"") * ISNUMBER(SEARCH(Chipset_Table[Chipset text], B711)), ""))</f>
        <v>GeForce RTX 3050</v>
      </c>
      <c r="I711" t="str">
        <f>_xlfn.TEXTJOIN(",",TRUE,_xlfn._xlws.FILTER(VRAM_table[Video memory], (VRAM_table[Video memory text]&lt;&gt;"") * ISNUMBER(SEARCH(VRAM_table[Video memory text], B711)), ""))</f>
        <v>6GB</v>
      </c>
    </row>
    <row r="712" spans="1:9" hidden="1" x14ac:dyDescent="0.35">
      <c r="A712" t="s">
        <v>9</v>
      </c>
      <c r="B712" t="s">
        <v>340</v>
      </c>
      <c r="C712">
        <v>5690000</v>
      </c>
      <c r="D712">
        <v>4690000</v>
      </c>
      <c r="E712" t="s">
        <v>341</v>
      </c>
      <c r="F712" t="s">
        <v>1051</v>
      </c>
      <c r="G712" t="str">
        <f>_xlfn.TEXTJOIN(",",TRUE,_xlfn._xlws.FILTER(GPU_brand[GPU brand], (GPU_brand[GPU brand text]&lt;&gt;"") * ISNUMBER(SEARCH(GPU_brand[GPU brand text], B712)), ""))</f>
        <v>ASUS</v>
      </c>
      <c r="H712" t="str">
        <f>_xlfn.TEXTJOIN(",",TRUE,_xlfn._xlws.FILTER(Chipset_Table[Chipset], (Chipset_Table[Chipset text]&lt;&gt;"") * ISNUMBER(SEARCH(Chipset_Table[Chipset text], B712)), ""))</f>
        <v>GeForce RTX 3050</v>
      </c>
      <c r="I712" t="str">
        <f>_xlfn.TEXTJOIN(",",TRUE,_xlfn._xlws.FILTER(VRAM_table[Video memory], (VRAM_table[Video memory text]&lt;&gt;"") * ISNUMBER(SEARCH(VRAM_table[Video memory text], B712)), ""))</f>
        <v>6GB,6GB</v>
      </c>
    </row>
    <row r="713" spans="1:9" hidden="1" x14ac:dyDescent="0.35">
      <c r="A713" t="s">
        <v>9</v>
      </c>
      <c r="B713" t="s">
        <v>342</v>
      </c>
      <c r="C713">
        <v>5790000</v>
      </c>
      <c r="D713">
        <v>4790000</v>
      </c>
      <c r="E713" t="s">
        <v>343</v>
      </c>
      <c r="F713" t="s">
        <v>1051</v>
      </c>
      <c r="G713" t="str">
        <f>_xlfn.TEXTJOIN(",",TRUE,_xlfn._xlws.FILTER(GPU_brand[GPU brand], (GPU_brand[GPU brand text]&lt;&gt;"") * ISNUMBER(SEARCH(GPU_brand[GPU brand text], B713)), ""))</f>
        <v>ASUS</v>
      </c>
      <c r="H713" t="str">
        <f>_xlfn.TEXTJOIN(",",TRUE,_xlfn._xlws.FILTER(Chipset_Table[Chipset], (Chipset_Table[Chipset text]&lt;&gt;"") * ISNUMBER(SEARCH(Chipset_Table[Chipset text], B713)), ""))</f>
        <v>GeForce RTX 3050</v>
      </c>
      <c r="I713" t="str">
        <f>_xlfn.TEXTJOIN(",",TRUE,_xlfn._xlws.FILTER(VRAM_table[Video memory], (VRAM_table[Video memory text]&lt;&gt;"") * ISNUMBER(SEARCH(VRAM_table[Video memory text], B713)), ""))</f>
        <v>6GB,6GB</v>
      </c>
    </row>
    <row r="714" spans="1:9" hidden="1" x14ac:dyDescent="0.35">
      <c r="A714" t="s">
        <v>9</v>
      </c>
      <c r="B714" t="s">
        <v>344</v>
      </c>
      <c r="C714">
        <v>5990000</v>
      </c>
      <c r="D714">
        <v>4990000</v>
      </c>
      <c r="E714" t="s">
        <v>345</v>
      </c>
      <c r="F714" t="s">
        <v>1051</v>
      </c>
      <c r="G714" t="str">
        <f>_xlfn.TEXTJOIN(",",TRUE,_xlfn._xlws.FILTER(GPU_brand[GPU brand], (GPU_brand[GPU brand text]&lt;&gt;"") * ISNUMBER(SEARCH(GPU_brand[GPU brand text], B714)), ""))</f>
        <v>MSI</v>
      </c>
      <c r="H714" t="str">
        <f>_xlfn.TEXTJOIN(",",TRUE,_xlfn._xlws.FILTER(Chipset_Table[Chipset], (Chipset_Table[Chipset text]&lt;&gt;"") * ISNUMBER(SEARCH(Chipset_Table[Chipset text], B714)), ""))</f>
        <v>GeForce RTX 3050</v>
      </c>
      <c r="I714" t="str">
        <f>_xlfn.TEXTJOIN(",",TRUE,_xlfn._xlws.FILTER(VRAM_table[Video memory], (VRAM_table[Video memory text]&lt;&gt;"") * ISNUMBER(SEARCH(VRAM_table[Video memory text], B714)), ""))</f>
        <v>6GB</v>
      </c>
    </row>
    <row r="715" spans="1:9" hidden="1" x14ac:dyDescent="0.35">
      <c r="A715" t="s">
        <v>9</v>
      </c>
      <c r="B715" t="s">
        <v>346</v>
      </c>
      <c r="C715">
        <v>4190000</v>
      </c>
      <c r="D715">
        <v>3690000</v>
      </c>
      <c r="E715" t="s">
        <v>347</v>
      </c>
      <c r="F715" t="s">
        <v>1051</v>
      </c>
      <c r="G715" t="str">
        <f>_xlfn.TEXTJOIN(",",TRUE,_xlfn._xlws.FILTER(GPU_brand[GPU brand], (GPU_brand[GPU brand text]&lt;&gt;"") * ISNUMBER(SEARCH(GPU_brand[GPU brand text], B715)), ""))</f>
        <v>ASUS</v>
      </c>
      <c r="H715" t="str">
        <f>_xlfn.TEXTJOIN(",",TRUE,_xlfn._xlws.FILTER(Chipset_Table[Chipset], (Chipset_Table[Chipset text]&lt;&gt;"") * ISNUMBER(SEARCH(Chipset_Table[Chipset text], B715)), ""))</f>
        <v>GeForce GTX 1650,GTX 1650</v>
      </c>
      <c r="I715" t="str">
        <f>_xlfn.TEXTJOIN(",",TRUE,_xlfn._xlws.FILTER(VRAM_table[Video memory], (VRAM_table[Video memory text]&lt;&gt;"") * ISNUMBER(SEARCH(VRAM_table[Video memory text], B715)), ""))</f>
        <v>4GB,4GB</v>
      </c>
    </row>
    <row r="716" spans="1:9" hidden="1" x14ac:dyDescent="0.35">
      <c r="A716" t="s">
        <v>9</v>
      </c>
      <c r="B716" t="s">
        <v>349</v>
      </c>
      <c r="C716">
        <v>9390000</v>
      </c>
      <c r="D716">
        <v>8990000</v>
      </c>
      <c r="E716" t="s">
        <v>350</v>
      </c>
      <c r="F716" t="s">
        <v>1051</v>
      </c>
      <c r="G716" t="str">
        <f>_xlfn.TEXTJOIN(",",TRUE,_xlfn._xlws.FILTER(GPU_brand[GPU brand], (GPU_brand[GPU brand text]&lt;&gt;"") * ISNUMBER(SEARCH(GPU_brand[GPU brand text], B716)), ""))</f>
        <v>MSI</v>
      </c>
      <c r="H716" t="str">
        <f>_xlfn.TEXTJOIN(",",TRUE,_xlfn._xlws.FILTER(Chipset_Table[Chipset], (Chipset_Table[Chipset text]&lt;&gt;"") * ISNUMBER(SEARCH(Chipset_Table[Chipset text], B716)), ""))</f>
        <v>GeForce RTX 4060</v>
      </c>
      <c r="I716" t="str">
        <f>_xlfn.TEXTJOIN(",",TRUE,_xlfn._xlws.FILTER(VRAM_table[Video memory], (VRAM_table[Video memory text]&lt;&gt;"") * ISNUMBER(SEARCH(VRAM_table[Video memory text], B716)), ""))</f>
        <v>8GB</v>
      </c>
    </row>
    <row r="717" spans="1:9" hidden="1" x14ac:dyDescent="0.35">
      <c r="A717" t="s">
        <v>9</v>
      </c>
      <c r="B717" t="s">
        <v>351</v>
      </c>
      <c r="C717">
        <v>6990000</v>
      </c>
      <c r="D717">
        <v>5990000</v>
      </c>
      <c r="E717" t="s">
        <v>352</v>
      </c>
      <c r="F717" t="s">
        <v>1051</v>
      </c>
      <c r="G717" t="str">
        <f>_xlfn.TEXTJOIN(",",TRUE,_xlfn._xlws.FILTER(GPU_brand[GPU brand], (GPU_brand[GPU brand text]&lt;&gt;"") * ISNUMBER(SEARCH(GPU_brand[GPU brand text], B717)), ""))</f>
        <v>MSI</v>
      </c>
      <c r="H717" t="str">
        <f>_xlfn.TEXTJOIN(",",TRUE,_xlfn._xlws.FILTER(Chipset_Table[Chipset], (Chipset_Table[Chipset text]&lt;&gt;"") * ISNUMBER(SEARCH(Chipset_Table[Chipset text], B717)), ""))</f>
        <v>GeForce RTX 3050</v>
      </c>
      <c r="I717" t="str">
        <f>_xlfn.TEXTJOIN(",",TRUE,_xlfn._xlws.FILTER(VRAM_table[Video memory], (VRAM_table[Video memory text]&lt;&gt;"") * ISNUMBER(SEARCH(VRAM_table[Video memory text], B717)), ""))</f>
        <v>8GB</v>
      </c>
    </row>
    <row r="718" spans="1:9" hidden="1" x14ac:dyDescent="0.35">
      <c r="A718" t="s">
        <v>9</v>
      </c>
      <c r="B718" t="s">
        <v>353</v>
      </c>
      <c r="C718">
        <v>9590000</v>
      </c>
      <c r="D718">
        <v>8490000</v>
      </c>
      <c r="E718" t="s">
        <v>354</v>
      </c>
      <c r="F718" t="s">
        <v>1051</v>
      </c>
      <c r="G718" t="str">
        <f>_xlfn.TEXTJOIN(",",TRUE,_xlfn._xlws.FILTER(GPU_brand[GPU brand], (GPU_brand[GPU brand text]&lt;&gt;"") * ISNUMBER(SEARCH(GPU_brand[GPU brand text], B718)), ""))</f>
        <v>MSI</v>
      </c>
      <c r="H718" t="str">
        <f>_xlfn.TEXTJOIN(",",TRUE,_xlfn._xlws.FILTER(Chipset_Table[Chipset], (Chipset_Table[Chipset text]&lt;&gt;"") * ISNUMBER(SEARCH(Chipset_Table[Chipset text], B718)), ""))</f>
        <v>GeForce RTX 4060</v>
      </c>
      <c r="I718" t="str">
        <f>_xlfn.TEXTJOIN(",",TRUE,_xlfn._xlws.FILTER(VRAM_table[Video memory], (VRAM_table[Video memory text]&lt;&gt;"") * ISNUMBER(SEARCH(VRAM_table[Video memory text], B718)), ""))</f>
        <v>8GB</v>
      </c>
    </row>
    <row r="719" spans="1:9" hidden="1" x14ac:dyDescent="0.35">
      <c r="A719" t="s">
        <v>9</v>
      </c>
      <c r="B719" t="s">
        <v>355</v>
      </c>
      <c r="C719">
        <v>8990000</v>
      </c>
      <c r="D719">
        <v>8290000</v>
      </c>
      <c r="E719" t="s">
        <v>356</v>
      </c>
      <c r="F719" t="s">
        <v>1051</v>
      </c>
      <c r="G719" t="str">
        <f>_xlfn.TEXTJOIN(",",TRUE,_xlfn._xlws.FILTER(GPU_brand[GPU brand], (GPU_brand[GPU brand text]&lt;&gt;"") * ISNUMBER(SEARCH(GPU_brand[GPU brand text], B719)), ""))</f>
        <v>MSI</v>
      </c>
      <c r="H719" t="str">
        <f>_xlfn.TEXTJOIN(",",TRUE,_xlfn._xlws.FILTER(Chipset_Table[Chipset], (Chipset_Table[Chipset text]&lt;&gt;"") * ISNUMBER(SEARCH(Chipset_Table[Chipset text], B719)), ""))</f>
        <v>GeForce RTX 3060,RTX 3060</v>
      </c>
      <c r="I719" t="str">
        <f>_xlfn.TEXTJOIN(",",TRUE,_xlfn._xlws.FILTER(VRAM_table[Video memory], (VRAM_table[Video memory text]&lt;&gt;"") * ISNUMBER(SEARCH(VRAM_table[Video memory text], B719)), ""))</f>
        <v>12GB,2GB</v>
      </c>
    </row>
    <row r="720" spans="1:9" hidden="1" x14ac:dyDescent="0.35">
      <c r="A720" t="s">
        <v>9</v>
      </c>
      <c r="B720" t="s">
        <v>357</v>
      </c>
      <c r="C720">
        <v>8690000</v>
      </c>
      <c r="D720">
        <v>7890000</v>
      </c>
      <c r="E720" t="s">
        <v>358</v>
      </c>
      <c r="F720" t="s">
        <v>1051</v>
      </c>
      <c r="G720" t="str">
        <f>_xlfn.TEXTJOIN(",",TRUE,_xlfn._xlws.FILTER(GPU_brand[GPU brand], (GPU_brand[GPU brand text]&lt;&gt;"") * ISNUMBER(SEARCH(GPU_brand[GPU brand text], B720)), ""))</f>
        <v>ASUS</v>
      </c>
      <c r="H720" t="str">
        <f>_xlfn.TEXTJOIN(",",TRUE,_xlfn._xlws.FILTER(Chipset_Table[Chipset], (Chipset_Table[Chipset text]&lt;&gt;"") * ISNUMBER(SEARCH(Chipset_Table[Chipset text], B720)), ""))</f>
        <v>GeForce RTX 3060,RTX 3060</v>
      </c>
      <c r="I720" t="str">
        <f>_xlfn.TEXTJOIN(",",TRUE,_xlfn._xlws.FILTER(VRAM_table[Video memory], (VRAM_table[Video memory text]&lt;&gt;"") * ISNUMBER(SEARCH(VRAM_table[Video memory text], B720)), ""))</f>
        <v>12GB,2GB</v>
      </c>
    </row>
    <row r="721" spans="1:9" hidden="1" x14ac:dyDescent="0.35">
      <c r="A721" t="s">
        <v>9</v>
      </c>
      <c r="B721" t="s">
        <v>359</v>
      </c>
      <c r="C721">
        <v>0</v>
      </c>
      <c r="D721">
        <v>8590000</v>
      </c>
      <c r="E721" t="s">
        <v>360</v>
      </c>
      <c r="F721" t="s">
        <v>1051</v>
      </c>
      <c r="G721" t="str">
        <f>_xlfn.TEXTJOIN(",",TRUE,_xlfn._xlws.FILTER(GPU_brand[GPU brand], (GPU_brand[GPU brand text]&lt;&gt;"") * ISNUMBER(SEARCH(GPU_brand[GPU brand text], B721)), ""))</f>
        <v>MSI</v>
      </c>
      <c r="H721" t="str">
        <f>_xlfn.TEXTJOIN(",",TRUE,_xlfn._xlws.FILTER(Chipset_Table[Chipset], (Chipset_Table[Chipset text]&lt;&gt;"") * ISNUMBER(SEARCH(Chipset_Table[Chipset text], B721)), ""))</f>
        <v>GeForce GTX 1650,GTX 1650</v>
      </c>
      <c r="I721" t="str">
        <f>_xlfn.TEXTJOIN(",",TRUE,_xlfn._xlws.FILTER(VRAM_table[Video memory], (VRAM_table[Video memory text]&lt;&gt;"") * ISNUMBER(SEARCH(VRAM_table[Video memory text], B721)), ""))</f>
        <v>4GB,4GB</v>
      </c>
    </row>
    <row r="722" spans="1:9" hidden="1" x14ac:dyDescent="0.35">
      <c r="A722" t="s">
        <v>9</v>
      </c>
      <c r="B722" t="s">
        <v>361</v>
      </c>
      <c r="C722">
        <v>10990000</v>
      </c>
      <c r="D722">
        <v>9690000</v>
      </c>
      <c r="E722" t="s">
        <v>362</v>
      </c>
      <c r="F722" t="s">
        <v>1051</v>
      </c>
      <c r="G722" t="s">
        <v>320</v>
      </c>
      <c r="H722" t="str">
        <f>_xlfn.TEXTJOIN(",",TRUE,_xlfn._xlws.FILTER(Chipset_Table[Chipset], (Chipset_Table[Chipset text]&lt;&gt;"") * ISNUMBER(SEARCH(Chipset_Table[Chipset text], B722)), ""))</f>
        <v>Intel Arc B580</v>
      </c>
      <c r="I722" t="str">
        <f>_xlfn.TEXTJOIN(",",TRUE,_xlfn._xlws.FILTER(VRAM_table[Video memory], (VRAM_table[Video memory text]&lt;&gt;"") * ISNUMBER(SEARCH(VRAM_table[Video memory text], B722)), ""))</f>
        <v>12GB,2GB</v>
      </c>
    </row>
    <row r="723" spans="1:9" hidden="1" x14ac:dyDescent="0.35">
      <c r="A723" t="s">
        <v>9</v>
      </c>
      <c r="B723" t="s">
        <v>318</v>
      </c>
      <c r="C723">
        <v>10990000</v>
      </c>
      <c r="D723">
        <v>9690000</v>
      </c>
      <c r="E723" t="s">
        <v>319</v>
      </c>
      <c r="F723" t="s">
        <v>1051</v>
      </c>
      <c r="G723" t="s">
        <v>320</v>
      </c>
      <c r="H723" t="str">
        <f>_xlfn.TEXTJOIN(",",TRUE,_xlfn._xlws.FILTER(Chipset_Table[Chipset], (Chipset_Table[Chipset text]&lt;&gt;"") * ISNUMBER(SEARCH(Chipset_Table[Chipset text], B723)), ""))</f>
        <v>Intel Arc B580</v>
      </c>
      <c r="I723" t="str">
        <f>_xlfn.TEXTJOIN(",",TRUE,_xlfn._xlws.FILTER(VRAM_table[Video memory], (VRAM_table[Video memory text]&lt;&gt;"") * ISNUMBER(SEARCH(VRAM_table[Video memory text], B723)), ""))</f>
        <v>12GB,2GB</v>
      </c>
    </row>
    <row r="724" spans="1:9" hidden="1" x14ac:dyDescent="0.35">
      <c r="A724" t="s">
        <v>9</v>
      </c>
      <c r="B724" t="s">
        <v>64</v>
      </c>
      <c r="C724">
        <v>15990000</v>
      </c>
      <c r="D724">
        <v>14990000</v>
      </c>
      <c r="E724" t="s">
        <v>65</v>
      </c>
      <c r="F724" t="s">
        <v>1051</v>
      </c>
      <c r="G724" t="str">
        <f>_xlfn.TEXTJOIN(",",TRUE,_xlfn._xlws.FILTER(GPU_brand[GPU brand], (GPU_brand[GPU brand text]&lt;&gt;"") * ISNUMBER(SEARCH(GPU_brand[GPU brand text], B724)), ""))</f>
        <v>ZOTAC</v>
      </c>
      <c r="H724" t="str">
        <f>_xlfn.TEXTJOIN(",",TRUE,_xlfn._xlws.FILTER(Chipset_Table[Chipset], (Chipset_Table[Chipset text]&lt;&gt;"") * ISNUMBER(SEARCH(Chipset_Table[Chipset text], B724)), ""))</f>
        <v>GeForce RTX 5060,GeForce RTX 5060 Ti,RTX 5060 Ti</v>
      </c>
      <c r="I724" t="str">
        <f>_xlfn.TEXTJOIN(",",TRUE,_xlfn._xlws.FILTER(VRAM_table[Video memory], (VRAM_table[Video memory text]&lt;&gt;"") * ISNUMBER(SEARCH(VRAM_table[Video memory text], B724)), ""))</f>
        <v>16GB,16GB,6GB,6GB</v>
      </c>
    </row>
    <row r="725" spans="1:9" hidden="1" x14ac:dyDescent="0.35">
      <c r="A725" t="s">
        <v>9</v>
      </c>
      <c r="B725" t="s">
        <v>66</v>
      </c>
      <c r="C725">
        <v>19990000</v>
      </c>
      <c r="D725">
        <v>18990000</v>
      </c>
      <c r="E725" t="s">
        <v>67</v>
      </c>
      <c r="F725" t="s">
        <v>1051</v>
      </c>
      <c r="G725" t="str">
        <f>_xlfn.TEXTJOIN(",",TRUE,_xlfn._xlws.FILTER(GPU_brand[GPU brand], (GPU_brand[GPU brand text]&lt;&gt;"") * ISNUMBER(SEARCH(GPU_brand[GPU brand text], B725)), ""))</f>
        <v>ZOTAC</v>
      </c>
      <c r="H725" t="str">
        <f>_xlfn.TEXTJOIN(",",TRUE,_xlfn._xlws.FILTER(Chipset_Table[Chipset], (Chipset_Table[Chipset text]&lt;&gt;"") * ISNUMBER(SEARCH(Chipset_Table[Chipset text], B725)), ""))</f>
        <v>GeForce RTX 5070,RTX 5070</v>
      </c>
      <c r="I725" t="str">
        <f>_xlfn.TEXTJOIN(",",TRUE,_xlfn._xlws.FILTER(VRAM_table[Video memory], (VRAM_table[Video memory text]&lt;&gt;"") * ISNUMBER(SEARCH(VRAM_table[Video memory text], B725)), ""))</f>
        <v>12GB</v>
      </c>
    </row>
    <row r="726" spans="1:9" hidden="1" x14ac:dyDescent="0.35">
      <c r="A726" t="s">
        <v>9</v>
      </c>
      <c r="B726" t="s">
        <v>124</v>
      </c>
      <c r="C726">
        <v>11390000</v>
      </c>
      <c r="D726">
        <v>10890000</v>
      </c>
      <c r="E726" t="s">
        <v>125</v>
      </c>
      <c r="F726" t="s">
        <v>1051</v>
      </c>
      <c r="G726" t="str">
        <f>_xlfn.TEXTJOIN(",",TRUE,_xlfn._xlws.FILTER(GPU_brand[GPU brand], (GPU_brand[GPU brand text]&lt;&gt;"") * ISNUMBER(SEARCH(GPU_brand[GPU brand text], B726)), ""))</f>
        <v>Gigabyte</v>
      </c>
      <c r="H726" t="str">
        <f>_xlfn.TEXTJOIN(",",TRUE,_xlfn._xlws.FILTER(Chipset_Table[Chipset], (Chipset_Table[Chipset text]&lt;&gt;"") * ISNUMBER(SEARCH(Chipset_Table[Chipset text], B726)), ""))</f>
        <v>GeForce RTX 5060</v>
      </c>
      <c r="I726" t="str">
        <f>_xlfn.TEXTJOIN(",",TRUE,_xlfn._xlws.FILTER(VRAM_table[Video memory], (VRAM_table[Video memory text]&lt;&gt;"") * ISNUMBER(SEARCH(VRAM_table[Video memory text], B726)), ""))</f>
        <v>8GB,8GB</v>
      </c>
    </row>
    <row r="727" spans="1:9" hidden="1" x14ac:dyDescent="0.35">
      <c r="A727" t="s">
        <v>9</v>
      </c>
      <c r="B727" t="s">
        <v>122</v>
      </c>
      <c r="C727">
        <v>14990000</v>
      </c>
      <c r="D727">
        <v>12990000</v>
      </c>
      <c r="E727" t="s">
        <v>123</v>
      </c>
      <c r="F727" t="s">
        <v>1051</v>
      </c>
      <c r="G727" t="str">
        <f>_xlfn.TEXTJOIN(",",TRUE,_xlfn._xlws.FILTER(GPU_brand[GPU brand], (GPU_brand[GPU brand text]&lt;&gt;"") * ISNUMBER(SEARCH(GPU_brand[GPU brand text], B727)), ""))</f>
        <v>MSI</v>
      </c>
      <c r="H727" t="str">
        <f>_xlfn.TEXTJOIN(",",TRUE,_xlfn._xlws.FILTER(Chipset_Table[Chipset], (Chipset_Table[Chipset text]&lt;&gt;"") * ISNUMBER(SEARCH(Chipset_Table[Chipset text], B727)), ""))</f>
        <v>GeForce RTX 5060,GeForce RTX 5060 Ti,RTX 5060 Ti</v>
      </c>
      <c r="I727" t="str">
        <f>_xlfn.TEXTJOIN(",",TRUE,_xlfn._xlws.FILTER(VRAM_table[Video memory], (VRAM_table[Video memory text]&lt;&gt;"") * ISNUMBER(SEARCH(VRAM_table[Video memory text], B727)), ""))</f>
        <v>8GB,8GB</v>
      </c>
    </row>
    <row r="728" spans="1:9" hidden="1" x14ac:dyDescent="0.35">
      <c r="A728" t="s">
        <v>9</v>
      </c>
      <c r="B728" t="s">
        <v>120</v>
      </c>
      <c r="C728">
        <v>13990000</v>
      </c>
      <c r="D728">
        <v>12990000</v>
      </c>
      <c r="E728" t="s">
        <v>121</v>
      </c>
      <c r="F728" t="s">
        <v>1051</v>
      </c>
      <c r="G728" t="str">
        <f>_xlfn.TEXTJOIN(",",TRUE,_xlfn._xlws.FILTER(GPU_brand[GPU brand], (GPU_brand[GPU brand text]&lt;&gt;"") * ISNUMBER(SEARCH(GPU_brand[GPU brand text], B728)), ""))</f>
        <v>MSI</v>
      </c>
      <c r="H728" t="str">
        <f>_xlfn.TEXTJOIN(",",TRUE,_xlfn._xlws.FILTER(Chipset_Table[Chipset], (Chipset_Table[Chipset text]&lt;&gt;"") * ISNUMBER(SEARCH(Chipset_Table[Chipset text], B728)), ""))</f>
        <v>GeForce RTX 5060</v>
      </c>
      <c r="I728" t="str">
        <f>_xlfn.TEXTJOIN(",",TRUE,_xlfn._xlws.FILTER(VRAM_table[Video memory], (VRAM_table[Video memory text]&lt;&gt;"") * ISNUMBER(SEARCH(VRAM_table[Video memory text], B728)), ""))</f>
        <v>8GB,8GB</v>
      </c>
    </row>
    <row r="729" spans="1:9" hidden="1" x14ac:dyDescent="0.35">
      <c r="A729" t="s">
        <v>9</v>
      </c>
      <c r="B729" t="s">
        <v>118</v>
      </c>
      <c r="C729">
        <v>13490000</v>
      </c>
      <c r="D729">
        <v>12990000</v>
      </c>
      <c r="E729" t="s">
        <v>119</v>
      </c>
      <c r="F729" t="s">
        <v>1051</v>
      </c>
      <c r="G729" t="str">
        <f>_xlfn.TEXTJOIN(",",TRUE,_xlfn._xlws.FILTER(GPU_brand[GPU brand], (GPU_brand[GPU brand text]&lt;&gt;"") * ISNUMBER(SEARCH(GPU_brand[GPU brand text], B729)), ""))</f>
        <v>MSI</v>
      </c>
      <c r="H729" t="str">
        <f>_xlfn.TEXTJOIN(",",TRUE,_xlfn._xlws.FILTER(Chipset_Table[Chipset], (Chipset_Table[Chipset text]&lt;&gt;"") * ISNUMBER(SEARCH(Chipset_Table[Chipset text], B729)), ""))</f>
        <v>GeForce RTX 5060</v>
      </c>
      <c r="I729" t="str">
        <f>_xlfn.TEXTJOIN(",",TRUE,_xlfn._xlws.FILTER(VRAM_table[Video memory], (VRAM_table[Video memory text]&lt;&gt;"") * ISNUMBER(SEARCH(VRAM_table[Video memory text], B729)), ""))</f>
        <v>8GB,8GB</v>
      </c>
    </row>
    <row r="730" spans="1:9" hidden="1" x14ac:dyDescent="0.35">
      <c r="A730" t="s">
        <v>9</v>
      </c>
      <c r="B730" t="s">
        <v>82</v>
      </c>
      <c r="C730">
        <v>54990000</v>
      </c>
      <c r="D730">
        <v>53990000</v>
      </c>
      <c r="E730" t="s">
        <v>83</v>
      </c>
      <c r="F730" t="s">
        <v>1051</v>
      </c>
      <c r="G730" t="str">
        <f>_xlfn.TEXTJOIN(",",TRUE,_xlfn._xlws.FILTER(GPU_brand[GPU brand], (GPU_brand[GPU brand text]&lt;&gt;"") * ISNUMBER(SEARCH(GPU_brand[GPU brand text], B730)), ""))</f>
        <v>ASUS</v>
      </c>
      <c r="H730" t="str">
        <f>_xlfn.TEXTJOIN(",",TRUE,_xlfn._xlws.FILTER(Chipset_Table[Chipset], (Chipset_Table[Chipset text]&lt;&gt;"") * ISNUMBER(SEARCH(Chipset_Table[Chipset text], B730)), ""))</f>
        <v>GeForce RTX 5080,RTX 5080</v>
      </c>
      <c r="I730" t="str">
        <f>_xlfn.TEXTJOIN(",",TRUE,_xlfn._xlws.FILTER(VRAM_table[Video memory], (VRAM_table[Video memory text]&lt;&gt;"") * ISNUMBER(SEARCH(VRAM_table[Video memory text], B730)), ""))</f>
        <v>16GB,16GB,6GB,6GB</v>
      </c>
    </row>
    <row r="731" spans="1:9" hidden="1" x14ac:dyDescent="0.35">
      <c r="A731" t="s">
        <v>9</v>
      </c>
      <c r="B731" t="s">
        <v>114</v>
      </c>
      <c r="C731">
        <v>20490000</v>
      </c>
      <c r="D731">
        <v>19990000</v>
      </c>
      <c r="E731" t="s">
        <v>115</v>
      </c>
      <c r="F731" t="s">
        <v>1051</v>
      </c>
      <c r="G731" t="str">
        <f>_xlfn.TEXTJOIN(",",TRUE,_xlfn._xlws.FILTER(GPU_brand[GPU brand], (GPU_brand[GPU brand text]&lt;&gt;"") * ISNUMBER(SEARCH(GPU_brand[GPU brand text], B731)), ""))</f>
        <v>ASUS</v>
      </c>
      <c r="H731" t="str">
        <f>_xlfn.TEXTJOIN(",",TRUE,_xlfn._xlws.FILTER(Chipset_Table[Chipset], (Chipset_Table[Chipset text]&lt;&gt;"") * ISNUMBER(SEARCH(Chipset_Table[Chipset text], B731)), ""))</f>
        <v>GeForce RTX 5070,RTX 5070</v>
      </c>
      <c r="I731" t="str">
        <f>_xlfn.TEXTJOIN(",",TRUE,_xlfn._xlws.FILTER(VRAM_table[Video memory], (VRAM_table[Video memory text]&lt;&gt;"") * ISNUMBER(SEARCH(VRAM_table[Video memory text], B731)), ""))</f>
        <v>12GB,2GB</v>
      </c>
    </row>
    <row r="732" spans="1:9" hidden="1" x14ac:dyDescent="0.35">
      <c r="A732" t="s">
        <v>9</v>
      </c>
      <c r="B732" t="s">
        <v>112</v>
      </c>
      <c r="C732">
        <v>9990000</v>
      </c>
      <c r="D732">
        <v>9690000</v>
      </c>
      <c r="E732" t="s">
        <v>113</v>
      </c>
      <c r="F732" t="s">
        <v>1051</v>
      </c>
      <c r="G732" t="str">
        <f>_xlfn.TEXTJOIN(",",TRUE,_xlfn._xlws.FILTER(GPU_brand[GPU brand], (GPU_brand[GPU brand text]&lt;&gt;"") * ISNUMBER(SEARCH(GPU_brand[GPU brand text], B732)), ""))</f>
        <v>ZOTAC</v>
      </c>
      <c r="H732" t="str">
        <f>_xlfn.TEXTJOIN(",",TRUE,_xlfn._xlws.FILTER(Chipset_Table[Chipset], (Chipset_Table[Chipset text]&lt;&gt;"") * ISNUMBER(SEARCH(Chipset_Table[Chipset text], B732)), ""))</f>
        <v>GeForce RTX 5060</v>
      </c>
      <c r="I732" t="str">
        <f>_xlfn.TEXTJOIN(",",TRUE,_xlfn._xlws.FILTER(VRAM_table[Video memory], (VRAM_table[Video memory text]&lt;&gt;"") * ISNUMBER(SEARCH(VRAM_table[Video memory text], B732)), ""))</f>
        <v>8GB,8GB</v>
      </c>
    </row>
    <row r="733" spans="1:9" hidden="1" x14ac:dyDescent="0.35">
      <c r="A733" t="s">
        <v>9</v>
      </c>
      <c r="B733" t="s">
        <v>110</v>
      </c>
      <c r="C733">
        <v>10490000</v>
      </c>
      <c r="D733">
        <v>9890000</v>
      </c>
      <c r="E733" t="s">
        <v>111</v>
      </c>
      <c r="F733" t="s">
        <v>1051</v>
      </c>
      <c r="G733" t="str">
        <f>_xlfn.TEXTJOIN(",",TRUE,_xlfn._xlws.FILTER(GPU_brand[GPU brand], (GPU_brand[GPU brand text]&lt;&gt;"") * ISNUMBER(SEARCH(GPU_brand[GPU brand text], B733)), ""))</f>
        <v>MSI</v>
      </c>
      <c r="H733" t="str">
        <f>_xlfn.TEXTJOIN(",",TRUE,_xlfn._xlws.FILTER(Chipset_Table[Chipset], (Chipset_Table[Chipset text]&lt;&gt;"") * ISNUMBER(SEARCH(Chipset_Table[Chipset text], B733)), ""))</f>
        <v>GeForce RTX 5060</v>
      </c>
      <c r="I733" t="str">
        <f>_xlfn.TEXTJOIN(",",TRUE,_xlfn._xlws.FILTER(VRAM_table[Video memory], (VRAM_table[Video memory text]&lt;&gt;"") * ISNUMBER(SEARCH(VRAM_table[Video memory text], B733)), ""))</f>
        <v>8GB,8GB</v>
      </c>
    </row>
    <row r="734" spans="1:9" hidden="1" x14ac:dyDescent="0.35">
      <c r="A734" t="s">
        <v>9</v>
      </c>
      <c r="B734" t="s">
        <v>106</v>
      </c>
      <c r="C734">
        <v>8990000</v>
      </c>
      <c r="D734">
        <v>8790000</v>
      </c>
      <c r="E734" t="s">
        <v>107</v>
      </c>
      <c r="F734" t="s">
        <v>1051</v>
      </c>
      <c r="G734" t="str">
        <f>_xlfn.TEXTJOIN(",",TRUE,_xlfn._xlws.FILTER(GPU_brand[GPU brand], (GPU_brand[GPU brand text]&lt;&gt;"") * ISNUMBER(SEARCH(GPU_brand[GPU brand text], B734)), ""))</f>
        <v>MSI</v>
      </c>
      <c r="H734" t="str">
        <f>_xlfn.TEXTJOIN(",",TRUE,_xlfn._xlws.FILTER(Chipset_Table[Chipset], (Chipset_Table[Chipset text]&lt;&gt;"") * ISNUMBER(SEARCH(Chipset_Table[Chipset text], B734)), ""))</f>
        <v>GEFORCE RTX 5050,RTX 5050</v>
      </c>
      <c r="I734" t="str">
        <f>_xlfn.TEXTJOIN(",",TRUE,_xlfn._xlws.FILTER(VRAM_table[Video memory], (VRAM_table[Video memory text]&lt;&gt;"") * ISNUMBER(SEARCH(VRAM_table[Video memory text], B734)), ""))</f>
        <v>8GB,8GB</v>
      </c>
    </row>
    <row r="735" spans="1:9" hidden="1" x14ac:dyDescent="0.35">
      <c r="A735" t="s">
        <v>9</v>
      </c>
      <c r="B735" t="s">
        <v>104</v>
      </c>
      <c r="C735">
        <v>8590000</v>
      </c>
      <c r="D735">
        <v>8390000</v>
      </c>
      <c r="E735" t="s">
        <v>105</v>
      </c>
      <c r="F735" t="s">
        <v>1051</v>
      </c>
      <c r="G735" t="str">
        <f>_xlfn.TEXTJOIN(",",TRUE,_xlfn._xlws.FILTER(GPU_brand[GPU brand], (GPU_brand[GPU brand text]&lt;&gt;"") * ISNUMBER(SEARCH(GPU_brand[GPU brand text], B735)), ""))</f>
        <v>MSI</v>
      </c>
      <c r="H735" t="str">
        <f>_xlfn.TEXTJOIN(",",TRUE,_xlfn._xlws.FILTER(Chipset_Table[Chipset], (Chipset_Table[Chipset text]&lt;&gt;"") * ISNUMBER(SEARCH(Chipset_Table[Chipset text], B735)), ""))</f>
        <v>GEFORCE RTX 5050,RTX 5050</v>
      </c>
      <c r="I735" t="str">
        <f>_xlfn.TEXTJOIN(",",TRUE,_xlfn._xlws.FILTER(VRAM_table[Video memory], (VRAM_table[Video memory text]&lt;&gt;"") * ISNUMBER(SEARCH(VRAM_table[Video memory text], B735)), ""))</f>
        <v>8GB,8GB</v>
      </c>
    </row>
    <row r="736" spans="1:9" hidden="1" x14ac:dyDescent="0.35">
      <c r="A736" t="s">
        <v>9</v>
      </c>
      <c r="B736" t="s">
        <v>102</v>
      </c>
      <c r="C736">
        <v>7890000</v>
      </c>
      <c r="D736">
        <v>7490000</v>
      </c>
      <c r="E736" t="s">
        <v>103</v>
      </c>
      <c r="F736" t="s">
        <v>1051</v>
      </c>
      <c r="G736" t="str">
        <f>_xlfn.TEXTJOIN(",",TRUE,_xlfn._xlws.FILTER(GPU_brand[GPU brand], (GPU_brand[GPU brand text]&lt;&gt;"") * ISNUMBER(SEARCH(GPU_brand[GPU brand text], B736)), ""))</f>
        <v>MSI</v>
      </c>
      <c r="H736" t="str">
        <f>_xlfn.TEXTJOIN(",",TRUE,_xlfn._xlws.FILTER(Chipset_Table[Chipset], (Chipset_Table[Chipset text]&lt;&gt;"") * ISNUMBER(SEARCH(Chipset_Table[Chipset text], B736)), ""))</f>
        <v>GEFORCE RTX 5050,RTX 5050</v>
      </c>
      <c r="I736" t="str">
        <f>_xlfn.TEXTJOIN(",",TRUE,_xlfn._xlws.FILTER(VRAM_table[Video memory], (VRAM_table[Video memory text]&lt;&gt;"") * ISNUMBER(SEARCH(VRAM_table[Video memory text], B736)), ""))</f>
        <v>8GB,8GB</v>
      </c>
    </row>
    <row r="737" spans="1:9" hidden="1" x14ac:dyDescent="0.35">
      <c r="A737" t="s">
        <v>9</v>
      </c>
      <c r="B737" t="s">
        <v>88</v>
      </c>
      <c r="C737">
        <v>8290000</v>
      </c>
      <c r="D737">
        <v>7890000</v>
      </c>
      <c r="E737" t="s">
        <v>89</v>
      </c>
      <c r="F737" t="s">
        <v>1051</v>
      </c>
      <c r="G737" t="str">
        <f>_xlfn.TEXTJOIN(",",TRUE,_xlfn._xlws.FILTER(GPU_brand[GPU brand], (GPU_brand[GPU brand text]&lt;&gt;"") * ISNUMBER(SEARCH(GPU_brand[GPU brand text], B737)), ""))</f>
        <v>ASUS</v>
      </c>
      <c r="H737" t="str">
        <f>_xlfn.TEXTJOIN(",",TRUE,_xlfn._xlws.FILTER(Chipset_Table[Chipset], (Chipset_Table[Chipset text]&lt;&gt;"") * ISNUMBER(SEARCH(Chipset_Table[Chipset text], B737)), ""))</f>
        <v>GEFORCE RTX 5050,RTX 5050</v>
      </c>
      <c r="I737" t="str">
        <f>_xlfn.TEXTJOIN(",",TRUE,_xlfn._xlws.FILTER(VRAM_table[Video memory], (VRAM_table[Video memory text]&lt;&gt;"") * ISNUMBER(SEARCH(VRAM_table[Video memory text], B737)), ""))</f>
        <v>8GB,8GB</v>
      </c>
    </row>
    <row r="738" spans="1:9" hidden="1" x14ac:dyDescent="0.35">
      <c r="A738" t="s">
        <v>9</v>
      </c>
      <c r="B738" t="s">
        <v>96</v>
      </c>
      <c r="C738">
        <v>9290000</v>
      </c>
      <c r="D738">
        <v>7490000</v>
      </c>
      <c r="E738" t="s">
        <v>97</v>
      </c>
      <c r="F738" t="s">
        <v>1051</v>
      </c>
      <c r="G738" t="str">
        <f>_xlfn.TEXTJOIN(",",TRUE,_xlfn._xlws.FILTER(GPU_brand[GPU brand], (GPU_brand[GPU brand text]&lt;&gt;"") * ISNUMBER(SEARCH(GPU_brand[GPU brand text], B738)), ""))</f>
        <v>ASUS</v>
      </c>
      <c r="H738" t="str">
        <f>_xlfn.TEXTJOIN(",",TRUE,_xlfn._xlws.FILTER(Chipset_Table[Chipset], (Chipset_Table[Chipset text]&lt;&gt;"") * ISNUMBER(SEARCH(Chipset_Table[Chipset text], B738)), ""))</f>
        <v>GEFORCE RTX 5050,RTX 5050</v>
      </c>
      <c r="I738" t="str">
        <f>_xlfn.TEXTJOIN(",",TRUE,_xlfn._xlws.FILTER(VRAM_table[Video memory], (VRAM_table[Video memory text]&lt;&gt;"") * ISNUMBER(SEARCH(VRAM_table[Video memory text], B738)), ""))</f>
        <v>8GB,8GB</v>
      </c>
    </row>
    <row r="739" spans="1:9" hidden="1" x14ac:dyDescent="0.35">
      <c r="A739" t="s">
        <v>9</v>
      </c>
      <c r="B739" t="s">
        <v>94</v>
      </c>
      <c r="C739">
        <v>9890000</v>
      </c>
      <c r="D739">
        <v>8690000</v>
      </c>
      <c r="E739" t="s">
        <v>95</v>
      </c>
      <c r="F739" t="s">
        <v>1051</v>
      </c>
      <c r="G739" t="str">
        <f>_xlfn.TEXTJOIN(",",TRUE,_xlfn._xlws.FILTER(GPU_brand[GPU brand], (GPU_brand[GPU brand text]&lt;&gt;"") * ISNUMBER(SEARCH(GPU_brand[GPU brand text], B739)), ""))</f>
        <v>ASUS</v>
      </c>
      <c r="H739" t="str">
        <f>_xlfn.TEXTJOIN(",",TRUE,_xlfn._xlws.FILTER(Chipset_Table[Chipset], (Chipset_Table[Chipset text]&lt;&gt;"") * ISNUMBER(SEARCH(Chipset_Table[Chipset text], B739)), ""))</f>
        <v>GEFORCE RTX 5050,RTX 5050</v>
      </c>
      <c r="I739" t="str">
        <f>_xlfn.TEXTJOIN(",",TRUE,_xlfn._xlws.FILTER(VRAM_table[Video memory], (VRAM_table[Video memory text]&lt;&gt;"") * ISNUMBER(SEARCH(VRAM_table[Video memory text], B739)), ""))</f>
        <v>8GB,8GB</v>
      </c>
    </row>
    <row r="740" spans="1:9" hidden="1" x14ac:dyDescent="0.35">
      <c r="A740" t="s">
        <v>9</v>
      </c>
      <c r="B740" t="s">
        <v>90</v>
      </c>
      <c r="C740">
        <v>9590000</v>
      </c>
      <c r="D740">
        <v>9390000</v>
      </c>
      <c r="E740" t="s">
        <v>91</v>
      </c>
      <c r="F740" t="s">
        <v>1051</v>
      </c>
      <c r="G740" t="str">
        <f>_xlfn.TEXTJOIN(",",TRUE,_xlfn._xlws.FILTER(GPU_brand[GPU brand], (GPU_brand[GPU brand text]&lt;&gt;"") * ISNUMBER(SEARCH(GPU_brand[GPU brand text], B740)), ""))</f>
        <v>ASUS</v>
      </c>
      <c r="H740" t="str">
        <f>_xlfn.TEXTJOIN(",",TRUE,_xlfn._xlws.FILTER(Chipset_Table[Chipset], (Chipset_Table[Chipset text]&lt;&gt;"") * ISNUMBER(SEARCH(Chipset_Table[Chipset text], B740)), ""))</f>
        <v>GEFORCE RTX 5050,RTX 5050</v>
      </c>
      <c r="I740" t="str">
        <f>_xlfn.TEXTJOIN(",",TRUE,_xlfn._xlws.FILTER(VRAM_table[Video memory], (VRAM_table[Video memory text]&lt;&gt;"") * ISNUMBER(SEARCH(VRAM_table[Video memory text], B740)), ""))</f>
        <v>8GB,8GB</v>
      </c>
    </row>
    <row r="741" spans="1:9" hidden="1" x14ac:dyDescent="0.35">
      <c r="A741" t="s">
        <v>9</v>
      </c>
      <c r="B741" t="s">
        <v>84</v>
      </c>
      <c r="C741">
        <v>114990000</v>
      </c>
      <c r="D741">
        <v>102990000</v>
      </c>
      <c r="E741" t="s">
        <v>85</v>
      </c>
      <c r="F741" t="s">
        <v>1051</v>
      </c>
      <c r="G741" t="str">
        <f>_xlfn.TEXTJOIN(",",TRUE,_xlfn._xlws.FILTER(GPU_brand[GPU brand], (GPU_brand[GPU brand text]&lt;&gt;"") * ISNUMBER(SEARCH(GPU_brand[GPU brand text], B741)), ""))</f>
        <v>ASUS</v>
      </c>
      <c r="H741" t="str">
        <f>_xlfn.TEXTJOIN(",",TRUE,_xlfn._xlws.FILTER(Chipset_Table[Chipset], (Chipset_Table[Chipset text]&lt;&gt;"") * ISNUMBER(SEARCH(Chipset_Table[Chipset text], B741)), ""))</f>
        <v>GeForce RTX 5090</v>
      </c>
      <c r="I741" t="str">
        <f>_xlfn.TEXTJOIN(",",TRUE,_xlfn._xlws.FILTER(VRAM_table[Video memory], (VRAM_table[Video memory text]&lt;&gt;"") * ISNUMBER(SEARCH(VRAM_table[Video memory text], B741)), ""))</f>
        <v>32GB,32GB,2GB</v>
      </c>
    </row>
    <row r="742" spans="1:9" hidden="1" x14ac:dyDescent="0.35">
      <c r="A742" t="s">
        <v>9</v>
      </c>
      <c r="B742" t="s">
        <v>100</v>
      </c>
      <c r="C742">
        <v>9490000</v>
      </c>
      <c r="D742">
        <v>8890000</v>
      </c>
      <c r="E742" t="s">
        <v>101</v>
      </c>
      <c r="F742" t="s">
        <v>1051</v>
      </c>
      <c r="G742" t="str">
        <f>_xlfn.TEXTJOIN(",",TRUE,_xlfn._xlws.FILTER(GPU_brand[GPU brand], (GPU_brand[GPU brand text]&lt;&gt;"") * ISNUMBER(SEARCH(GPU_brand[GPU brand text], B742)), ""))</f>
        <v>Gigabyte</v>
      </c>
      <c r="H742" t="str">
        <f>_xlfn.TEXTJOIN(",",TRUE,_xlfn._xlws.FILTER(Chipset_Table[Chipset], (Chipset_Table[Chipset text]&lt;&gt;"") * ISNUMBER(SEARCH(Chipset_Table[Chipset text], B742)), ""))</f>
        <v>GEFORCE RTX 5050,RTX 5050</v>
      </c>
      <c r="I742" t="str">
        <f>_xlfn.TEXTJOIN(",",TRUE,_xlfn._xlws.FILTER(VRAM_table[Video memory], (VRAM_table[Video memory text]&lt;&gt;"") * ISNUMBER(SEARCH(VRAM_table[Video memory text], B742)), ""))</f>
        <v>8GB,8GB</v>
      </c>
    </row>
    <row r="743" spans="1:9" hidden="1" x14ac:dyDescent="0.35">
      <c r="A743" t="s">
        <v>9</v>
      </c>
      <c r="B743" t="s">
        <v>98</v>
      </c>
      <c r="C743">
        <v>8690000</v>
      </c>
      <c r="D743">
        <v>8390000</v>
      </c>
      <c r="E743" t="s">
        <v>99</v>
      </c>
      <c r="F743" t="s">
        <v>1051</v>
      </c>
      <c r="G743" t="str">
        <f>_xlfn.TEXTJOIN(",",TRUE,_xlfn._xlws.FILTER(GPU_brand[GPU brand], (GPU_brand[GPU brand text]&lt;&gt;"") * ISNUMBER(SEARCH(GPU_brand[GPU brand text], B743)), ""))</f>
        <v>Gigabyte</v>
      </c>
      <c r="H743" t="str">
        <f>_xlfn.TEXTJOIN(",",TRUE,_xlfn._xlws.FILTER(Chipset_Table[Chipset], (Chipset_Table[Chipset text]&lt;&gt;"") * ISNUMBER(SEARCH(Chipset_Table[Chipset text], B743)), ""))</f>
        <v>GEFORCE RTX 5050,RTX 5050</v>
      </c>
      <c r="I743" t="str">
        <f>_xlfn.TEXTJOIN(",",TRUE,_xlfn._xlws.FILTER(VRAM_table[Video memory], (VRAM_table[Video memory text]&lt;&gt;"") * ISNUMBER(SEARCH(VRAM_table[Video memory text], B743)), ""))</f>
        <v>8GB,8GB</v>
      </c>
    </row>
    <row r="744" spans="1:9" hidden="1" x14ac:dyDescent="0.35">
      <c r="A744" t="s">
        <v>9</v>
      </c>
      <c r="B744" t="s">
        <v>92</v>
      </c>
      <c r="C744">
        <v>31990000</v>
      </c>
      <c r="D744">
        <v>29490000</v>
      </c>
      <c r="E744" t="s">
        <v>93</v>
      </c>
      <c r="F744" t="s">
        <v>1051</v>
      </c>
      <c r="G744" t="str">
        <f>_xlfn.TEXTJOIN(",",TRUE,_xlfn._xlws.FILTER(GPU_brand[GPU brand], (GPU_brand[GPU brand text]&lt;&gt;"") * ISNUMBER(SEARCH(GPU_brand[GPU brand text], B744)), ""))</f>
        <v>MSI</v>
      </c>
      <c r="H744" t="str">
        <f>_xlfn.TEXTJOIN(",",TRUE,_xlfn._xlws.FILTER(Chipset_Table[Chipset], (Chipset_Table[Chipset text]&lt;&gt;"") * ISNUMBER(SEARCH(Chipset_Table[Chipset text], B744)), ""))</f>
        <v>GeForce RTX 5070,GeForce RTX 5070 Ti,RTX 5070</v>
      </c>
      <c r="I744" t="str">
        <f>_xlfn.TEXTJOIN(",",TRUE,_xlfn._xlws.FILTER(VRAM_table[Video memory], (VRAM_table[Video memory text]&lt;&gt;"") * ISNUMBER(SEARCH(VRAM_table[Video memory text], B744)), ""))</f>
        <v>16GB,6GB</v>
      </c>
    </row>
    <row r="745" spans="1:9" hidden="1" x14ac:dyDescent="0.35">
      <c r="A745" t="s">
        <v>9</v>
      </c>
      <c r="B745" t="s">
        <v>78</v>
      </c>
      <c r="C745">
        <v>0</v>
      </c>
      <c r="D745">
        <v>32990000</v>
      </c>
      <c r="E745" t="s">
        <v>79</v>
      </c>
      <c r="F745" t="s">
        <v>1051</v>
      </c>
      <c r="G745" t="str">
        <f>_xlfn.TEXTJOIN(",",TRUE,_xlfn._xlws.FILTER(GPU_brand[GPU brand], (GPU_brand[GPU brand text]&lt;&gt;"") * ISNUMBER(SEARCH(GPU_brand[GPU brand text], B745)), ""))</f>
        <v>MSI</v>
      </c>
      <c r="H745" t="str">
        <f>_xlfn.TEXTJOIN(",",TRUE,_xlfn._xlws.FILTER(Chipset_Table[Chipset], (Chipset_Table[Chipset text]&lt;&gt;"") * ISNUMBER(SEARCH(Chipset_Table[Chipset text], B745)), ""))</f>
        <v>GeForce RTX 5070,GeForce RTX 5070 Ti,RTX 5070</v>
      </c>
      <c r="I745" t="str">
        <f>_xlfn.TEXTJOIN(",",TRUE,_xlfn._xlws.FILTER(VRAM_table[Video memory], (VRAM_table[Video memory text]&lt;&gt;"") * ISNUMBER(SEARCH(VRAM_table[Video memory text], B745)), ""))</f>
        <v>16GB,6GB</v>
      </c>
    </row>
    <row r="746" spans="1:9" hidden="1" x14ac:dyDescent="0.35">
      <c r="A746" t="s">
        <v>9</v>
      </c>
      <c r="B746" t="s">
        <v>80</v>
      </c>
      <c r="C746">
        <v>0</v>
      </c>
      <c r="D746">
        <v>54120000</v>
      </c>
      <c r="E746" t="s">
        <v>81</v>
      </c>
      <c r="F746" t="s">
        <v>1051</v>
      </c>
      <c r="G746" t="str">
        <f>_xlfn.TEXTJOIN(",",TRUE,_xlfn._xlws.FILTER(GPU_brand[GPU brand], (GPU_brand[GPU brand text]&lt;&gt;"") * ISNUMBER(SEARCH(GPU_brand[GPU brand text], B746)), ""))</f>
        <v>ASUS</v>
      </c>
      <c r="H746" t="str">
        <f>_xlfn.TEXTJOIN(",",TRUE,_xlfn._xlws.FILTER(Chipset_Table[Chipset], (Chipset_Table[Chipset text]&lt;&gt;"") * ISNUMBER(SEARCH(Chipset_Table[Chipset text], B746)), ""))</f>
        <v>GeForce RTX 5080,RTX 5080</v>
      </c>
      <c r="I746" t="str">
        <f>_xlfn.TEXTJOIN(",",TRUE,_xlfn._xlws.FILTER(VRAM_table[Video memory], (VRAM_table[Video memory text]&lt;&gt;"") * ISNUMBER(SEARCH(VRAM_table[Video memory text], B746)), ""))</f>
        <v>16GB,16GB,6GB,6GB</v>
      </c>
    </row>
    <row r="747" spans="1:9" hidden="1" x14ac:dyDescent="0.35">
      <c r="A747" t="s">
        <v>9</v>
      </c>
      <c r="B747" t="s">
        <v>116</v>
      </c>
      <c r="C747">
        <v>33990000</v>
      </c>
      <c r="D747">
        <v>32490000</v>
      </c>
      <c r="E747" t="s">
        <v>117</v>
      </c>
      <c r="F747" t="s">
        <v>1051</v>
      </c>
      <c r="G747" t="str">
        <f>_xlfn.TEXTJOIN(",",TRUE,_xlfn._xlws.FILTER(GPU_brand[GPU brand], (GPU_brand[GPU brand text]&lt;&gt;"") * ISNUMBER(SEARCH(GPU_brand[GPU brand text], B747)), ""))</f>
        <v>MSI</v>
      </c>
      <c r="H747" t="str">
        <f>_xlfn.TEXTJOIN(",",TRUE,_xlfn._xlws.FILTER(Chipset_Table[Chipset], (Chipset_Table[Chipset text]&lt;&gt;"") * ISNUMBER(SEARCH(Chipset_Table[Chipset text], B747)), ""))</f>
        <v>GeForce RTX 5070,GeForce RTX 5070 Ti,RTX 5070</v>
      </c>
      <c r="I747" t="str">
        <f>_xlfn.TEXTJOIN(",",TRUE,_xlfn._xlws.FILTER(VRAM_table[Video memory], (VRAM_table[Video memory text]&lt;&gt;"") * ISNUMBER(SEARCH(VRAM_table[Video memory text], B747)), ""))</f>
        <v>16GB,6GB</v>
      </c>
    </row>
    <row r="748" spans="1:9" hidden="1" x14ac:dyDescent="0.35">
      <c r="A748" t="s">
        <v>9</v>
      </c>
      <c r="B748" t="s">
        <v>128</v>
      </c>
      <c r="C748">
        <v>10990000</v>
      </c>
      <c r="D748">
        <v>10490000</v>
      </c>
      <c r="E748" t="s">
        <v>129</v>
      </c>
      <c r="F748" t="s">
        <v>1051</v>
      </c>
      <c r="G748" t="str">
        <f>_xlfn.TEXTJOIN(",",TRUE,_xlfn._xlws.FILTER(GPU_brand[GPU brand], (GPU_brand[GPU brand text]&lt;&gt;"") * ISNUMBER(SEARCH(GPU_brand[GPU brand text], B748)), ""))</f>
        <v>Gigabyte</v>
      </c>
      <c r="H748" t="str">
        <f>_xlfn.TEXTJOIN(",",TRUE,_xlfn._xlws.FILTER(Chipset_Table[Chipset], (Chipset_Table[Chipset text]&lt;&gt;"") * ISNUMBER(SEARCH(Chipset_Table[Chipset text], B748)), ""))</f>
        <v>GeForce RTX 5060</v>
      </c>
      <c r="I748" t="str">
        <f>_xlfn.TEXTJOIN(",",TRUE,_xlfn._xlws.FILTER(VRAM_table[Video memory], (VRAM_table[Video memory text]&lt;&gt;"") * ISNUMBER(SEARCH(VRAM_table[Video memory text], B748)), ""))</f>
        <v>8GB,8GB</v>
      </c>
    </row>
    <row r="749" spans="1:9" hidden="1" x14ac:dyDescent="0.35">
      <c r="A749" t="s">
        <v>9</v>
      </c>
      <c r="B749" t="s">
        <v>126</v>
      </c>
      <c r="C749">
        <v>0</v>
      </c>
      <c r="D749">
        <v>9990000</v>
      </c>
      <c r="E749" t="s">
        <v>127</v>
      </c>
      <c r="F749" t="s">
        <v>1051</v>
      </c>
      <c r="G749" t="str">
        <f>_xlfn.TEXTJOIN(",",TRUE,_xlfn._xlws.FILTER(GPU_brand[GPU brand], (GPU_brand[GPU brand text]&lt;&gt;"") * ISNUMBER(SEARCH(GPU_brand[GPU brand text], B749)), ""))</f>
        <v>Gigabyte</v>
      </c>
      <c r="H749" t="str">
        <f>_xlfn.TEXTJOIN(",",TRUE,_xlfn._xlws.FILTER(Chipset_Table[Chipset], (Chipset_Table[Chipset text]&lt;&gt;"") * ISNUMBER(SEARCH(Chipset_Table[Chipset text], B749)), ""))</f>
        <v>GeForce RTX 5060</v>
      </c>
      <c r="I749" t="str">
        <f>_xlfn.TEXTJOIN(",",TRUE,_xlfn._xlws.FILTER(VRAM_table[Video memory], (VRAM_table[Video memory text]&lt;&gt;"") * ISNUMBER(SEARCH(VRAM_table[Video memory text], B749)), ""))</f>
        <v>8GB,8GB</v>
      </c>
    </row>
    <row r="750" spans="1:9" hidden="1" x14ac:dyDescent="0.35">
      <c r="A750" t="s">
        <v>9</v>
      </c>
      <c r="B750" t="s">
        <v>38</v>
      </c>
      <c r="C750">
        <v>53990000</v>
      </c>
      <c r="D750">
        <v>49990000</v>
      </c>
      <c r="E750" t="s">
        <v>39</v>
      </c>
      <c r="F750" t="s">
        <v>1051</v>
      </c>
      <c r="G750" t="str">
        <f>_xlfn.TEXTJOIN(",",TRUE,_xlfn._xlws.FILTER(GPU_brand[GPU brand], (GPU_brand[GPU brand text]&lt;&gt;"") * ISNUMBER(SEARCH(GPU_brand[GPU brand text], B750)), ""))</f>
        <v>MSI</v>
      </c>
      <c r="H750" t="str">
        <f>_xlfn.TEXTJOIN(",",TRUE,_xlfn._xlws.FILTER(Chipset_Table[Chipset], (Chipset_Table[Chipset text]&lt;&gt;"") * ISNUMBER(SEARCH(Chipset_Table[Chipset text], B750)), ""))</f>
        <v>GeForce RTX 5080,RTX 5080</v>
      </c>
      <c r="I750" t="str">
        <f>_xlfn.TEXTJOIN(",",TRUE,_xlfn._xlws.FILTER(VRAM_table[Video memory], (VRAM_table[Video memory text]&lt;&gt;"") * ISNUMBER(SEARCH(VRAM_table[Video memory text], B750)), ""))</f>
        <v>16GB,6GB</v>
      </c>
    </row>
    <row r="751" spans="1:9" hidden="1" x14ac:dyDescent="0.35">
      <c r="A751" t="s">
        <v>9</v>
      </c>
      <c r="B751" t="s">
        <v>363</v>
      </c>
      <c r="C751">
        <v>22990000</v>
      </c>
      <c r="D751">
        <v>19990000</v>
      </c>
      <c r="E751" t="s">
        <v>364</v>
      </c>
      <c r="F751" t="s">
        <v>1051</v>
      </c>
      <c r="G751" t="str">
        <f>_xlfn.TEXTJOIN(",",TRUE,_xlfn._xlws.FILTER(GPU_brand[GPU brand], (GPU_brand[GPU brand text]&lt;&gt;"") * ISNUMBER(SEARCH(GPU_brand[GPU brand text], B751)), ""))</f>
        <v>Gigabyte</v>
      </c>
      <c r="H751" t="str">
        <f>_xlfn.TEXTJOIN(",",TRUE,_xlfn._xlws.FILTER(Chipset_Table[Chipset], (Chipset_Table[Chipset text]&lt;&gt;"") * ISNUMBER(SEARCH(Chipset_Table[Chipset text], B751)), ""))</f>
        <v>RX 9070</v>
      </c>
      <c r="I751" t="str">
        <f>_xlfn.TEXTJOIN(",",TRUE,_xlfn._xlws.FILTER(VRAM_table[Video memory], (VRAM_table[Video memory text]&lt;&gt;"") * ISNUMBER(SEARCH(VRAM_table[Video memory text], B751)), ""))</f>
        <v>16GB,6GB</v>
      </c>
    </row>
    <row r="752" spans="1:9" hidden="1" x14ac:dyDescent="0.35">
      <c r="A752" t="s">
        <v>9</v>
      </c>
      <c r="B752" t="s">
        <v>365</v>
      </c>
      <c r="C752">
        <v>24990000</v>
      </c>
      <c r="D752">
        <v>23490000</v>
      </c>
      <c r="E752" t="s">
        <v>366</v>
      </c>
      <c r="F752" t="s">
        <v>1051</v>
      </c>
      <c r="G752" t="str">
        <f>_xlfn.TEXTJOIN(",",TRUE,_xlfn._xlws.FILTER(GPU_brand[GPU brand], (GPU_brand[GPU brand text]&lt;&gt;"") * ISNUMBER(SEARCH(GPU_brand[GPU brand text], B752)), ""))</f>
        <v>ASUS</v>
      </c>
      <c r="H752" t="str">
        <f>_xlfn.TEXTJOIN(",",TRUE,_xlfn._xlws.FILTER(Chipset_Table[Chipset], (Chipset_Table[Chipset text]&lt;&gt;"") * ISNUMBER(SEARCH(Chipset_Table[Chipset text], B752)), ""))</f>
        <v>RX 9070</v>
      </c>
      <c r="I752" t="str">
        <f>_xlfn.TEXTJOIN(",",TRUE,_xlfn._xlws.FILTER(VRAM_table[Video memory], (VRAM_table[Video memory text]&lt;&gt;"") * ISNUMBER(SEARCH(VRAM_table[Video memory text], B752)), ""))</f>
        <v>16GB,16GB,6GB,6GB</v>
      </c>
    </row>
    <row r="753" spans="1:9" hidden="1" x14ac:dyDescent="0.35">
      <c r="A753" t="s">
        <v>9</v>
      </c>
      <c r="B753" t="s">
        <v>367</v>
      </c>
      <c r="C753">
        <v>5990000</v>
      </c>
      <c r="D753">
        <v>4890000</v>
      </c>
      <c r="E753" t="s">
        <v>368</v>
      </c>
      <c r="F753" t="s">
        <v>1051</v>
      </c>
      <c r="G753" t="str">
        <f>_xlfn.TEXTJOIN(",",TRUE,_xlfn._xlws.FILTER(GPU_brand[GPU brand], (GPU_brand[GPU brand text]&lt;&gt;"") * ISNUMBER(SEARCH(GPU_brand[GPU brand text], B753)), ""))</f>
        <v>MSI</v>
      </c>
      <c r="H753" t="str">
        <f>_xlfn.TEXTJOIN(",",TRUE,_xlfn._xlws.FILTER(Chipset_Table[Chipset], (Chipset_Table[Chipset text]&lt;&gt;"") * ISNUMBER(SEARCH(Chipset_Table[Chipset text], B753)), ""))</f>
        <v>GeForce RTX 3050</v>
      </c>
      <c r="I753" t="str">
        <f>_xlfn.TEXTJOIN(",",TRUE,_xlfn._xlws.FILTER(VRAM_table[Video memory], (VRAM_table[Video memory text]&lt;&gt;"") * ISNUMBER(SEARCH(VRAM_table[Video memory text], B753)), ""))</f>
        <v>6GB</v>
      </c>
    </row>
    <row r="754" spans="1:9" hidden="1" x14ac:dyDescent="0.35">
      <c r="A754" t="s">
        <v>9</v>
      </c>
      <c r="B754" t="s">
        <v>369</v>
      </c>
      <c r="C754">
        <v>0</v>
      </c>
      <c r="D754">
        <v>20490000</v>
      </c>
      <c r="E754" t="s">
        <v>370</v>
      </c>
      <c r="F754" t="s">
        <v>1051</v>
      </c>
      <c r="G754" t="str">
        <f>_xlfn.TEXTJOIN(",",TRUE,_xlfn._xlws.FILTER(GPU_brand[GPU brand], (GPU_brand[GPU brand text]&lt;&gt;"") * ISNUMBER(SEARCH(GPU_brand[GPU brand text], B754)), ""))</f>
        <v>MSI</v>
      </c>
      <c r="H754" t="str">
        <f>_xlfn.TEXTJOIN(",",TRUE,_xlfn._xlws.FILTER(Chipset_Table[Chipset], (Chipset_Table[Chipset text]&lt;&gt;"") * ISNUMBER(SEARCH(Chipset_Table[Chipset text], B754)), ""))</f>
        <v>GeForce RTX 4070 SUPER,GeForce RTX 4070</v>
      </c>
      <c r="I754" t="str">
        <f>_xlfn.TEXTJOIN(",",TRUE,_xlfn._xlws.FILTER(VRAM_table[Video memory], (VRAM_table[Video memory text]&lt;&gt;"") * ISNUMBER(SEARCH(VRAM_table[Video memory text], B754)), ""))</f>
        <v>12GB,2GB</v>
      </c>
    </row>
    <row r="755" spans="1:9" hidden="1" x14ac:dyDescent="0.35">
      <c r="A755" t="s">
        <v>9</v>
      </c>
      <c r="B755" t="s">
        <v>371</v>
      </c>
      <c r="C755">
        <v>66990000</v>
      </c>
      <c r="D755">
        <v>62990000</v>
      </c>
      <c r="E755" t="s">
        <v>372</v>
      </c>
      <c r="F755" t="s">
        <v>1051</v>
      </c>
      <c r="G755" t="str">
        <f>_xlfn.TEXTJOIN(",",TRUE,_xlfn._xlws.FILTER(GPU_brand[GPU brand], (GPU_brand[GPU brand text]&lt;&gt;"") * ISNUMBER(SEARCH(GPU_brand[GPU brand text], B755)), ""))</f>
        <v>ASUS</v>
      </c>
      <c r="H755" t="str">
        <f>_xlfn.TEXTJOIN(",",TRUE,_xlfn._xlws.FILTER(Chipset_Table[Chipset], (Chipset_Table[Chipset text]&lt;&gt;"") * ISNUMBER(SEARCH(Chipset_Table[Chipset text], B755)), ""))</f>
        <v>GeForce RTX 4090</v>
      </c>
      <c r="I755" t="str">
        <f>_xlfn.TEXTJOIN(",",TRUE,_xlfn._xlws.FILTER(VRAM_table[Video memory], (VRAM_table[Video memory text]&lt;&gt;"") * ISNUMBER(SEARCH(VRAM_table[Video memory text], B755)), ""))</f>
        <v>4GB,24GB,4GB</v>
      </c>
    </row>
    <row r="756" spans="1:9" hidden="1" x14ac:dyDescent="0.35">
      <c r="A756" t="s">
        <v>9</v>
      </c>
      <c r="B756" t="s">
        <v>374</v>
      </c>
      <c r="C756">
        <v>0</v>
      </c>
      <c r="D756">
        <v>12990000</v>
      </c>
      <c r="E756" t="s">
        <v>375</v>
      </c>
      <c r="F756" t="s">
        <v>1051</v>
      </c>
      <c r="G756" t="str">
        <f>_xlfn.TEXTJOIN(",",TRUE,_xlfn._xlws.FILTER(GPU_brand[GPU brand], (GPU_brand[GPU brand text]&lt;&gt;"") * ISNUMBER(SEARCH(GPU_brand[GPU brand text], B756)), ""))</f>
        <v>ASUS</v>
      </c>
      <c r="H756" t="str">
        <f>_xlfn.TEXTJOIN(",",TRUE,_xlfn._xlws.FILTER(Chipset_Table[Chipset], (Chipset_Table[Chipset text]&lt;&gt;"") * ISNUMBER(SEARCH(Chipset_Table[Chipset text], B756)), ""))</f>
        <v>GeForce RTX 4060</v>
      </c>
      <c r="I756" t="str">
        <f>_xlfn.TEXTJOIN(",",TRUE,_xlfn._xlws.FILTER(VRAM_table[Video memory], (VRAM_table[Video memory text]&lt;&gt;"") * ISNUMBER(SEARCH(VRAM_table[Video memory text], B756)), ""))</f>
        <v>8GB,8GB</v>
      </c>
    </row>
    <row r="757" spans="1:9" hidden="1" x14ac:dyDescent="0.35">
      <c r="A757" t="s">
        <v>9</v>
      </c>
      <c r="B757" t="s">
        <v>376</v>
      </c>
      <c r="C757">
        <v>15990000</v>
      </c>
      <c r="D757">
        <v>14990000</v>
      </c>
      <c r="E757" t="s">
        <v>377</v>
      </c>
      <c r="F757" t="s">
        <v>1051</v>
      </c>
      <c r="G757" t="str">
        <f>_xlfn.TEXTJOIN(",",TRUE,_xlfn._xlws.FILTER(GPU_brand[GPU brand], (GPU_brand[GPU brand text]&lt;&gt;"") * ISNUMBER(SEARCH(GPU_brand[GPU brand text], B757)), ""))</f>
        <v>ASUS</v>
      </c>
      <c r="H757" t="str">
        <f>_xlfn.TEXTJOIN(",",TRUE,_xlfn._xlws.FILTER(Chipset_Table[Chipset], (Chipset_Table[Chipset text]&lt;&gt;"") * ISNUMBER(SEARCH(Chipset_Table[Chipset text], B757)), ""))</f>
        <v>GeForce RTX 4060</v>
      </c>
      <c r="I757" t="str">
        <f>_xlfn.TEXTJOIN(",",TRUE,_xlfn._xlws.FILTER(VRAM_table[Video memory], (VRAM_table[Video memory text]&lt;&gt;"") * ISNUMBER(SEARCH(VRAM_table[Video memory text], B757)), ""))</f>
        <v>16GB,16GB,6GB,6GB</v>
      </c>
    </row>
    <row r="758" spans="1:9" hidden="1" x14ac:dyDescent="0.35">
      <c r="A758" t="s">
        <v>9</v>
      </c>
      <c r="B758" t="s">
        <v>378</v>
      </c>
      <c r="C758">
        <v>5990000</v>
      </c>
      <c r="D758">
        <v>5490000</v>
      </c>
      <c r="E758" t="s">
        <v>379</v>
      </c>
      <c r="F758" t="s">
        <v>1051</v>
      </c>
      <c r="G758" t="str">
        <f>_xlfn.TEXTJOIN(",",TRUE,_xlfn._xlws.FILTER(GPU_brand[GPU brand], (GPU_brand[GPU brand text]&lt;&gt;"") * ISNUMBER(SEARCH(GPU_brand[GPU brand text], B758)), ""))</f>
        <v>ASUS</v>
      </c>
      <c r="H758" t="str">
        <f>_xlfn.TEXTJOIN(",",TRUE,_xlfn._xlws.FILTER(Chipset_Table[Chipset], (Chipset_Table[Chipset text]&lt;&gt;"") * ISNUMBER(SEARCH(Chipset_Table[Chipset text], B758)), ""))</f>
        <v>RX 6600</v>
      </c>
      <c r="I758" t="str">
        <f>_xlfn.TEXTJOIN(",",TRUE,_xlfn._xlws.FILTER(VRAM_table[Video memory], (VRAM_table[Video memory text]&lt;&gt;"") * ISNUMBER(SEARCH(VRAM_table[Video memory text], B758)), ""))</f>
        <v>8GB,8GB</v>
      </c>
    </row>
    <row r="759" spans="1:9" hidden="1" x14ac:dyDescent="0.35">
      <c r="A759" t="s">
        <v>9</v>
      </c>
      <c r="B759" t="s">
        <v>380</v>
      </c>
      <c r="C759">
        <v>14990000</v>
      </c>
      <c r="D759">
        <v>13990000</v>
      </c>
      <c r="E759" t="s">
        <v>381</v>
      </c>
      <c r="F759" t="s">
        <v>1051</v>
      </c>
      <c r="G759" t="str">
        <f>_xlfn.TEXTJOIN(",",TRUE,_xlfn._xlws.FILTER(GPU_brand[GPU brand], (GPU_brand[GPU brand text]&lt;&gt;"") * ISNUMBER(SEARCH(GPU_brand[GPU brand text], B759)), ""))</f>
        <v>MSI</v>
      </c>
      <c r="H759" t="str">
        <f>_xlfn.TEXTJOIN(",",TRUE,_xlfn._xlws.FILTER(Chipset_Table[Chipset], (Chipset_Table[Chipset text]&lt;&gt;"") * ISNUMBER(SEARCH(Chipset_Table[Chipset text], B759)), ""))</f>
        <v>GeForce RTX 4060</v>
      </c>
      <c r="I759" t="str">
        <f>_xlfn.TEXTJOIN(",",TRUE,_xlfn._xlws.FILTER(VRAM_table[Video memory], (VRAM_table[Video memory text]&lt;&gt;"") * ISNUMBER(SEARCH(VRAM_table[Video memory text], B759)), ""))</f>
        <v>8GB</v>
      </c>
    </row>
    <row r="760" spans="1:9" hidden="1" x14ac:dyDescent="0.35">
      <c r="A760" t="s">
        <v>9</v>
      </c>
      <c r="B760" t="s">
        <v>382</v>
      </c>
      <c r="C760">
        <v>31990000</v>
      </c>
      <c r="D760">
        <v>29490000</v>
      </c>
      <c r="E760" t="s">
        <v>383</v>
      </c>
      <c r="F760" t="s">
        <v>1051</v>
      </c>
      <c r="G760" t="str">
        <f>_xlfn.TEXTJOIN(",",TRUE,_xlfn._xlws.FILTER(GPU_brand[GPU brand], (GPU_brand[GPU brand text]&lt;&gt;"") * ISNUMBER(SEARCH(GPU_brand[GPU brand text], B760)), ""))</f>
        <v>ASUS</v>
      </c>
      <c r="H760" t="str">
        <f>_xlfn.TEXTJOIN(",",TRUE,_xlfn._xlws.FILTER(Chipset_Table[Chipset], (Chipset_Table[Chipset text]&lt;&gt;"") * ISNUMBER(SEARCH(Chipset_Table[Chipset text], B760)), ""))</f>
        <v>GeForce RTX 4070 Ti SUPER,GeForce RTX 4070</v>
      </c>
      <c r="I760" t="str">
        <f>_xlfn.TEXTJOIN(",",TRUE,_xlfn._xlws.FILTER(VRAM_table[Video memory], (VRAM_table[Video memory text]&lt;&gt;"") * ISNUMBER(SEARCH(VRAM_table[Video memory text], B760)), ""))</f>
        <v>16GB,16GB,6GB,6GB</v>
      </c>
    </row>
    <row r="761" spans="1:9" hidden="1" x14ac:dyDescent="0.35">
      <c r="A761" t="s">
        <v>9</v>
      </c>
      <c r="B761" t="s">
        <v>387</v>
      </c>
      <c r="C761">
        <v>29990000</v>
      </c>
      <c r="D761">
        <v>29190000</v>
      </c>
      <c r="E761" t="s">
        <v>388</v>
      </c>
      <c r="F761" t="s">
        <v>1051</v>
      </c>
      <c r="G761" t="str">
        <f>_xlfn.TEXTJOIN(",",TRUE,_xlfn._xlws.FILTER(GPU_brand[GPU brand], (GPU_brand[GPU brand text]&lt;&gt;"") * ISNUMBER(SEARCH(GPU_brand[GPU brand text], B761)), ""))</f>
        <v>ASUS</v>
      </c>
      <c r="H761" t="str">
        <f>_xlfn.TEXTJOIN(",",TRUE,_xlfn._xlws.FILTER(Chipset_Table[Chipset], (Chipset_Table[Chipset text]&lt;&gt;"") * ISNUMBER(SEARCH(Chipset_Table[Chipset text], B761)), ""))</f>
        <v>GeForce RTX 4070 Ti SUPER,GeForce RTX 4070</v>
      </c>
      <c r="I761" t="str">
        <f>_xlfn.TEXTJOIN(",",TRUE,_xlfn._xlws.FILTER(VRAM_table[Video memory], (VRAM_table[Video memory text]&lt;&gt;"") * ISNUMBER(SEARCH(VRAM_table[Video memory text], B761)), ""))</f>
        <v>16GB,16GB,6GB,6GB</v>
      </c>
    </row>
    <row r="762" spans="1:9" hidden="1" x14ac:dyDescent="0.35">
      <c r="A762" t="s">
        <v>9</v>
      </c>
      <c r="B762" t="s">
        <v>389</v>
      </c>
      <c r="C762">
        <v>5990000</v>
      </c>
      <c r="D762">
        <v>5090000</v>
      </c>
      <c r="E762" t="s">
        <v>390</v>
      </c>
      <c r="F762" t="s">
        <v>1051</v>
      </c>
      <c r="G762" t="str">
        <f>_xlfn.TEXTJOIN(",",TRUE,_xlfn._xlws.FILTER(GPU_brand[GPU brand], (GPU_brand[GPU brand text]&lt;&gt;"") * ISNUMBER(SEARCH(GPU_brand[GPU brand text], B762)), ""))</f>
        <v>Gigabyte</v>
      </c>
      <c r="H762" t="str">
        <f>_xlfn.TEXTJOIN(",",TRUE,_xlfn._xlws.FILTER(Chipset_Table[Chipset], (Chipset_Table[Chipset text]&lt;&gt;"") * ISNUMBER(SEARCH(Chipset_Table[Chipset text], B762)), ""))</f>
        <v>GeForce RTX 3050</v>
      </c>
      <c r="I762" t="str">
        <f>_xlfn.TEXTJOIN(",",TRUE,_xlfn._xlws.FILTER(VRAM_table[Video memory], (VRAM_table[Video memory text]&lt;&gt;"") * ISNUMBER(SEARCH(VRAM_table[Video memory text], B762)), ""))</f>
        <v>6GB</v>
      </c>
    </row>
    <row r="763" spans="1:9" hidden="1" x14ac:dyDescent="0.35">
      <c r="A763" t="s">
        <v>9</v>
      </c>
      <c r="B763" t="s">
        <v>391</v>
      </c>
      <c r="C763">
        <v>18990000</v>
      </c>
      <c r="D763">
        <v>17390000</v>
      </c>
      <c r="E763" t="s">
        <v>392</v>
      </c>
      <c r="F763" t="s">
        <v>1051</v>
      </c>
      <c r="G763" t="str">
        <f>_xlfn.TEXTJOIN(",",TRUE,_xlfn._xlws.FILTER(GPU_brand[GPU brand], (GPU_brand[GPU brand text]&lt;&gt;"") * ISNUMBER(SEARCH(GPU_brand[GPU brand text], B763)), ""))</f>
        <v>MSI</v>
      </c>
      <c r="H763" t="str">
        <f>_xlfn.TEXTJOIN(",",TRUE,_xlfn._xlws.FILTER(Chipset_Table[Chipset], (Chipset_Table[Chipset text]&lt;&gt;"") * ISNUMBER(SEARCH(Chipset_Table[Chipset text], B763)), ""))</f>
        <v>GeForce RTX 4070</v>
      </c>
      <c r="I763" t="str">
        <f>_xlfn.TEXTJOIN(",",TRUE,_xlfn._xlws.FILTER(VRAM_table[Video memory], (VRAM_table[Video memory text]&lt;&gt;"") * ISNUMBER(SEARCH(VRAM_table[Video memory text], B763)), ""))</f>
        <v>12GB,2GB</v>
      </c>
    </row>
    <row r="764" spans="1:9" hidden="1" x14ac:dyDescent="0.35">
      <c r="A764" t="s">
        <v>9</v>
      </c>
      <c r="B764" t="s">
        <v>393</v>
      </c>
      <c r="C764">
        <v>0</v>
      </c>
      <c r="D764">
        <v>27990000</v>
      </c>
      <c r="E764" t="s">
        <v>394</v>
      </c>
      <c r="F764" t="s">
        <v>1051</v>
      </c>
      <c r="G764" t="str">
        <f>_xlfn.TEXTJOIN(",",TRUE,_xlfn._xlws.FILTER(GPU_brand[GPU brand], (GPU_brand[GPU brand text]&lt;&gt;"") * ISNUMBER(SEARCH(GPU_brand[GPU brand text], B764)), ""))</f>
        <v>Gigabyte</v>
      </c>
      <c r="H764" t="str">
        <f>_xlfn.TEXTJOIN(",",TRUE,_xlfn._xlws.FILTER(Chipset_Table[Chipset], (Chipset_Table[Chipset text]&lt;&gt;"") * ISNUMBER(SEARCH(Chipset_Table[Chipset text], B764)), ""))</f>
        <v>GeForce RTX 4070</v>
      </c>
      <c r="I764" t="str">
        <f>_xlfn.TEXTJOIN(",",TRUE,_xlfn._xlws.FILTER(VRAM_table[Video memory], (VRAM_table[Video memory text]&lt;&gt;"") * ISNUMBER(SEARCH(VRAM_table[Video memory text], B764)), ""))</f>
        <v>12GB,2GB</v>
      </c>
    </row>
    <row r="765" spans="1:9" hidden="1" x14ac:dyDescent="0.35">
      <c r="A765" t="s">
        <v>9</v>
      </c>
      <c r="B765" t="s">
        <v>395</v>
      </c>
      <c r="C765">
        <v>0</v>
      </c>
      <c r="D765">
        <v>19490000</v>
      </c>
      <c r="E765" t="s">
        <v>396</v>
      </c>
      <c r="F765" t="s">
        <v>1051</v>
      </c>
      <c r="G765" t="str">
        <f>_xlfn.TEXTJOIN(",",TRUE,_xlfn._xlws.FILTER(GPU_brand[GPU brand], (GPU_brand[GPU brand text]&lt;&gt;"") * ISNUMBER(SEARCH(GPU_brand[GPU brand text], B765)), ""))</f>
        <v>MSI</v>
      </c>
      <c r="H765" t="str">
        <f>_xlfn.TEXTJOIN(",",TRUE,_xlfn._xlws.FILTER(Chipset_Table[Chipset], (Chipset_Table[Chipset text]&lt;&gt;"") * ISNUMBER(SEARCH(Chipset_Table[Chipset text], B765)), ""))</f>
        <v>GeForce RTX 4070 SUPER,GeForce RTX 4070</v>
      </c>
      <c r="I765" t="str">
        <f>_xlfn.TEXTJOIN(",",TRUE,_xlfn._xlws.FILTER(VRAM_table[Video memory], (VRAM_table[Video memory text]&lt;&gt;"") * ISNUMBER(SEARCH(VRAM_table[Video memory text], B765)), ""))</f>
        <v>12GB,2GB</v>
      </c>
    </row>
    <row r="766" spans="1:9" hidden="1" x14ac:dyDescent="0.35">
      <c r="A766" t="s">
        <v>9</v>
      </c>
      <c r="B766" t="s">
        <v>397</v>
      </c>
      <c r="C766">
        <v>0</v>
      </c>
      <c r="D766">
        <v>21490000</v>
      </c>
      <c r="E766" t="s">
        <v>398</v>
      </c>
      <c r="F766" t="s">
        <v>1051</v>
      </c>
      <c r="G766" t="str">
        <f>_xlfn.TEXTJOIN(",",TRUE,_xlfn._xlws.FILTER(GPU_brand[GPU brand], (GPU_brand[GPU brand text]&lt;&gt;"") * ISNUMBER(SEARCH(GPU_brand[GPU brand text], B766)), ""))</f>
        <v>Gigabyte</v>
      </c>
      <c r="H766" t="str">
        <f>_xlfn.TEXTJOIN(",",TRUE,_xlfn._xlws.FILTER(Chipset_Table[Chipset], (Chipset_Table[Chipset text]&lt;&gt;"") * ISNUMBER(SEARCH(Chipset_Table[Chipset text], B766)), ""))</f>
        <v>GeForce RTX 4070 SUPER,GeForce RTX 4070</v>
      </c>
      <c r="I766" t="str">
        <f>_xlfn.TEXTJOIN(",",TRUE,_xlfn._xlws.FILTER(VRAM_table[Video memory], (VRAM_table[Video memory text]&lt;&gt;"") * ISNUMBER(SEARCH(VRAM_table[Video memory text], B766)), ""))</f>
        <v>12GB,2GB</v>
      </c>
    </row>
    <row r="767" spans="1:9" hidden="1" x14ac:dyDescent="0.35">
      <c r="A767" t="s">
        <v>9</v>
      </c>
      <c r="B767" t="s">
        <v>399</v>
      </c>
      <c r="C767">
        <v>0</v>
      </c>
      <c r="D767">
        <v>59990000</v>
      </c>
      <c r="E767" t="s">
        <v>400</v>
      </c>
      <c r="F767" t="s">
        <v>1051</v>
      </c>
      <c r="G767" t="str">
        <f>_xlfn.TEXTJOIN(",",TRUE,_xlfn._xlws.FILTER(GPU_brand[GPU brand], (GPU_brand[GPU brand text]&lt;&gt;"") * ISNUMBER(SEARCH(GPU_brand[GPU brand text], B767)), ""))</f>
        <v>Gigabyte</v>
      </c>
      <c r="H767" t="str">
        <f>_xlfn.TEXTJOIN(",",TRUE,_xlfn._xlws.FILTER(Chipset_Table[Chipset], (Chipset_Table[Chipset text]&lt;&gt;"") * ISNUMBER(SEARCH(Chipset_Table[Chipset text], B767)), ""))</f>
        <v>GeForce RTX 4090</v>
      </c>
      <c r="I767" t="str">
        <f>_xlfn.TEXTJOIN(",",TRUE,_xlfn._xlws.FILTER(VRAM_table[Video memory], (VRAM_table[Video memory text]&lt;&gt;"") * ISNUMBER(SEARCH(VRAM_table[Video memory text], B767)), ""))</f>
        <v>24GB,4GB</v>
      </c>
    </row>
    <row r="768" spans="1:9" hidden="1" x14ac:dyDescent="0.35">
      <c r="A768" t="s">
        <v>9</v>
      </c>
      <c r="B768" t="s">
        <v>401</v>
      </c>
      <c r="C768">
        <v>20990000</v>
      </c>
      <c r="D768">
        <v>17990000</v>
      </c>
      <c r="E768" t="s">
        <v>402</v>
      </c>
      <c r="F768" t="s">
        <v>1051</v>
      </c>
      <c r="G768" t="str">
        <f>_xlfn.TEXTJOIN(",",TRUE,_xlfn._xlws.FILTER(GPU_brand[GPU brand], (GPU_brand[GPU brand text]&lt;&gt;"") * ISNUMBER(SEARCH(GPU_brand[GPU brand text], B768)), ""))</f>
        <v>MSI</v>
      </c>
      <c r="H768" t="str">
        <f>_xlfn.TEXTJOIN(",",TRUE,_xlfn._xlws.FILTER(Chipset_Table[Chipset], (Chipset_Table[Chipset text]&lt;&gt;"") * ISNUMBER(SEARCH(Chipset_Table[Chipset text], B768)), ""))</f>
        <v>GeForce RTX 4070</v>
      </c>
      <c r="I768" t="str">
        <f>_xlfn.TEXTJOIN(",",TRUE,_xlfn._xlws.FILTER(VRAM_table[Video memory], (VRAM_table[Video memory text]&lt;&gt;"") * ISNUMBER(SEARCH(VRAM_table[Video memory text], B768)), ""))</f>
        <v>12GB,2GB</v>
      </c>
    </row>
    <row r="769" spans="1:9" hidden="1" x14ac:dyDescent="0.35">
      <c r="A769" t="s">
        <v>9</v>
      </c>
      <c r="B769" t="s">
        <v>403</v>
      </c>
      <c r="C769">
        <v>27990000</v>
      </c>
      <c r="D769">
        <v>24990000</v>
      </c>
      <c r="E769" t="s">
        <v>404</v>
      </c>
      <c r="F769" t="s">
        <v>1051</v>
      </c>
      <c r="G769" t="str">
        <f>_xlfn.TEXTJOIN(",",TRUE,_xlfn._xlws.FILTER(GPU_brand[GPU brand], (GPU_brand[GPU brand text]&lt;&gt;"") * ISNUMBER(SEARCH(GPU_brand[GPU brand text], B769)), ""))</f>
        <v>MSI</v>
      </c>
      <c r="H769" t="str">
        <f>_xlfn.TEXTJOIN(",",TRUE,_xlfn._xlws.FILTER(Chipset_Table[Chipset], (Chipset_Table[Chipset text]&lt;&gt;"") * ISNUMBER(SEARCH(Chipset_Table[Chipset text], B769)), ""))</f>
        <v>GeForce RTX 4070</v>
      </c>
      <c r="I769" t="str">
        <f>_xlfn.TEXTJOIN(",",TRUE,_xlfn._xlws.FILTER(VRAM_table[Video memory], (VRAM_table[Video memory text]&lt;&gt;"") * ISNUMBER(SEARCH(VRAM_table[Video memory text], B769)), ""))</f>
        <v>12GB,2GB</v>
      </c>
    </row>
    <row r="770" spans="1:9" hidden="1" x14ac:dyDescent="0.35">
      <c r="A770" t="s">
        <v>9</v>
      </c>
      <c r="B770" t="s">
        <v>405</v>
      </c>
      <c r="C770">
        <v>5690000</v>
      </c>
      <c r="D770">
        <v>5190000</v>
      </c>
      <c r="E770" t="s">
        <v>406</v>
      </c>
      <c r="F770" t="s">
        <v>1051</v>
      </c>
      <c r="G770" t="str">
        <f>_xlfn.TEXTJOIN(",",TRUE,_xlfn._xlws.FILTER(GPU_brand[GPU brand], (GPU_brand[GPU brand text]&lt;&gt;"") * ISNUMBER(SEARCH(GPU_brand[GPU brand text], B770)), ""))</f>
        <v>Colorful</v>
      </c>
      <c r="H770" t="str">
        <f>_xlfn.TEXTJOIN(",",TRUE,_xlfn._xlws.FILTER(Chipset_Table[Chipset], (Chipset_Table[Chipset text]&lt;&gt;"") * ISNUMBER(SEARCH(Chipset_Table[Chipset text], B770)), ""))</f>
        <v>GeForce GTX 1660 SUPER,GeForce GTX 1660, GTX 1660 Super</v>
      </c>
      <c r="I770" t="str">
        <f>_xlfn.TEXTJOIN(",",TRUE,_xlfn._xlws.FILTER(VRAM_table[Video memory], (VRAM_table[Video memory text]&lt;&gt;"") * ISNUMBER(SEARCH(VRAM_table[Video memory text], B770)), ""))</f>
        <v>6GB</v>
      </c>
    </row>
    <row r="771" spans="1:9" hidden="1" x14ac:dyDescent="0.35">
      <c r="A771" t="s">
        <v>9</v>
      </c>
      <c r="B771" t="s">
        <v>408</v>
      </c>
      <c r="C771">
        <v>4490000</v>
      </c>
      <c r="D771">
        <v>3790000</v>
      </c>
      <c r="E771" t="s">
        <v>409</v>
      </c>
      <c r="F771" t="s">
        <v>1051</v>
      </c>
      <c r="G771" t="str">
        <f>_xlfn.TEXTJOIN(",",TRUE,_xlfn._xlws.FILTER(GPU_brand[GPU brand], (GPU_brand[GPU brand text]&lt;&gt;"") * ISNUMBER(SEARCH(GPU_brand[GPU brand text], B771)), ""))</f>
        <v>Colorful</v>
      </c>
      <c r="H771" t="str">
        <f>_xlfn.TEXTJOIN(",",TRUE,_xlfn._xlws.FILTER(Chipset_Table[Chipset], (Chipset_Table[Chipset text]&lt;&gt;"") * ISNUMBER(SEARCH(Chipset_Table[Chipset text], B771)), ""))</f>
        <v>GeForce GTX 1650,GTX 1650</v>
      </c>
      <c r="I771" t="str">
        <f>_xlfn.TEXTJOIN(",",TRUE,_xlfn._xlws.FILTER(VRAM_table[Video memory], (VRAM_table[Video memory text]&lt;&gt;"") * ISNUMBER(SEARCH(VRAM_table[Video memory text], B771)), ""))</f>
        <v>4GB</v>
      </c>
    </row>
    <row r="772" spans="1:9" hidden="1" x14ac:dyDescent="0.35">
      <c r="A772" t="s">
        <v>9</v>
      </c>
      <c r="B772" t="s">
        <v>410</v>
      </c>
      <c r="C772">
        <v>0</v>
      </c>
      <c r="D772">
        <v>19290000</v>
      </c>
      <c r="E772" t="s">
        <v>411</v>
      </c>
      <c r="F772" t="s">
        <v>1051</v>
      </c>
      <c r="G772" t="str">
        <f>_xlfn.TEXTJOIN(",",TRUE,_xlfn._xlws.FILTER(GPU_brand[GPU brand], (GPU_brand[GPU brand text]&lt;&gt;"") * ISNUMBER(SEARCH(GPU_brand[GPU brand text], B772)), ""))</f>
        <v>Gigabyte</v>
      </c>
      <c r="H772" t="str">
        <f>_xlfn.TEXTJOIN(",",TRUE,_xlfn._xlws.FILTER(Chipset_Table[Chipset], (Chipset_Table[Chipset text]&lt;&gt;"") * ISNUMBER(SEARCH(Chipset_Table[Chipset text], B772)), ""))</f>
        <v>GeForce RTX 4070</v>
      </c>
      <c r="I772" t="str">
        <f>_xlfn.TEXTJOIN(",",TRUE,_xlfn._xlws.FILTER(VRAM_table[Video memory], (VRAM_table[Video memory text]&lt;&gt;"") * ISNUMBER(SEARCH(VRAM_table[Video memory text], B772)), ""))</f>
        <v>12GB,2GB</v>
      </c>
    </row>
    <row r="773" spans="1:9" hidden="1" x14ac:dyDescent="0.35">
      <c r="A773" t="s">
        <v>9</v>
      </c>
      <c r="B773" t="s">
        <v>412</v>
      </c>
      <c r="C773">
        <v>22190000</v>
      </c>
      <c r="D773">
        <v>19990000</v>
      </c>
      <c r="E773" t="s">
        <v>413</v>
      </c>
      <c r="F773" t="s">
        <v>1051</v>
      </c>
      <c r="G773" t="str">
        <f>_xlfn.TEXTJOIN(",",TRUE,_xlfn._xlws.FILTER(GPU_brand[GPU brand], (GPU_brand[GPU brand text]&lt;&gt;"") * ISNUMBER(SEARCH(GPU_brand[GPU brand text], B773)), ""))</f>
        <v>Colorful</v>
      </c>
      <c r="H773" t="str">
        <f>_xlfn.TEXTJOIN(",",TRUE,_xlfn._xlws.FILTER(Chipset_Table[Chipset], (Chipset_Table[Chipset text]&lt;&gt;"") * ISNUMBER(SEARCH(Chipset_Table[Chipset text], B773)), ""))</f>
        <v>GeForce RTX 4070</v>
      </c>
      <c r="I773" t="str">
        <f>_xlfn.TEXTJOIN(",",TRUE,_xlfn._xlws.FILTER(VRAM_table[Video memory], (VRAM_table[Video memory text]&lt;&gt;"") * ISNUMBER(SEARCH(VRAM_table[Video memory text], B773)), ""))</f>
        <v>12GB,2GB</v>
      </c>
    </row>
    <row r="774" spans="1:9" hidden="1" x14ac:dyDescent="0.35">
      <c r="A774" t="s">
        <v>9</v>
      </c>
      <c r="B774" t="s">
        <v>414</v>
      </c>
      <c r="C774">
        <v>9490000</v>
      </c>
      <c r="D774">
        <v>9290000</v>
      </c>
      <c r="E774" t="s">
        <v>415</v>
      </c>
      <c r="F774" t="s">
        <v>1051</v>
      </c>
      <c r="G774" t="str">
        <f>_xlfn.TEXTJOIN(",",TRUE,_xlfn._xlws.FILTER(GPU_brand[GPU brand], (GPU_brand[GPU brand text]&lt;&gt;"") * ISNUMBER(SEARCH(GPU_brand[GPU brand text], B774)), ""))</f>
        <v>Gigabyte</v>
      </c>
      <c r="H774" t="str">
        <f>_xlfn.TEXTJOIN(",",TRUE,_xlfn._xlws.FILTER(Chipset_Table[Chipset], (Chipset_Table[Chipset text]&lt;&gt;"") * ISNUMBER(SEARCH(Chipset_Table[Chipset text], B774)), ""))</f>
        <v>GeForce RTX 4060</v>
      </c>
      <c r="I774" t="str">
        <f>_xlfn.TEXTJOIN(",",TRUE,_xlfn._xlws.FILTER(VRAM_table[Video memory], (VRAM_table[Video memory text]&lt;&gt;"") * ISNUMBER(SEARCH(VRAM_table[Video memory text], B774)), ""))</f>
        <v>8GB</v>
      </c>
    </row>
    <row r="775" spans="1:9" hidden="1" x14ac:dyDescent="0.35">
      <c r="A775" t="s">
        <v>9</v>
      </c>
      <c r="B775" t="s">
        <v>416</v>
      </c>
      <c r="C775">
        <v>4990000</v>
      </c>
      <c r="D775">
        <v>3690000</v>
      </c>
      <c r="E775" t="s">
        <v>417</v>
      </c>
      <c r="F775" t="s">
        <v>1051</v>
      </c>
      <c r="G775" t="str">
        <f>_xlfn.TEXTJOIN(",",TRUE,_xlfn._xlws.FILTER(GPU_brand[GPU brand], (GPU_brand[GPU brand text]&lt;&gt;"") * ISNUMBER(SEARCH(GPU_brand[GPU brand text], B775)), ""))</f>
        <v>ASUS</v>
      </c>
      <c r="H775" t="str">
        <f>_xlfn.TEXTJOIN(",",TRUE,_xlfn._xlws.FILTER(Chipset_Table[Chipset], (Chipset_Table[Chipset text]&lt;&gt;"") * ISNUMBER(SEARCH(Chipset_Table[Chipset text], B775)), ""))</f>
        <v>GeForce GTX 1650,GTX 1650</v>
      </c>
      <c r="I775" t="str">
        <f>_xlfn.TEXTJOIN(",",TRUE,_xlfn._xlws.FILTER(VRAM_table[Video memory], (VRAM_table[Video memory text]&lt;&gt;"") * ISNUMBER(SEARCH(VRAM_table[Video memory text], B775)), ""))</f>
        <v>4GB,4GB</v>
      </c>
    </row>
    <row r="776" spans="1:9" hidden="1" x14ac:dyDescent="0.35">
      <c r="A776" t="s">
        <v>9</v>
      </c>
      <c r="B776" t="s">
        <v>418</v>
      </c>
      <c r="C776">
        <v>0</v>
      </c>
      <c r="D776">
        <v>15990000</v>
      </c>
      <c r="E776" t="s">
        <v>419</v>
      </c>
      <c r="F776" t="s">
        <v>1051</v>
      </c>
      <c r="G776" t="str">
        <f>_xlfn.TEXTJOIN(",",TRUE,_xlfn._xlws.FILTER(GPU_brand[GPU brand], (GPU_brand[GPU brand text]&lt;&gt;"") * ISNUMBER(SEARCH(GPU_brand[GPU brand text], B776)), ""))</f>
        <v>Gigabyte</v>
      </c>
      <c r="H776" t="str">
        <f>_xlfn.TEXTJOIN(",",TRUE,_xlfn._xlws.FILTER(Chipset_Table[Chipset], (Chipset_Table[Chipset text]&lt;&gt;"") * ISNUMBER(SEARCH(Chipset_Table[Chipset text], B776)), ""))</f>
        <v>GeForce RTX 4060</v>
      </c>
      <c r="I776" t="str">
        <f>_xlfn.TEXTJOIN(",",TRUE,_xlfn._xlws.FILTER(VRAM_table[Video memory], (VRAM_table[Video memory text]&lt;&gt;"") * ISNUMBER(SEARCH(VRAM_table[Video memory text], B776)), ""))</f>
        <v>16GB,6GB</v>
      </c>
    </row>
    <row r="777" spans="1:9" hidden="1" x14ac:dyDescent="0.35">
      <c r="A777" t="s">
        <v>9</v>
      </c>
      <c r="B777" t="s">
        <v>420</v>
      </c>
      <c r="C777">
        <v>4190000</v>
      </c>
      <c r="D777">
        <v>3790000</v>
      </c>
      <c r="E777" t="s">
        <v>421</v>
      </c>
      <c r="F777" t="s">
        <v>1051</v>
      </c>
      <c r="G777" t="str">
        <f>_xlfn.TEXTJOIN(",",TRUE,_xlfn._xlws.FILTER(GPU_brand[GPU brand], (GPU_brand[GPU brand text]&lt;&gt;"") * ISNUMBER(SEARCH(GPU_brand[GPU brand text], B777)), ""))</f>
        <v>MSI</v>
      </c>
      <c r="H777" t="str">
        <f>_xlfn.TEXTJOIN(",",TRUE,_xlfn._xlws.FILTER(Chipset_Table[Chipset], (Chipset_Table[Chipset text]&lt;&gt;"") * ISNUMBER(SEARCH(Chipset_Table[Chipset text], B777)), ""))</f>
        <v>GeForce GTX 1650,GTX 1650</v>
      </c>
      <c r="I777" t="str">
        <f>_xlfn.TEXTJOIN(",",TRUE,_xlfn._xlws.FILTER(VRAM_table[Video memory], (VRAM_table[Video memory text]&lt;&gt;"") * ISNUMBER(SEARCH(VRAM_table[Video memory text], B777)), ""))</f>
        <v>4GB,4GB</v>
      </c>
    </row>
    <row r="778" spans="1:9" hidden="1" x14ac:dyDescent="0.35">
      <c r="A778" t="s">
        <v>9</v>
      </c>
      <c r="B778" t="s">
        <v>422</v>
      </c>
      <c r="C778">
        <v>5990000</v>
      </c>
      <c r="D778">
        <v>3890000</v>
      </c>
      <c r="E778" t="s">
        <v>423</v>
      </c>
      <c r="F778" t="s">
        <v>1051</v>
      </c>
      <c r="G778" t="str">
        <f>_xlfn.TEXTJOIN(",",TRUE,_xlfn._xlws.FILTER(GPU_brand[GPU brand], (GPU_brand[GPU brand text]&lt;&gt;"") * ISNUMBER(SEARCH(GPU_brand[GPU brand text], B778)), ""))</f>
        <v>ASUS</v>
      </c>
      <c r="H778" t="str">
        <f>_xlfn.TEXTJOIN(",",TRUE,_xlfn._xlws.FILTER(Chipset_Table[Chipset], (Chipset_Table[Chipset text]&lt;&gt;"") * ISNUMBER(SEARCH(Chipset_Table[Chipset text], B778)), ""))</f>
        <v>GeForce GTX 1650,GTX 1650</v>
      </c>
      <c r="I778" t="str">
        <f>_xlfn.TEXTJOIN(",",TRUE,_xlfn._xlws.FILTER(VRAM_table[Video memory], (VRAM_table[Video memory text]&lt;&gt;"") * ISNUMBER(SEARCH(VRAM_table[Video memory text], B778)), ""))</f>
        <v>4GB,4GB</v>
      </c>
    </row>
    <row r="779" spans="1:9" hidden="1" x14ac:dyDescent="0.35">
      <c r="A779" t="s">
        <v>9</v>
      </c>
      <c r="B779" t="s">
        <v>424</v>
      </c>
      <c r="C779">
        <v>11990000</v>
      </c>
      <c r="D779">
        <v>10990000</v>
      </c>
      <c r="E779" t="s">
        <v>425</v>
      </c>
      <c r="F779" t="s">
        <v>1051</v>
      </c>
      <c r="G779" t="str">
        <f>_xlfn.TEXTJOIN(",",TRUE,_xlfn._xlws.FILTER(GPU_brand[GPU brand], (GPU_brand[GPU brand text]&lt;&gt;"") * ISNUMBER(SEARCH(GPU_brand[GPU brand text], B779)), ""))</f>
        <v>ASUS</v>
      </c>
      <c r="H779" t="str">
        <f>_xlfn.TEXTJOIN(",",TRUE,_xlfn._xlws.FILTER(Chipset_Table[Chipset], (Chipset_Table[Chipset text]&lt;&gt;"") * ISNUMBER(SEARCH(Chipset_Table[Chipset text], B779)), ""))</f>
        <v>GeForce RTX 4060</v>
      </c>
      <c r="I779" t="str">
        <f>_xlfn.TEXTJOIN(",",TRUE,_xlfn._xlws.FILTER(VRAM_table[Video memory], (VRAM_table[Video memory text]&lt;&gt;"") * ISNUMBER(SEARCH(VRAM_table[Video memory text], B779)), ""))</f>
        <v>8GB,8GB</v>
      </c>
    </row>
    <row r="780" spans="1:9" hidden="1" x14ac:dyDescent="0.35">
      <c r="A780" t="s">
        <v>9</v>
      </c>
      <c r="B780" t="s">
        <v>426</v>
      </c>
      <c r="C780">
        <v>0</v>
      </c>
      <c r="D780">
        <v>61990000</v>
      </c>
      <c r="E780" t="s">
        <v>427</v>
      </c>
      <c r="F780" t="s">
        <v>1051</v>
      </c>
      <c r="G780" t="str">
        <f>_xlfn.TEXTJOIN(",",TRUE,_xlfn._xlws.FILTER(GPU_brand[GPU brand], (GPU_brand[GPU brand text]&lt;&gt;"") * ISNUMBER(SEARCH(GPU_brand[GPU brand text], B780)), ""))</f>
        <v>ASUS</v>
      </c>
      <c r="H780" t="str">
        <f>_xlfn.TEXTJOIN(",",TRUE,_xlfn._xlws.FILTER(Chipset_Table[Chipset], (Chipset_Table[Chipset text]&lt;&gt;"") * ISNUMBER(SEARCH(Chipset_Table[Chipset text], B780)), ""))</f>
        <v>GeForce RTX 4090</v>
      </c>
      <c r="I780" t="str">
        <f>_xlfn.TEXTJOIN(",",TRUE,_xlfn._xlws.FILTER(VRAM_table[Video memory], (VRAM_table[Video memory text]&lt;&gt;"") * ISNUMBER(SEARCH(VRAM_table[Video memory text], B780)), ""))</f>
        <v>4GB,24GB,4GB</v>
      </c>
    </row>
    <row r="781" spans="1:9" hidden="1" x14ac:dyDescent="0.35">
      <c r="A781" t="s">
        <v>9</v>
      </c>
      <c r="B781" t="s">
        <v>428</v>
      </c>
      <c r="C781">
        <v>0</v>
      </c>
      <c r="D781">
        <v>19390000</v>
      </c>
      <c r="E781" t="s">
        <v>429</v>
      </c>
      <c r="F781" t="s">
        <v>1051</v>
      </c>
      <c r="G781" t="str">
        <f>_xlfn.TEXTJOIN(",",TRUE,_xlfn._xlws.FILTER(GPU_brand[GPU brand], (GPU_brand[GPU brand text]&lt;&gt;"") * ISNUMBER(SEARCH(GPU_brand[GPU brand text], B781)), ""))</f>
        <v>MSI</v>
      </c>
      <c r="H781" t="str">
        <f>_xlfn.TEXTJOIN(",",TRUE,_xlfn._xlws.FILTER(Chipset_Table[Chipset], (Chipset_Table[Chipset text]&lt;&gt;"") * ISNUMBER(SEARCH(Chipset_Table[Chipset text], B781)), ""))</f>
        <v>GeForce RTX 4070</v>
      </c>
      <c r="I781" t="str">
        <f>_xlfn.TEXTJOIN(",",TRUE,_xlfn._xlws.FILTER(VRAM_table[Video memory], (VRAM_table[Video memory text]&lt;&gt;"") * ISNUMBER(SEARCH(VRAM_table[Video memory text], B781)), ""))</f>
        <v>12GB,2GB</v>
      </c>
    </row>
    <row r="782" spans="1:9" hidden="1" x14ac:dyDescent="0.35">
      <c r="A782" t="s">
        <v>9</v>
      </c>
      <c r="B782" t="s">
        <v>430</v>
      </c>
      <c r="C782">
        <v>107000000</v>
      </c>
      <c r="D782">
        <v>98990000</v>
      </c>
      <c r="E782" t="s">
        <v>431</v>
      </c>
      <c r="F782" t="s">
        <v>1051</v>
      </c>
      <c r="G782" t="str">
        <f>_xlfn.TEXTJOIN(",",TRUE,_xlfn._xlws.FILTER(GPU_brand[GPU brand], (GPU_brand[GPU brand text]&lt;&gt;"") * ISNUMBER(SEARCH(GPU_brand[GPU brand text], B782)), ""))</f>
        <v>ASUS</v>
      </c>
      <c r="H782" t="str">
        <f>_xlfn.TEXTJOIN(",",TRUE,_xlfn._xlws.FILTER(Chipset_Table[Chipset], (Chipset_Table[Chipset text]&lt;&gt;"") * ISNUMBER(SEARCH(Chipset_Table[Chipset text], B782)), ""))</f>
        <v>GeForce RTX 4090</v>
      </c>
      <c r="I782" t="str">
        <f>_xlfn.TEXTJOIN(",",TRUE,_xlfn._xlws.FILTER(VRAM_table[Video memory], (VRAM_table[Video memory text]&lt;&gt;"") * ISNUMBER(SEARCH(VRAM_table[Video memory text], B782)), ""))</f>
        <v>4GB,24GB,4GB</v>
      </c>
    </row>
    <row r="783" spans="1:9" hidden="1" x14ac:dyDescent="0.35">
      <c r="A783" t="s">
        <v>9</v>
      </c>
      <c r="B783" t="s">
        <v>432</v>
      </c>
      <c r="C783">
        <v>15990000</v>
      </c>
      <c r="D783">
        <v>15490000</v>
      </c>
      <c r="E783" t="s">
        <v>433</v>
      </c>
      <c r="F783" t="s">
        <v>1051</v>
      </c>
      <c r="G783" t="str">
        <f>_xlfn.TEXTJOIN(",",TRUE,_xlfn._xlws.FILTER(GPU_brand[GPU brand], (GPU_brand[GPU brand text]&lt;&gt;"") * ISNUMBER(SEARCH(GPU_brand[GPU brand text], B783)), ""))</f>
        <v>ASUS</v>
      </c>
      <c r="H783" t="str">
        <f>_xlfn.TEXTJOIN(",",TRUE,_xlfn._xlws.FILTER(Chipset_Table[Chipset], (Chipset_Table[Chipset text]&lt;&gt;"") * ISNUMBER(SEARCH(Chipset_Table[Chipset text], B783)), ""))</f>
        <v>GeForce RTX 4060</v>
      </c>
      <c r="I783" t="str">
        <f>_xlfn.TEXTJOIN(",",TRUE,_xlfn._xlws.FILTER(VRAM_table[Video memory], (VRAM_table[Video memory text]&lt;&gt;"") * ISNUMBER(SEARCH(VRAM_table[Video memory text], B783)), ""))</f>
        <v>16GB,16GB,6GB,6GB</v>
      </c>
    </row>
    <row r="784" spans="1:9" hidden="1" x14ac:dyDescent="0.35">
      <c r="A784" t="s">
        <v>9</v>
      </c>
      <c r="B784" t="s">
        <v>434</v>
      </c>
      <c r="C784">
        <v>6490000</v>
      </c>
      <c r="D784">
        <v>5790000</v>
      </c>
      <c r="E784" t="s">
        <v>435</v>
      </c>
      <c r="F784" t="s">
        <v>1051</v>
      </c>
      <c r="G784" t="str">
        <f>_xlfn.TEXTJOIN(",",TRUE,_xlfn._xlws.FILTER(GPU_brand[GPU brand], (GPU_brand[GPU brand text]&lt;&gt;"") * ISNUMBER(SEARCH(GPU_brand[GPU brand text], B784)), ""))</f>
        <v>Gigabyte</v>
      </c>
      <c r="H784" t="str">
        <f>_xlfn.TEXTJOIN(",",TRUE,_xlfn._xlws.FILTER(Chipset_Table[Chipset], (Chipset_Table[Chipset text]&lt;&gt;"") * ISNUMBER(SEARCH(Chipset_Table[Chipset text], B784)), ""))</f>
        <v>GeForce RTX 3050</v>
      </c>
      <c r="I784" t="str">
        <f>_xlfn.TEXTJOIN(",",TRUE,_xlfn._xlws.FILTER(VRAM_table[Video memory], (VRAM_table[Video memory text]&lt;&gt;"") * ISNUMBER(SEARCH(VRAM_table[Video memory text], B784)), ""))</f>
        <v>8GB</v>
      </c>
    </row>
    <row r="785" spans="1:9" hidden="1" x14ac:dyDescent="0.35">
      <c r="A785" t="s">
        <v>9</v>
      </c>
      <c r="B785" t="s">
        <v>436</v>
      </c>
      <c r="C785">
        <v>60990000</v>
      </c>
      <c r="D785">
        <v>59990000</v>
      </c>
      <c r="E785" t="s">
        <v>437</v>
      </c>
      <c r="F785" t="s">
        <v>1051</v>
      </c>
      <c r="G785" t="str">
        <f>_xlfn.TEXTJOIN(",",TRUE,_xlfn._xlws.FILTER(GPU_brand[GPU brand], (GPU_brand[GPU brand text]&lt;&gt;"") * ISNUMBER(SEARCH(GPU_brand[GPU brand text], B785)), ""))</f>
        <v>ASUS</v>
      </c>
      <c r="H785" t="str">
        <f>_xlfn.TEXTJOIN(",",TRUE,_xlfn._xlws.FILTER(Chipset_Table[Chipset], (Chipset_Table[Chipset text]&lt;&gt;"") * ISNUMBER(SEARCH(Chipset_Table[Chipset text], B785)), ""))</f>
        <v>GeForce RTX 4090</v>
      </c>
      <c r="I785" t="str">
        <f>_xlfn.TEXTJOIN(",",TRUE,_xlfn._xlws.FILTER(VRAM_table[Video memory], (VRAM_table[Video memory text]&lt;&gt;"") * ISNUMBER(SEARCH(VRAM_table[Video memory text], B785)), ""))</f>
        <v>4GB,24GB,4GB</v>
      </c>
    </row>
    <row r="786" spans="1:9" hidden="1" x14ac:dyDescent="0.35">
      <c r="A786" t="s">
        <v>9</v>
      </c>
      <c r="B786" t="s">
        <v>438</v>
      </c>
      <c r="C786">
        <v>9990000</v>
      </c>
      <c r="D786">
        <v>9390000</v>
      </c>
      <c r="E786" t="s">
        <v>439</v>
      </c>
      <c r="F786" t="s">
        <v>1051</v>
      </c>
      <c r="G786" t="str">
        <f>_xlfn.TEXTJOIN(",",TRUE,_xlfn._xlws.FILTER(GPU_brand[GPU brand], (GPU_brand[GPU brand text]&lt;&gt;"") * ISNUMBER(SEARCH(GPU_brand[GPU brand text], B786)), ""))</f>
        <v>Gigabyte</v>
      </c>
      <c r="H786" t="str">
        <f>_xlfn.TEXTJOIN(",",TRUE,_xlfn._xlws.FILTER(Chipset_Table[Chipset], (Chipset_Table[Chipset text]&lt;&gt;"") * ISNUMBER(SEARCH(Chipset_Table[Chipset text], B786)), ""))</f>
        <v>GeForce RTX 4060</v>
      </c>
      <c r="I786" t="str">
        <f>_xlfn.TEXTJOIN(",",TRUE,_xlfn._xlws.FILTER(VRAM_table[Video memory], (VRAM_table[Video memory text]&lt;&gt;"") * ISNUMBER(SEARCH(VRAM_table[Video memory text], B786)), ""))</f>
        <v>8GB</v>
      </c>
    </row>
    <row r="787" spans="1:9" hidden="1" x14ac:dyDescent="0.35">
      <c r="A787" t="s">
        <v>9</v>
      </c>
      <c r="B787" t="s">
        <v>440</v>
      </c>
      <c r="C787">
        <v>11990000</v>
      </c>
      <c r="D787">
        <v>10990000</v>
      </c>
      <c r="E787" t="s">
        <v>441</v>
      </c>
      <c r="F787" t="s">
        <v>1051</v>
      </c>
      <c r="G787" t="str">
        <f>_xlfn.TEXTJOIN(",",TRUE,_xlfn._xlws.FILTER(GPU_brand[GPU brand], (GPU_brand[GPU brand text]&lt;&gt;"") * ISNUMBER(SEARCH(GPU_brand[GPU brand text], B787)), ""))</f>
        <v>Gigabyte</v>
      </c>
      <c r="H787" t="str">
        <f>_xlfn.TEXTJOIN(",",TRUE,_xlfn._xlws.FILTER(Chipset_Table[Chipset], (Chipset_Table[Chipset text]&lt;&gt;"") * ISNUMBER(SEARCH(Chipset_Table[Chipset text], B787)), ""))</f>
        <v>GeForce RTX 4060</v>
      </c>
      <c r="I787" t="str">
        <f>_xlfn.TEXTJOIN(",",TRUE,_xlfn._xlws.FILTER(VRAM_table[Video memory], (VRAM_table[Video memory text]&lt;&gt;"") * ISNUMBER(SEARCH(VRAM_table[Video memory text], B787)), ""))</f>
        <v>8GB</v>
      </c>
    </row>
    <row r="788" spans="1:9" hidden="1" x14ac:dyDescent="0.35">
      <c r="A788" t="s">
        <v>9</v>
      </c>
      <c r="B788" t="s">
        <v>442</v>
      </c>
      <c r="C788">
        <v>3990000</v>
      </c>
      <c r="D788">
        <v>3790000</v>
      </c>
      <c r="E788" t="s">
        <v>443</v>
      </c>
      <c r="F788" t="s">
        <v>1051</v>
      </c>
      <c r="G788" t="str">
        <f>_xlfn.TEXTJOIN(",",TRUE,_xlfn._xlws.FILTER(GPU_brand[GPU brand], (GPU_brand[GPU brand text]&lt;&gt;"") * ISNUMBER(SEARCH(GPU_brand[GPU brand text], B788)), ""))</f>
        <v>MSI</v>
      </c>
      <c r="H788" t="str">
        <f>_xlfn.TEXTJOIN(",",TRUE,_xlfn._xlws.FILTER(Chipset_Table[Chipset], (Chipset_Table[Chipset text]&lt;&gt;"") * ISNUMBER(SEARCH(Chipset_Table[Chipset text], B788)), ""))</f>
        <v>GeForce GTX 1650,GTX 1650</v>
      </c>
      <c r="I788" t="str">
        <f>_xlfn.TEXTJOIN(",",TRUE,_xlfn._xlws.FILTER(VRAM_table[Video memory], (VRAM_table[Video memory text]&lt;&gt;"") * ISNUMBER(SEARCH(VRAM_table[Video memory text], B788)), ""))</f>
        <v>4GB,4GB</v>
      </c>
    </row>
    <row r="789" spans="1:9" hidden="1" x14ac:dyDescent="0.35">
      <c r="A789" t="s">
        <v>9</v>
      </c>
      <c r="B789" t="s">
        <v>444</v>
      </c>
      <c r="C789">
        <v>0</v>
      </c>
      <c r="D789">
        <v>12990000</v>
      </c>
      <c r="E789" t="s">
        <v>445</v>
      </c>
      <c r="F789" t="s">
        <v>1051</v>
      </c>
      <c r="G789" t="str">
        <f>_xlfn.TEXTJOIN(",",TRUE,_xlfn._xlws.FILTER(GPU_brand[GPU brand], (GPU_brand[GPU brand text]&lt;&gt;"") * ISNUMBER(SEARCH(GPU_brand[GPU brand text], B789)), ""))</f>
        <v>INNO3D</v>
      </c>
      <c r="H789" t="str">
        <f>_xlfn.TEXTJOIN(",",TRUE,_xlfn._xlws.FILTER(Chipset_Table[Chipset], (Chipset_Table[Chipset text]&lt;&gt;"") * ISNUMBER(SEARCH(Chipset_Table[Chipset text], B789)), ""))</f>
        <v>GeForce GTX 1660 SUPER,GeForce GTX 1660, GTX 1660 Super</v>
      </c>
      <c r="I789" t="str">
        <f>_xlfn.TEXTJOIN(",",TRUE,_xlfn._xlws.FILTER(VRAM_table[Video memory], (VRAM_table[Video memory text]&lt;&gt;"") * ISNUMBER(SEARCH(VRAM_table[Video memory text], B789)), ""))</f>
        <v>6GB,6GB</v>
      </c>
    </row>
    <row r="790" spans="1:9" hidden="1" x14ac:dyDescent="0.35">
      <c r="A790" t="s">
        <v>9</v>
      </c>
      <c r="B790" t="s">
        <v>446</v>
      </c>
      <c r="C790">
        <v>0</v>
      </c>
      <c r="D790">
        <v>14490000</v>
      </c>
      <c r="E790" t="s">
        <v>447</v>
      </c>
      <c r="F790" t="s">
        <v>1051</v>
      </c>
      <c r="G790" t="str">
        <f>_xlfn.TEXTJOIN(",",TRUE,_xlfn._xlws.FILTER(GPU_brand[GPU brand], (GPU_brand[GPU brand text]&lt;&gt;"") * ISNUMBER(SEARCH(GPU_brand[GPU brand text], B790)), ""))</f>
        <v>Gigabyte</v>
      </c>
      <c r="H790" t="str">
        <f>_xlfn.TEXTJOIN(",",TRUE,_xlfn._xlws.FILTER(Chipset_Table[Chipset], (Chipset_Table[Chipset text]&lt;&gt;"") * ISNUMBER(SEARCH(Chipset_Table[Chipset text], B790)), ""))</f>
        <v>GeForce GTX 1660 SUPER,GeForce GTX 1660, GTX 1660 Super</v>
      </c>
      <c r="I790" t="str">
        <f>_xlfn.TEXTJOIN(",",TRUE,_xlfn._xlws.FILTER(VRAM_table[Video memory], (VRAM_table[Video memory text]&lt;&gt;"") * ISNUMBER(SEARCH(VRAM_table[Video memory text], B790)), ""))</f>
        <v>6GB</v>
      </c>
    </row>
    <row r="791" spans="1:9" hidden="1" x14ac:dyDescent="0.35">
      <c r="A791" t="s">
        <v>9</v>
      </c>
      <c r="B791" t="s">
        <v>448</v>
      </c>
      <c r="C791">
        <v>0</v>
      </c>
      <c r="D791">
        <v>5090000</v>
      </c>
      <c r="E791" t="s">
        <v>449</v>
      </c>
      <c r="F791" t="s">
        <v>1051</v>
      </c>
      <c r="G791" t="str">
        <f>_xlfn.TEXTJOIN(",",TRUE,_xlfn._xlws.FILTER(GPU_brand[GPU brand], (GPU_brand[GPU brand text]&lt;&gt;"") * ISNUMBER(SEARCH(GPU_brand[GPU brand text], B791)), ""))</f>
        <v>ASUS</v>
      </c>
      <c r="H791" t="str">
        <f>_xlfn.TEXTJOIN(",",TRUE,_xlfn._xlws.FILTER(Chipset_Table[Chipset], (Chipset_Table[Chipset text]&lt;&gt;"") * ISNUMBER(SEARCH(Chipset_Table[Chipset text], B791)), ""))</f>
        <v>GeForce GTX 1660 SUPER,GeForce GTX 1660, GTX 1660 Super</v>
      </c>
      <c r="I791" t="str">
        <f>_xlfn.TEXTJOIN(",",TRUE,_xlfn._xlws.FILTER(VRAM_table[Video memory], (VRAM_table[Video memory text]&lt;&gt;"") * ISNUMBER(SEARCH(VRAM_table[Video memory text], B791)), ""))</f>
        <v>6GB,6GB</v>
      </c>
    </row>
    <row r="792" spans="1:9" hidden="1" x14ac:dyDescent="0.35">
      <c r="A792" t="s">
        <v>9</v>
      </c>
      <c r="B792" t="s">
        <v>450</v>
      </c>
      <c r="C792">
        <v>7990000</v>
      </c>
      <c r="D792">
        <v>4390000</v>
      </c>
      <c r="E792" t="s">
        <v>451</v>
      </c>
      <c r="F792" t="s">
        <v>1051</v>
      </c>
      <c r="G792" t="str">
        <f>_xlfn.TEXTJOIN(",",TRUE,_xlfn._xlws.FILTER(GPU_brand[GPU brand], (GPU_brand[GPU brand text]&lt;&gt;"") * ISNUMBER(SEARCH(GPU_brand[GPU brand text], B792)), ""))</f>
        <v>ASUS</v>
      </c>
      <c r="H792" t="str">
        <f>_xlfn.TEXTJOIN(",",TRUE,_xlfn._xlws.FILTER(Chipset_Table[Chipset], (Chipset_Table[Chipset text]&lt;&gt;"") * ISNUMBER(SEARCH(Chipset_Table[Chipset text], B792)), ""))</f>
        <v>GeForce GTX 1650,GTX 1650</v>
      </c>
      <c r="I792" t="str">
        <f>_xlfn.TEXTJOIN(",",TRUE,_xlfn._xlws.FILTER(VRAM_table[Video memory], (VRAM_table[Video memory text]&lt;&gt;"") * ISNUMBER(SEARCH(VRAM_table[Video memory text], B792)), ""))</f>
        <v>4GB,4GB</v>
      </c>
    </row>
    <row r="793" spans="1:9" hidden="1" x14ac:dyDescent="0.35">
      <c r="A793" t="s">
        <v>9</v>
      </c>
      <c r="B793" t="s">
        <v>452</v>
      </c>
      <c r="C793">
        <v>0</v>
      </c>
      <c r="D793">
        <v>5690000</v>
      </c>
      <c r="E793" t="s">
        <v>453</v>
      </c>
      <c r="F793" t="s">
        <v>1051</v>
      </c>
      <c r="G793" t="str">
        <f>_xlfn.TEXTJOIN(",",TRUE,_xlfn._xlws.FILTER(GPU_brand[GPU brand], (GPU_brand[GPU brand text]&lt;&gt;"") * ISNUMBER(SEARCH(GPU_brand[GPU brand text], B793)), ""))</f>
        <v>ASUS</v>
      </c>
      <c r="H793" t="str">
        <f>_xlfn.TEXTJOIN(",",TRUE,_xlfn._xlws.FILTER(Chipset_Table[Chipset], (Chipset_Table[Chipset text]&lt;&gt;"") * ISNUMBER(SEARCH(Chipset_Table[Chipset text], B793)), ""))</f>
        <v>GeForce GTX 1660 SUPER,GeForce GTX 1660, GTX 1660 Super</v>
      </c>
      <c r="I793" t="str">
        <f>_xlfn.TEXTJOIN(",",TRUE,_xlfn._xlws.FILTER(VRAM_table[Video memory], (VRAM_table[Video memory text]&lt;&gt;"") * ISNUMBER(SEARCH(VRAM_table[Video memory text], B793)), ""))</f>
        <v>6GB,6GB</v>
      </c>
    </row>
    <row r="794" spans="1:9" hidden="1" x14ac:dyDescent="0.35">
      <c r="A794" t="s">
        <v>9</v>
      </c>
      <c r="B794" t="s">
        <v>454</v>
      </c>
      <c r="C794">
        <v>18490000</v>
      </c>
      <c r="D794">
        <v>12200000</v>
      </c>
      <c r="E794" t="s">
        <v>455</v>
      </c>
      <c r="F794" t="s">
        <v>1051</v>
      </c>
      <c r="G794" t="str">
        <f>_xlfn.TEXTJOIN(",",TRUE,_xlfn._xlws.FILTER(GPU_brand[GPU brand], (GPU_brand[GPU brand text]&lt;&gt;"") * ISNUMBER(SEARCH(GPU_brand[GPU brand text], B794)), ""))</f>
        <v>MSI</v>
      </c>
      <c r="H794" t="str">
        <f>_xlfn.TEXTJOIN(",",TRUE,_xlfn._xlws.FILTER(Chipset_Table[Chipset], (Chipset_Table[Chipset text]&lt;&gt;"") * ISNUMBER(SEARCH(Chipset_Table[Chipset text], B794)), ""))</f>
        <v>GeForce RTX 3060,GeForce RTX 3060 Ti,RTX 3060</v>
      </c>
      <c r="I794" t="str">
        <f>_xlfn.TEXTJOIN(",",TRUE,_xlfn._xlws.FILTER(VRAM_table[Video memory], (VRAM_table[Video memory text]&lt;&gt;"") * ISNUMBER(SEARCH(VRAM_table[Video memory text], B794)), ""))</f>
        <v>8GB</v>
      </c>
    </row>
    <row r="795" spans="1:9" hidden="1" x14ac:dyDescent="0.35">
      <c r="A795" t="s">
        <v>9</v>
      </c>
      <c r="B795" t="s">
        <v>457</v>
      </c>
      <c r="C795">
        <v>17990000</v>
      </c>
      <c r="D795">
        <v>13790000</v>
      </c>
      <c r="E795" t="s">
        <v>458</v>
      </c>
      <c r="F795" t="s">
        <v>1051</v>
      </c>
      <c r="G795" t="str">
        <f>_xlfn.TEXTJOIN(",",TRUE,_xlfn._xlws.FILTER(GPU_brand[GPU brand], (GPU_brand[GPU brand text]&lt;&gt;"") * ISNUMBER(SEARCH(GPU_brand[GPU brand text], B795)), ""))</f>
        <v>MSI</v>
      </c>
      <c r="H795" t="str">
        <f>_xlfn.TEXTJOIN(",",TRUE,_xlfn._xlws.FILTER(Chipset_Table[Chipset], (Chipset_Table[Chipset text]&lt;&gt;"") * ISNUMBER(SEARCH(Chipset_Table[Chipset text], B795)), ""))</f>
        <v>GeForce RTX 3060,GeForce RTX 3060 Ti,RTX 3060</v>
      </c>
      <c r="I795" t="str">
        <f>_xlfn.TEXTJOIN(",",TRUE,_xlfn._xlws.FILTER(VRAM_table[Video memory], (VRAM_table[Video memory text]&lt;&gt;"") * ISNUMBER(SEARCH(VRAM_table[Video memory text], B795)), ""))</f>
        <v>8GB</v>
      </c>
    </row>
    <row r="796" spans="1:9" hidden="1" x14ac:dyDescent="0.35">
      <c r="A796" t="s">
        <v>9</v>
      </c>
      <c r="B796" t="s">
        <v>459</v>
      </c>
      <c r="C796">
        <v>16990000</v>
      </c>
      <c r="D796">
        <v>13490000</v>
      </c>
      <c r="E796" t="s">
        <v>460</v>
      </c>
      <c r="F796" t="s">
        <v>1051</v>
      </c>
      <c r="G796" t="str">
        <f>_xlfn.TEXTJOIN(",",TRUE,_xlfn._xlws.FILTER(GPU_brand[GPU brand], (GPU_brand[GPU brand text]&lt;&gt;"") * ISNUMBER(SEARCH(GPU_brand[GPU brand text], B796)), ""))</f>
        <v>MSI</v>
      </c>
      <c r="H796" t="str">
        <f>_xlfn.TEXTJOIN(",",TRUE,_xlfn._xlws.FILTER(Chipset_Table[Chipset], (Chipset_Table[Chipset text]&lt;&gt;"") * ISNUMBER(SEARCH(Chipset_Table[Chipset text], B796)), ""))</f>
        <v>GeForce RTX 3060,GeForce RTX 3060 Ti,RTX 3060</v>
      </c>
      <c r="I796" t="str">
        <f>_xlfn.TEXTJOIN(",",TRUE,_xlfn._xlws.FILTER(VRAM_table[Video memory], (VRAM_table[Video memory text]&lt;&gt;"") * ISNUMBER(SEARCH(VRAM_table[Video memory text], B796)), ""))</f>
        <v>8GB</v>
      </c>
    </row>
    <row r="797" spans="1:9" hidden="1" x14ac:dyDescent="0.35">
      <c r="A797" t="s">
        <v>9</v>
      </c>
      <c r="B797" t="s">
        <v>461</v>
      </c>
      <c r="C797">
        <v>0</v>
      </c>
      <c r="D797">
        <v>100000000</v>
      </c>
      <c r="E797" t="s">
        <v>462</v>
      </c>
      <c r="F797" t="s">
        <v>1051</v>
      </c>
      <c r="G797" t="str">
        <f>_xlfn.TEXTJOIN(",",TRUE,_xlfn._xlws.FILTER(GPU_brand[GPU brand], (GPU_brand[GPU brand text]&lt;&gt;"") * ISNUMBER(SEARCH(GPU_brand[GPU brand text], B797)), ""))</f>
        <v>MSI</v>
      </c>
      <c r="H797" t="str">
        <f>_xlfn.TEXTJOIN(",",TRUE,_xlfn._xlws.FILTER(Chipset_Table[Chipset], (Chipset_Table[Chipset text]&lt;&gt;"") * ISNUMBER(SEARCH(Chipset_Table[Chipset text], B797)), ""))</f>
        <v>GeForce RTX 3060,RTX 3060</v>
      </c>
      <c r="I797" t="str">
        <f>_xlfn.TEXTJOIN(",",TRUE,_xlfn._xlws.FILTER(VRAM_table[Video memory], (VRAM_table[Video memory text]&lt;&gt;"") * ISNUMBER(SEARCH(VRAM_table[Video memory text], B797)), ""))</f>
        <v>12GB,2GB</v>
      </c>
    </row>
    <row r="798" spans="1:9" hidden="1" x14ac:dyDescent="0.35">
      <c r="A798" t="s">
        <v>9</v>
      </c>
      <c r="B798" t="s">
        <v>463</v>
      </c>
      <c r="C798">
        <v>0</v>
      </c>
      <c r="D798">
        <v>13990000</v>
      </c>
      <c r="E798" t="s">
        <v>464</v>
      </c>
      <c r="F798" t="s">
        <v>1051</v>
      </c>
      <c r="G798" t="str">
        <f>_xlfn.TEXTJOIN(",",TRUE,_xlfn._xlws.FILTER(GPU_brand[GPU brand], (GPU_brand[GPU brand text]&lt;&gt;"") * ISNUMBER(SEARCH(GPU_brand[GPU brand text], B798)), ""))</f>
        <v>MSI</v>
      </c>
      <c r="H798" t="str">
        <f>_xlfn.TEXTJOIN(",",TRUE,_xlfn._xlws.FILTER(Chipset_Table[Chipset], (Chipset_Table[Chipset text]&lt;&gt;"") * ISNUMBER(SEARCH(Chipset_Table[Chipset text], B798)), ""))</f>
        <v>GeForce GTX 1660 SUPER,GeForce GTX 1660, GTX 1660 Super</v>
      </c>
      <c r="I798" t="str">
        <f>_xlfn.TEXTJOIN(",",TRUE,_xlfn._xlws.FILTER(VRAM_table[Video memory], (VRAM_table[Video memory text]&lt;&gt;"") * ISNUMBER(SEARCH(VRAM_table[Video memory text], B798)), ""))</f>
        <v>6GB,6GB</v>
      </c>
    </row>
    <row r="799" spans="1:9" hidden="1" x14ac:dyDescent="0.35">
      <c r="A799" t="s">
        <v>9</v>
      </c>
      <c r="B799" t="s">
        <v>465</v>
      </c>
      <c r="C799">
        <v>0</v>
      </c>
      <c r="D799">
        <v>14990000</v>
      </c>
      <c r="E799" t="s">
        <v>466</v>
      </c>
      <c r="F799" t="s">
        <v>1051</v>
      </c>
      <c r="G799" t="str">
        <f>_xlfn.TEXTJOIN(",",TRUE,_xlfn._xlws.FILTER(GPU_brand[GPU brand], (GPU_brand[GPU brand text]&lt;&gt;"") * ISNUMBER(SEARCH(GPU_brand[GPU brand text], B799)), ""))</f>
        <v>MSI</v>
      </c>
      <c r="H799" t="str">
        <f>_xlfn.TEXTJOIN(",",TRUE,_xlfn._xlws.FILTER(Chipset_Table[Chipset], (Chipset_Table[Chipset text]&lt;&gt;"") * ISNUMBER(SEARCH(Chipset_Table[Chipset text], B799)), ""))</f>
        <v>GeForce GTX 1660 SUPER,GeForce GTX 1660, GTX 1660 Super</v>
      </c>
      <c r="I799" t="str">
        <f>_xlfn.TEXTJOIN(",",TRUE,_xlfn._xlws.FILTER(VRAM_table[Video memory], (VRAM_table[Video memory text]&lt;&gt;"") * ISNUMBER(SEARCH(VRAM_table[Video memory text], B799)), ""))</f>
        <v>6GB,6GB</v>
      </c>
    </row>
    <row r="800" spans="1:9" hidden="1" x14ac:dyDescent="0.35">
      <c r="A800" t="s">
        <v>9</v>
      </c>
      <c r="B800" t="s">
        <v>467</v>
      </c>
      <c r="C800">
        <v>17990000</v>
      </c>
      <c r="D800">
        <v>11990000</v>
      </c>
      <c r="E800" t="s">
        <v>468</v>
      </c>
      <c r="F800" t="s">
        <v>1051</v>
      </c>
      <c r="G800" t="str">
        <f>_xlfn.TEXTJOIN(",",TRUE,_xlfn._xlws.FILTER(GPU_brand[GPU brand], (GPU_brand[GPU brand text]&lt;&gt;"") * ISNUMBER(SEARCH(GPU_brand[GPU brand text], B800)), ""))</f>
        <v>Gigabyte</v>
      </c>
      <c r="H800" t="str">
        <f>_xlfn.TEXTJOIN(",",TRUE,_xlfn._xlws.FILTER(Chipset_Table[Chipset], (Chipset_Table[Chipset text]&lt;&gt;"") * ISNUMBER(SEARCH(Chipset_Table[Chipset text], B800)), ""))</f>
        <v>GeForce RTX 3060,GeForce RTX 3060 Ti,RTX 3060</v>
      </c>
      <c r="I800" t="str">
        <f>_xlfn.TEXTJOIN(",",TRUE,_xlfn._xlws.FILTER(VRAM_table[Video memory], (VRAM_table[Video memory text]&lt;&gt;"") * ISNUMBER(SEARCH(VRAM_table[Video memory text], B800)), ""))</f>
        <v>8GB</v>
      </c>
    </row>
    <row r="801" spans="1:9" hidden="1" x14ac:dyDescent="0.35">
      <c r="A801" t="s">
        <v>9</v>
      </c>
      <c r="B801" t="s">
        <v>469</v>
      </c>
      <c r="C801">
        <v>11490000</v>
      </c>
      <c r="D801">
        <v>10690000</v>
      </c>
      <c r="E801" t="s">
        <v>470</v>
      </c>
      <c r="F801" t="s">
        <v>1051</v>
      </c>
      <c r="G801" t="str">
        <f>_xlfn.TEXTJOIN(",",TRUE,_xlfn._xlws.FILTER(GPU_brand[GPU brand], (GPU_brand[GPU brand text]&lt;&gt;"") * ISNUMBER(SEARCH(GPU_brand[GPU brand text], B801)), ""))</f>
        <v>Gigabyte</v>
      </c>
      <c r="H801" t="str">
        <f>_xlfn.TEXTJOIN(",",TRUE,_xlfn._xlws.FILTER(Chipset_Table[Chipset], (Chipset_Table[Chipset text]&lt;&gt;"") * ISNUMBER(SEARCH(Chipset_Table[Chipset text], B801)), ""))</f>
        <v>GeForce RTX 3060,GeForce RTX 3060 Ti,RTX 3060</v>
      </c>
      <c r="I801" t="str">
        <f>_xlfn.TEXTJOIN(",",TRUE,_xlfn._xlws.FILTER(VRAM_table[Video memory], (VRAM_table[Video memory text]&lt;&gt;"") * ISNUMBER(SEARCH(VRAM_table[Video memory text], B801)), ""))</f>
        <v>8GB</v>
      </c>
    </row>
    <row r="802" spans="1:9" hidden="1" x14ac:dyDescent="0.35">
      <c r="A802" t="s">
        <v>9</v>
      </c>
      <c r="B802" t="s">
        <v>471</v>
      </c>
      <c r="C802">
        <v>19990000</v>
      </c>
      <c r="D802">
        <v>15990000</v>
      </c>
      <c r="E802" t="s">
        <v>472</v>
      </c>
      <c r="F802" t="s">
        <v>1051</v>
      </c>
      <c r="G802" t="str">
        <f>_xlfn.TEXTJOIN(",",TRUE,_xlfn._xlws.FILTER(GPU_brand[GPU brand], (GPU_brand[GPU brand text]&lt;&gt;"") * ISNUMBER(SEARCH(GPU_brand[GPU brand text], B802)), ""))</f>
        <v>Gigabyte</v>
      </c>
      <c r="H802" t="str">
        <f>_xlfn.TEXTJOIN(",",TRUE,_xlfn._xlws.FILTER(Chipset_Table[Chipset], (Chipset_Table[Chipset text]&lt;&gt;"") * ISNUMBER(SEARCH(Chipset_Table[Chipset text], B802)), ""))</f>
        <v>GeForce RTX 3060,GeForce RTX 3060 Ti,RTX 3060</v>
      </c>
      <c r="I802" t="str">
        <f>_xlfn.TEXTJOIN(",",TRUE,_xlfn._xlws.FILTER(VRAM_table[Video memory], (VRAM_table[Video memory text]&lt;&gt;"") * ISNUMBER(SEARCH(VRAM_table[Video memory text], B802)), ""))</f>
        <v>8GB</v>
      </c>
    </row>
    <row r="803" spans="1:9" hidden="1" x14ac:dyDescent="0.35">
      <c r="A803" t="s">
        <v>9</v>
      </c>
      <c r="B803" t="s">
        <v>473</v>
      </c>
      <c r="C803">
        <v>18990000</v>
      </c>
      <c r="D803">
        <v>14990000</v>
      </c>
      <c r="E803" t="s">
        <v>474</v>
      </c>
      <c r="F803" t="s">
        <v>1051</v>
      </c>
      <c r="G803" t="str">
        <f>_xlfn.TEXTJOIN(",",TRUE,_xlfn._xlws.FILTER(GPU_brand[GPU brand], (GPU_brand[GPU brand text]&lt;&gt;"") * ISNUMBER(SEARCH(GPU_brand[GPU brand text], B803)), ""))</f>
        <v>Gigabyte</v>
      </c>
      <c r="H803" t="str">
        <f>_xlfn.TEXTJOIN(",",TRUE,_xlfn._xlws.FILTER(Chipset_Table[Chipset], (Chipset_Table[Chipset text]&lt;&gt;"") * ISNUMBER(SEARCH(Chipset_Table[Chipset text], B803)), ""))</f>
        <v>GeForce RTX 3060,GeForce RTX 3060 Ti,RTX 3060</v>
      </c>
      <c r="I803" t="str">
        <f>_xlfn.TEXTJOIN(",",TRUE,_xlfn._xlws.FILTER(VRAM_table[Video memory], (VRAM_table[Video memory text]&lt;&gt;"") * ISNUMBER(SEARCH(VRAM_table[Video memory text], B803)), ""))</f>
        <v>8GB</v>
      </c>
    </row>
    <row r="804" spans="1:9" hidden="1" x14ac:dyDescent="0.35">
      <c r="A804" t="s">
        <v>9</v>
      </c>
      <c r="B804" t="s">
        <v>475</v>
      </c>
      <c r="C804">
        <v>17990000</v>
      </c>
      <c r="D804">
        <v>12990000</v>
      </c>
      <c r="E804" t="s">
        <v>476</v>
      </c>
      <c r="F804" t="s">
        <v>1051</v>
      </c>
      <c r="G804" t="str">
        <f>_xlfn.TEXTJOIN(",",TRUE,_xlfn._xlws.FILTER(GPU_brand[GPU brand], (GPU_brand[GPU brand text]&lt;&gt;"") * ISNUMBER(SEARCH(GPU_brand[GPU brand text], B804)), ""))</f>
        <v>ASUS</v>
      </c>
      <c r="H804" t="str">
        <f>_xlfn.TEXTJOIN(",",TRUE,_xlfn._xlws.FILTER(Chipset_Table[Chipset], (Chipset_Table[Chipset text]&lt;&gt;"") * ISNUMBER(SEARCH(Chipset_Table[Chipset text], B804)), ""))</f>
        <v>GeForce RTX 3060,GeForce RTX 3060 Ti,RTX 3060</v>
      </c>
      <c r="I804" t="str">
        <f>_xlfn.TEXTJOIN(",",TRUE,_xlfn._xlws.FILTER(VRAM_table[Video memory], (VRAM_table[Video memory text]&lt;&gt;"") * ISNUMBER(SEARCH(VRAM_table[Video memory text], B804)), ""))</f>
        <v>8GB,8GB</v>
      </c>
    </row>
    <row r="805" spans="1:9" hidden="1" x14ac:dyDescent="0.35">
      <c r="A805" t="s">
        <v>9</v>
      </c>
      <c r="B805" t="s">
        <v>477</v>
      </c>
      <c r="C805">
        <v>15490000</v>
      </c>
      <c r="D805">
        <v>14990000</v>
      </c>
      <c r="E805" t="s">
        <v>478</v>
      </c>
      <c r="F805" t="s">
        <v>1051</v>
      </c>
      <c r="G805" t="str">
        <f>_xlfn.TEXTJOIN(",",TRUE,_xlfn._xlws.FILTER(GPU_brand[GPU brand], (GPU_brand[GPU brand text]&lt;&gt;"") * ISNUMBER(SEARCH(GPU_brand[GPU brand text], B805)), ""))</f>
        <v>ASUS</v>
      </c>
      <c r="H805" t="str">
        <f>_xlfn.TEXTJOIN(",",TRUE,_xlfn._xlws.FILTER(Chipset_Table[Chipset], (Chipset_Table[Chipset text]&lt;&gt;"") * ISNUMBER(SEARCH(Chipset_Table[Chipset text], B805)), ""))</f>
        <v>GeForce RTX 3060,GeForce RTX 3060 Ti,RTX 3060</v>
      </c>
      <c r="I805" t="str">
        <f>_xlfn.TEXTJOIN(",",TRUE,_xlfn._xlws.FILTER(VRAM_table[Video memory], (VRAM_table[Video memory text]&lt;&gt;"") * ISNUMBER(SEARCH(VRAM_table[Video memory text], B805)), ""))</f>
        <v>8GB,8GB</v>
      </c>
    </row>
    <row r="806" spans="1:9" hidden="1" x14ac:dyDescent="0.35">
      <c r="A806" t="s">
        <v>9</v>
      </c>
      <c r="B806" t="s">
        <v>479</v>
      </c>
      <c r="C806">
        <v>0</v>
      </c>
      <c r="D806">
        <v>13990000</v>
      </c>
      <c r="E806" t="s">
        <v>480</v>
      </c>
      <c r="F806" t="s">
        <v>1051</v>
      </c>
      <c r="G806" t="str">
        <f>_xlfn.TEXTJOIN(",",TRUE,_xlfn._xlws.FILTER(GPU_brand[GPU brand], (GPU_brand[GPU brand text]&lt;&gt;"") * ISNUMBER(SEARCH(GPU_brand[GPU brand text], B806)), ""))</f>
        <v>ASUS</v>
      </c>
      <c r="H806" t="str">
        <f>_xlfn.TEXTJOIN(",",TRUE,_xlfn._xlws.FILTER(Chipset_Table[Chipset], (Chipset_Table[Chipset text]&lt;&gt;"") * ISNUMBER(SEARCH(Chipset_Table[Chipset text], B806)), ""))</f>
        <v>GeForce RTX 3060,GeForce RTX 3060 Ti,RTX 3060</v>
      </c>
      <c r="I806" t="str">
        <f>_xlfn.TEXTJOIN(",",TRUE,_xlfn._xlws.FILTER(VRAM_table[Video memory], (VRAM_table[Video memory text]&lt;&gt;"") * ISNUMBER(SEARCH(VRAM_table[Video memory text], B806)), ""))</f>
        <v>8GB,8GB</v>
      </c>
    </row>
    <row r="807" spans="1:9" hidden="1" x14ac:dyDescent="0.35">
      <c r="A807" t="s">
        <v>9</v>
      </c>
      <c r="B807" t="s">
        <v>481</v>
      </c>
      <c r="C807">
        <v>0</v>
      </c>
      <c r="D807">
        <v>13690000</v>
      </c>
      <c r="E807" t="s">
        <v>482</v>
      </c>
      <c r="F807" t="s">
        <v>1051</v>
      </c>
      <c r="G807" t="str">
        <f>_xlfn.TEXTJOIN(",",TRUE,_xlfn._xlws.FILTER(GPU_brand[GPU brand], (GPU_brand[GPU brand text]&lt;&gt;"") * ISNUMBER(SEARCH(GPU_brand[GPU brand text], B807)), ""))</f>
        <v>ASUS</v>
      </c>
      <c r="H807" t="str">
        <f>_xlfn.TEXTJOIN(",",TRUE,_xlfn._xlws.FILTER(Chipset_Table[Chipset], (Chipset_Table[Chipset text]&lt;&gt;"") * ISNUMBER(SEARCH(Chipset_Table[Chipset text], B807)), ""))</f>
        <v>GeForce RTX 3060,GeForce RTX 3060 Ti,RTX 3060</v>
      </c>
      <c r="I807" t="str">
        <f>_xlfn.TEXTJOIN(",",TRUE,_xlfn._xlws.FILTER(VRAM_table[Video memory], (VRAM_table[Video memory text]&lt;&gt;"") * ISNUMBER(SEARCH(VRAM_table[Video memory text], B807)), ""))</f>
        <v>8GB,8GB</v>
      </c>
    </row>
    <row r="808" spans="1:9" hidden="1" x14ac:dyDescent="0.35">
      <c r="A808" t="s">
        <v>9</v>
      </c>
      <c r="B808" t="s">
        <v>483</v>
      </c>
      <c r="C808">
        <v>15490000</v>
      </c>
      <c r="D808">
        <v>10990000</v>
      </c>
      <c r="E808" t="s">
        <v>484</v>
      </c>
      <c r="F808" t="s">
        <v>1051</v>
      </c>
      <c r="G808" t="str">
        <f>_xlfn.TEXTJOIN(",",TRUE,_xlfn._xlws.FILTER(GPU_brand[GPU brand], (GPU_brand[GPU brand text]&lt;&gt;"") * ISNUMBER(SEARCH(GPU_brand[GPU brand text], B808)), ""))</f>
        <v>ASUS</v>
      </c>
      <c r="H808" t="str">
        <f>_xlfn.TEXTJOIN(",",TRUE,_xlfn._xlws.FILTER(Chipset_Table[Chipset], (Chipset_Table[Chipset text]&lt;&gt;"") * ISNUMBER(SEARCH(Chipset_Table[Chipset text], B808)), ""))</f>
        <v>GeForce RTX 3060,GeForce RTX 3060 Ti,RTX 3060</v>
      </c>
      <c r="I808" t="str">
        <f>_xlfn.TEXTJOIN(",",TRUE,_xlfn._xlws.FILTER(VRAM_table[Video memory], (VRAM_table[Video memory text]&lt;&gt;"") * ISNUMBER(SEARCH(VRAM_table[Video memory text], B808)), ""))</f>
        <v>8GB,8GB</v>
      </c>
    </row>
    <row r="809" spans="1:9" hidden="1" x14ac:dyDescent="0.35">
      <c r="A809" t="s">
        <v>9</v>
      </c>
      <c r="B809" t="s">
        <v>485</v>
      </c>
      <c r="C809">
        <v>14990000</v>
      </c>
      <c r="D809">
        <v>12990000</v>
      </c>
      <c r="E809" t="s">
        <v>486</v>
      </c>
      <c r="F809" t="s">
        <v>1051</v>
      </c>
      <c r="G809" t="str">
        <f>_xlfn.TEXTJOIN(",",TRUE,_xlfn._xlws.FILTER(GPU_brand[GPU brand], (GPU_brand[GPU brand text]&lt;&gt;"") * ISNUMBER(SEARCH(GPU_brand[GPU brand text], B809)), ""))</f>
        <v>ASUS</v>
      </c>
      <c r="H809" t="str">
        <f>_xlfn.TEXTJOIN(",",TRUE,_xlfn._xlws.FILTER(Chipset_Table[Chipset], (Chipset_Table[Chipset text]&lt;&gt;"") * ISNUMBER(SEARCH(Chipset_Table[Chipset text], B809)), ""))</f>
        <v>GeForce RTX 3060,GeForce RTX 3060 Ti,RTX 3060</v>
      </c>
      <c r="I809" t="str">
        <f>_xlfn.TEXTJOIN(",",TRUE,_xlfn._xlws.FILTER(VRAM_table[Video memory], (VRAM_table[Video memory text]&lt;&gt;"") * ISNUMBER(SEARCH(VRAM_table[Video memory text], B809)), ""))</f>
        <v>8GB,8GB</v>
      </c>
    </row>
    <row r="810" spans="1:9" hidden="1" x14ac:dyDescent="0.35">
      <c r="A810" t="s">
        <v>9</v>
      </c>
      <c r="B810" t="s">
        <v>487</v>
      </c>
      <c r="C810">
        <v>9990000</v>
      </c>
      <c r="D810">
        <v>8090000</v>
      </c>
      <c r="E810" t="s">
        <v>488</v>
      </c>
      <c r="F810" t="s">
        <v>1051</v>
      </c>
      <c r="G810" t="str">
        <f>_xlfn.TEXTJOIN(",",TRUE,_xlfn._xlws.FILTER(GPU_brand[GPU brand], (GPU_brand[GPU brand text]&lt;&gt;"") * ISNUMBER(SEARCH(GPU_brand[GPU brand text], B810)), ""))</f>
        <v>Gigabyte</v>
      </c>
      <c r="H810" t="str">
        <f>_xlfn.TEXTJOIN(",",TRUE,_xlfn._xlws.FILTER(Chipset_Table[Chipset], (Chipset_Table[Chipset text]&lt;&gt;"") * ISNUMBER(SEARCH(Chipset_Table[Chipset text], B810)), ""))</f>
        <v>GeForce RTX 3060,RTX 3060</v>
      </c>
      <c r="I810" t="str">
        <f>_xlfn.TEXTJOIN(",",TRUE,_xlfn._xlws.FILTER(VRAM_table[Video memory], (VRAM_table[Video memory text]&lt;&gt;"") * ISNUMBER(SEARCH(VRAM_table[Video memory text], B810)), ""))</f>
        <v>12GB,2GB</v>
      </c>
    </row>
    <row r="811" spans="1:9" hidden="1" x14ac:dyDescent="0.35">
      <c r="A811" t="s">
        <v>9</v>
      </c>
      <c r="B811" t="s">
        <v>489</v>
      </c>
      <c r="C811">
        <v>9990000</v>
      </c>
      <c r="D811">
        <v>6290000</v>
      </c>
      <c r="E811" t="s">
        <v>490</v>
      </c>
      <c r="F811" t="s">
        <v>1051</v>
      </c>
      <c r="G811" t="str">
        <f>_xlfn.TEXTJOIN(",",TRUE,_xlfn._xlws.FILTER(GPU_brand[GPU brand], (GPU_brand[GPU brand text]&lt;&gt;"") * ISNUMBER(SEARCH(GPU_brand[GPU brand text], B811)), ""))</f>
        <v>Gigabyte</v>
      </c>
      <c r="H811" t="str">
        <f>_xlfn.TEXTJOIN(",",TRUE,_xlfn._xlws.FILTER(Chipset_Table[Chipset], (Chipset_Table[Chipset text]&lt;&gt;"") * ISNUMBER(SEARCH(Chipset_Table[Chipset text], B811)), ""))</f>
        <v>GeForce RTX 2060,RTX 2060</v>
      </c>
      <c r="I811" t="str">
        <f>_xlfn.TEXTJOIN(",",TRUE,_xlfn._xlws.FILTER(VRAM_table[Video memory], (VRAM_table[Video memory text]&lt;&gt;"") * ISNUMBER(SEARCH(VRAM_table[Video memory text], B811)), ""))</f>
        <v>6GB</v>
      </c>
    </row>
    <row r="812" spans="1:9" hidden="1" x14ac:dyDescent="0.35">
      <c r="A812" t="s">
        <v>9</v>
      </c>
      <c r="B812" t="s">
        <v>492</v>
      </c>
      <c r="C812">
        <v>0</v>
      </c>
      <c r="D812">
        <v>4490000</v>
      </c>
      <c r="E812" t="s">
        <v>493</v>
      </c>
      <c r="F812" t="s">
        <v>1051</v>
      </c>
      <c r="G812" t="str">
        <f>_xlfn.TEXTJOIN(",",TRUE,_xlfn._xlws.FILTER(GPU_brand[GPU brand], (GPU_brand[GPU brand text]&lt;&gt;"") * ISNUMBER(SEARCH(GPU_brand[GPU brand text], B812)), ""))</f>
        <v>ASUS</v>
      </c>
      <c r="H812" t="str">
        <f>_xlfn.TEXTJOIN(",",TRUE,_xlfn._xlws.FILTER(Chipset_Table[Chipset], (Chipset_Table[Chipset text]&lt;&gt;"") * ISNUMBER(SEARCH(Chipset_Table[Chipset text], B812)), ""))</f>
        <v>GeForce GTX 1650,GTX 1650</v>
      </c>
      <c r="I812" t="str">
        <f>_xlfn.TEXTJOIN(",",TRUE,_xlfn._xlws.FILTER(VRAM_table[Video memory], (VRAM_table[Video memory text]&lt;&gt;"") * ISNUMBER(SEARCH(VRAM_table[Video memory text], B812)), ""))</f>
        <v>4GB,4GB</v>
      </c>
    </row>
    <row r="813" spans="1:9" hidden="1" x14ac:dyDescent="0.35">
      <c r="A813" t="s">
        <v>9</v>
      </c>
      <c r="B813" t="s">
        <v>494</v>
      </c>
      <c r="C813">
        <v>10990000</v>
      </c>
      <c r="D813">
        <v>10690000</v>
      </c>
      <c r="E813" t="s">
        <v>495</v>
      </c>
      <c r="F813" t="s">
        <v>1051</v>
      </c>
      <c r="G813" t="str">
        <f>_xlfn.TEXTJOIN(",",TRUE,_xlfn._xlws.FILTER(GPU_brand[GPU brand], (GPU_brand[GPU brand text]&lt;&gt;"") * ISNUMBER(SEARCH(GPU_brand[GPU brand text], B813)), ""))</f>
        <v>ASUS</v>
      </c>
      <c r="H813" t="str">
        <f>_xlfn.TEXTJOIN(",",TRUE,_xlfn._xlws.FILTER(Chipset_Table[Chipset], (Chipset_Table[Chipset text]&lt;&gt;"") * ISNUMBER(SEARCH(Chipset_Table[Chipset text], B813)), ""))</f>
        <v>GeForce GTX 1660</v>
      </c>
      <c r="I813" t="str">
        <f>_xlfn.TEXTJOIN(",",TRUE,_xlfn._xlws.FILTER(VRAM_table[Video memory], (VRAM_table[Video memory text]&lt;&gt;"") * ISNUMBER(SEARCH(VRAM_table[Video memory text], B813)), ""))</f>
        <v>6GB,6GB</v>
      </c>
    </row>
    <row r="814" spans="1:9" hidden="1" x14ac:dyDescent="0.35">
      <c r="A814" t="s">
        <v>9</v>
      </c>
      <c r="B814" t="s">
        <v>496</v>
      </c>
      <c r="C814">
        <v>0</v>
      </c>
      <c r="D814">
        <v>10690000</v>
      </c>
      <c r="E814" t="s">
        <v>497</v>
      </c>
      <c r="F814" t="s">
        <v>1051</v>
      </c>
      <c r="G814" t="str">
        <f>_xlfn.TEXTJOIN(",",TRUE,_xlfn._xlws.FILTER(GPU_brand[GPU brand], (GPU_brand[GPU brand text]&lt;&gt;"") * ISNUMBER(SEARCH(GPU_brand[GPU brand text], B814)), ""))</f>
        <v>ASUS</v>
      </c>
      <c r="H814" t="str">
        <f>_xlfn.TEXTJOIN(",",TRUE,_xlfn._xlws.FILTER(Chipset_Table[Chipset], (Chipset_Table[Chipset text]&lt;&gt;"") * ISNUMBER(SEARCH(Chipset_Table[Chipset text], B814)), ""))</f>
        <v>GeForce GTX 1660 SUPER,GeForce GTX 1660, GTX 1660 Super</v>
      </c>
      <c r="I814" t="str">
        <f>_xlfn.TEXTJOIN(",",TRUE,_xlfn._xlws.FILTER(VRAM_table[Video memory], (VRAM_table[Video memory text]&lt;&gt;"") * ISNUMBER(SEARCH(VRAM_table[Video memory text], B814)), ""))</f>
        <v>6GB,6GB</v>
      </c>
    </row>
    <row r="815" spans="1:9" hidden="1" x14ac:dyDescent="0.35">
      <c r="A815" t="s">
        <v>9</v>
      </c>
      <c r="B815" t="s">
        <v>498</v>
      </c>
      <c r="C815">
        <v>6990000</v>
      </c>
      <c r="D815">
        <v>3890000</v>
      </c>
      <c r="E815" t="s">
        <v>499</v>
      </c>
      <c r="F815" t="s">
        <v>1051</v>
      </c>
      <c r="G815" t="str">
        <f>_xlfn.TEXTJOIN(",",TRUE,_xlfn._xlws.FILTER(GPU_brand[GPU brand], (GPU_brand[GPU brand text]&lt;&gt;"") * ISNUMBER(SEARCH(GPU_brand[GPU brand text], B815)), ""))</f>
        <v>MSI</v>
      </c>
      <c r="H815" t="str">
        <f>_xlfn.TEXTJOIN(",",TRUE,_xlfn._xlws.FILTER(Chipset_Table[Chipset], (Chipset_Table[Chipset text]&lt;&gt;"") * ISNUMBER(SEARCH(Chipset_Table[Chipset text], B815)), ""))</f>
        <v>GeForce GTX 1650,GTX 1650</v>
      </c>
      <c r="I815" t="str">
        <f>_xlfn.TEXTJOIN(",",TRUE,_xlfn._xlws.FILTER(VRAM_table[Video memory], (VRAM_table[Video memory text]&lt;&gt;"") * ISNUMBER(SEARCH(VRAM_table[Video memory text], B815)), ""))</f>
        <v>4GB,4GB</v>
      </c>
    </row>
    <row r="816" spans="1:9" hidden="1" x14ac:dyDescent="0.35">
      <c r="A816" t="s">
        <v>9</v>
      </c>
      <c r="B816" t="s">
        <v>500</v>
      </c>
      <c r="C816">
        <v>8490000</v>
      </c>
      <c r="D816">
        <v>7690000</v>
      </c>
      <c r="E816" t="s">
        <v>501</v>
      </c>
      <c r="F816" t="s">
        <v>1051</v>
      </c>
      <c r="G816" t="str">
        <f>_xlfn.TEXTJOIN(",",TRUE,_xlfn._xlws.FILTER(GPU_brand[GPU brand], (GPU_brand[GPU brand text]&lt;&gt;"") * ISNUMBER(SEARCH(GPU_brand[GPU brand text], B816)), ""))</f>
        <v>MSI</v>
      </c>
      <c r="H816" t="str">
        <f>_xlfn.TEXTJOIN(",",TRUE,_xlfn._xlws.FILTER(Chipset_Table[Chipset], (Chipset_Table[Chipset text]&lt;&gt;"") * ISNUMBER(SEARCH(Chipset_Table[Chipset text], B816)), ""))</f>
        <v>GeForce GTX 1650,GTX 1650</v>
      </c>
      <c r="I816" t="str">
        <f>_xlfn.TEXTJOIN(",",TRUE,_xlfn._xlws.FILTER(VRAM_table[Video memory], (VRAM_table[Video memory text]&lt;&gt;"") * ISNUMBER(SEARCH(VRAM_table[Video memory text], B816)), ""))</f>
        <v>4GB,4GB</v>
      </c>
    </row>
    <row r="817" spans="1:9" hidden="1" x14ac:dyDescent="0.35">
      <c r="A817" t="s">
        <v>9</v>
      </c>
      <c r="B817" t="s">
        <v>502</v>
      </c>
      <c r="C817">
        <v>0</v>
      </c>
      <c r="D817">
        <v>6990000</v>
      </c>
      <c r="E817" t="s">
        <v>503</v>
      </c>
      <c r="F817" t="s">
        <v>1051</v>
      </c>
      <c r="G817" t="str">
        <f>_xlfn.TEXTJOIN(",",TRUE,_xlfn._xlws.FILTER(GPU_brand[GPU brand], (GPU_brand[GPU brand text]&lt;&gt;"") * ISNUMBER(SEARCH(GPU_brand[GPU brand text], B817)), ""))</f>
        <v>MSI</v>
      </c>
      <c r="H817" t="str">
        <f>_xlfn.TEXTJOIN(",",TRUE,_xlfn._xlws.FILTER(Chipset_Table[Chipset], (Chipset_Table[Chipset text]&lt;&gt;"") * ISNUMBER(SEARCH(Chipset_Table[Chipset text], B817)), ""))</f>
        <v>GeForce GTX 1650,GTX 1650</v>
      </c>
      <c r="I817" t="str">
        <f>_xlfn.TEXTJOIN(",",TRUE,_xlfn._xlws.FILTER(VRAM_table[Video memory], (VRAM_table[Video memory text]&lt;&gt;"") * ISNUMBER(SEARCH(VRAM_table[Video memory text], B817)), ""))</f>
        <v>4GB</v>
      </c>
    </row>
    <row r="818" spans="1:9" hidden="1" x14ac:dyDescent="0.35">
      <c r="A818" t="s">
        <v>9</v>
      </c>
      <c r="B818" t="s">
        <v>504</v>
      </c>
      <c r="C818">
        <v>14990000</v>
      </c>
      <c r="D818">
        <v>7890000</v>
      </c>
      <c r="E818" t="s">
        <v>505</v>
      </c>
      <c r="F818" t="s">
        <v>1051</v>
      </c>
      <c r="G818" t="str">
        <f>_xlfn.TEXTJOIN(",",TRUE,_xlfn._xlws.FILTER(GPU_brand[GPU brand], (GPU_brand[GPU brand text]&lt;&gt;"") * ISNUMBER(SEARCH(GPU_brand[GPU brand text], B818)), ""))</f>
        <v>Leadtek</v>
      </c>
      <c r="H818" t="str">
        <f>_xlfn.TEXTJOIN(",",TRUE,_xlfn._xlws.FILTER(Chipset_Table[Chipset], (Chipset_Table[Chipset text]&lt;&gt;"") * ISNUMBER(SEARCH(Chipset_Table[Chipset text], B818)), ""))</f>
        <v xml:space="preserve"> GTX 1660 Super</v>
      </c>
      <c r="I818" t="str">
        <f>_xlfn.TEXTJOIN(",",TRUE,_xlfn._xlws.FILTER(VRAM_table[Video memory], (VRAM_table[Video memory text]&lt;&gt;"") * ISNUMBER(SEARCH(VRAM_table[Video memory text], B818)), ""))</f>
        <v>6GB</v>
      </c>
    </row>
    <row r="819" spans="1:9" hidden="1" x14ac:dyDescent="0.35">
      <c r="A819" t="s">
        <v>9</v>
      </c>
      <c r="B819" t="s">
        <v>506</v>
      </c>
      <c r="C819">
        <v>0</v>
      </c>
      <c r="D819">
        <v>7390000</v>
      </c>
      <c r="E819" t="s">
        <v>507</v>
      </c>
      <c r="F819" t="s">
        <v>1051</v>
      </c>
      <c r="G819" t="str">
        <f>_xlfn.TEXTJOIN(",",TRUE,_xlfn._xlws.FILTER(GPU_brand[GPU brand], (GPU_brand[GPU brand text]&lt;&gt;"") * ISNUMBER(SEARCH(GPU_brand[GPU brand text], B819)), ""))</f>
        <v>Gigabyte</v>
      </c>
      <c r="H819" t="str">
        <f>_xlfn.TEXTJOIN(",",TRUE,_xlfn._xlws.FILTER(Chipset_Table[Chipset], (Chipset_Table[Chipset text]&lt;&gt;"") * ISNUMBER(SEARCH(Chipset_Table[Chipset text], B819)), ""))</f>
        <v>GeForce GTX 1650,GTX 1650</v>
      </c>
      <c r="I819" t="str">
        <f>_xlfn.TEXTJOIN(",",TRUE,_xlfn._xlws.FILTER(VRAM_table[Video memory], (VRAM_table[Video memory text]&lt;&gt;"") * ISNUMBER(SEARCH(VRAM_table[Video memory text], B819)), ""))</f>
        <v>4GB</v>
      </c>
    </row>
    <row r="820" spans="1:9" hidden="1" x14ac:dyDescent="0.35">
      <c r="A820" t="s">
        <v>9</v>
      </c>
      <c r="B820" t="s">
        <v>508</v>
      </c>
      <c r="C820">
        <v>0</v>
      </c>
      <c r="D820">
        <v>13290000</v>
      </c>
      <c r="E820" t="s">
        <v>509</v>
      </c>
      <c r="F820" t="s">
        <v>1051</v>
      </c>
      <c r="G820" t="str">
        <f>_xlfn.TEXTJOIN(",",TRUE,_xlfn._xlws.FILTER(GPU_brand[GPU brand], (GPU_brand[GPU brand text]&lt;&gt;"") * ISNUMBER(SEARCH(GPU_brand[GPU brand text], B820)), ""))</f>
        <v>Gigabyte</v>
      </c>
      <c r="H820" t="str">
        <f>_xlfn.TEXTJOIN(",",TRUE,_xlfn._xlws.FILTER(Chipset_Table[Chipset], (Chipset_Table[Chipset text]&lt;&gt;"") * ISNUMBER(SEARCH(Chipset_Table[Chipset text], B820)), ""))</f>
        <v>GeForce GTX 1660 SUPER,GeForce GTX 1660, GTX 1660 Super</v>
      </c>
      <c r="I820" t="str">
        <f>_xlfn.TEXTJOIN(",",TRUE,_xlfn._xlws.FILTER(VRAM_table[Video memory], (VRAM_table[Video memory text]&lt;&gt;"") * ISNUMBER(SEARCH(VRAM_table[Video memory text], B820)), ""))</f>
        <v>6GB</v>
      </c>
    </row>
    <row r="821" spans="1:9" hidden="1" x14ac:dyDescent="0.35">
      <c r="A821" t="s">
        <v>9</v>
      </c>
      <c r="B821" t="s">
        <v>510</v>
      </c>
      <c r="C821">
        <v>7490000</v>
      </c>
      <c r="D821">
        <v>6990000</v>
      </c>
      <c r="E821" t="s">
        <v>511</v>
      </c>
      <c r="F821" t="s">
        <v>1051</v>
      </c>
      <c r="G821" t="str">
        <f>_xlfn.TEXTJOIN(",",TRUE,_xlfn._xlws.FILTER(GPU_brand[GPU brand], (GPU_brand[GPU brand text]&lt;&gt;"") * ISNUMBER(SEARCH(GPU_brand[GPU brand text], B821)), ""))</f>
        <v>MSI</v>
      </c>
      <c r="H821" t="str">
        <f>_xlfn.TEXTJOIN(",",TRUE,_xlfn._xlws.FILTER(Chipset_Table[Chipset], (Chipset_Table[Chipset text]&lt;&gt;"") * ISNUMBER(SEARCH(Chipset_Table[Chipset text], B821)), ""))</f>
        <v>GeForce GTX 1650,GTX 1650</v>
      </c>
      <c r="I821" t="str">
        <f>_xlfn.TEXTJOIN(",",TRUE,_xlfn._xlws.FILTER(VRAM_table[Video memory], (VRAM_table[Video memory text]&lt;&gt;"") * ISNUMBER(SEARCH(VRAM_table[Video memory text], B821)), ""))</f>
        <v>4GB,4GB</v>
      </c>
    </row>
    <row r="822" spans="1:9" hidden="1" x14ac:dyDescent="0.35">
      <c r="A822" t="s">
        <v>9</v>
      </c>
      <c r="B822" t="s">
        <v>512</v>
      </c>
      <c r="C822">
        <v>0</v>
      </c>
      <c r="D822">
        <v>13290000</v>
      </c>
      <c r="E822" t="s">
        <v>513</v>
      </c>
      <c r="F822" t="s">
        <v>1051</v>
      </c>
      <c r="G822" t="str">
        <f>_xlfn.TEXTJOIN(",",TRUE,_xlfn._xlws.FILTER(GPU_brand[GPU brand], (GPU_brand[GPU brand text]&lt;&gt;"") * ISNUMBER(SEARCH(GPU_brand[GPU brand text], B822)), ""))</f>
        <v>ASUS</v>
      </c>
      <c r="H822" t="str">
        <f>_xlfn.TEXTJOIN(",",TRUE,_xlfn._xlws.FILTER(Chipset_Table[Chipset], (Chipset_Table[Chipset text]&lt;&gt;"") * ISNUMBER(SEARCH(Chipset_Table[Chipset text], B822)), ""))</f>
        <v>GeForce GTX 1660 SUPER,GeForce GTX 1660, GTX 1660 Super</v>
      </c>
      <c r="I822" t="str">
        <f>_xlfn.TEXTJOIN(",",TRUE,_xlfn._xlws.FILTER(VRAM_table[Video memory], (VRAM_table[Video memory text]&lt;&gt;"") * ISNUMBER(SEARCH(VRAM_table[Video memory text], B822)), ""))</f>
        <v>6GB,6GB</v>
      </c>
    </row>
    <row r="823" spans="1:9" hidden="1" x14ac:dyDescent="0.35">
      <c r="A823" t="s">
        <v>9</v>
      </c>
      <c r="B823" t="s">
        <v>514</v>
      </c>
      <c r="C823">
        <v>7690000</v>
      </c>
      <c r="D823">
        <v>6990000</v>
      </c>
      <c r="E823" t="s">
        <v>515</v>
      </c>
      <c r="F823" t="s">
        <v>1051</v>
      </c>
      <c r="G823" t="str">
        <f>_xlfn.TEXTJOIN(",",TRUE,_xlfn._xlws.FILTER(GPU_brand[GPU brand], (GPU_brand[GPU brand text]&lt;&gt;"") * ISNUMBER(SEARCH(GPU_brand[GPU brand text], B823)), ""))</f>
        <v>ASUS</v>
      </c>
      <c r="H823" t="str">
        <f>_xlfn.TEXTJOIN(",",TRUE,_xlfn._xlws.FILTER(Chipset_Table[Chipset], (Chipset_Table[Chipset text]&lt;&gt;"") * ISNUMBER(SEARCH(Chipset_Table[Chipset text], B823)), ""))</f>
        <v>GeForce GTX 1650,GTX 1650</v>
      </c>
      <c r="I823" t="str">
        <f>_xlfn.TEXTJOIN(",",TRUE,_xlfn._xlws.FILTER(VRAM_table[Video memory], (VRAM_table[Video memory text]&lt;&gt;"") * ISNUMBER(SEARCH(VRAM_table[Video memory text], B823)), ""))</f>
        <v>4GB,4GB</v>
      </c>
    </row>
    <row r="824" spans="1:9" hidden="1" x14ac:dyDescent="0.35">
      <c r="A824" t="s">
        <v>9</v>
      </c>
      <c r="B824" t="s">
        <v>516</v>
      </c>
      <c r="C824">
        <v>0</v>
      </c>
      <c r="D824">
        <v>6990000</v>
      </c>
      <c r="E824" t="s">
        <v>517</v>
      </c>
      <c r="F824" t="s">
        <v>1051</v>
      </c>
      <c r="G824" t="str">
        <f>_xlfn.TEXTJOIN(",",TRUE,_xlfn._xlws.FILTER(GPU_brand[GPU brand], (GPU_brand[GPU brand text]&lt;&gt;"") * ISNUMBER(SEARCH(GPU_brand[GPU brand text], B824)), ""))</f>
        <v>ASUS</v>
      </c>
      <c r="H824" t="str">
        <f>_xlfn.TEXTJOIN(",",TRUE,_xlfn._xlws.FILTER(Chipset_Table[Chipset], (Chipset_Table[Chipset text]&lt;&gt;"") * ISNUMBER(SEARCH(Chipset_Table[Chipset text], B824)), ""))</f>
        <v>GeForce GTX 1650,GTX 1650</v>
      </c>
      <c r="I824" t="str">
        <f>_xlfn.TEXTJOIN(",",TRUE,_xlfn._xlws.FILTER(VRAM_table[Video memory], (VRAM_table[Video memory text]&lt;&gt;"") * ISNUMBER(SEARCH(VRAM_table[Video memory text], B824)), ""))</f>
        <v>4GB,4GB</v>
      </c>
    </row>
    <row r="825" spans="1:9" hidden="1" x14ac:dyDescent="0.35">
      <c r="A825" t="s">
        <v>9</v>
      </c>
      <c r="B825" t="s">
        <v>518</v>
      </c>
      <c r="C825">
        <v>9990000</v>
      </c>
      <c r="D825">
        <v>6590000</v>
      </c>
      <c r="E825" t="s">
        <v>519</v>
      </c>
      <c r="F825" t="s">
        <v>1051</v>
      </c>
      <c r="G825" t="str">
        <f>_xlfn.TEXTJOIN(",",TRUE,_xlfn._xlws.FILTER(GPU_brand[GPU brand], (GPU_brand[GPU brand text]&lt;&gt;"") * ISNUMBER(SEARCH(GPU_brand[GPU brand text], B825)), ""))</f>
        <v>ASUS</v>
      </c>
      <c r="H825" t="str">
        <f>_xlfn.TEXTJOIN(",",TRUE,_xlfn._xlws.FILTER(Chipset_Table[Chipset], (Chipset_Table[Chipset text]&lt;&gt;"") * ISNUMBER(SEARCH(Chipset_Table[Chipset text], B825)), ""))</f>
        <v>GeForce RTX 2060,RTX 2060</v>
      </c>
      <c r="I825" t="str">
        <f>_xlfn.TEXTJOIN(",",TRUE,_xlfn._xlws.FILTER(VRAM_table[Video memory], (VRAM_table[Video memory text]&lt;&gt;"") * ISNUMBER(SEARCH(VRAM_table[Video memory text], B825)), ""))</f>
        <v>6GB,6GB</v>
      </c>
    </row>
    <row r="826" spans="1:9" hidden="1" x14ac:dyDescent="0.35">
      <c r="A826" t="s">
        <v>9</v>
      </c>
      <c r="B826" t="s">
        <v>520</v>
      </c>
      <c r="C826">
        <v>0</v>
      </c>
      <c r="D826">
        <v>6990000</v>
      </c>
      <c r="E826" t="s">
        <v>521</v>
      </c>
      <c r="F826" t="s">
        <v>1051</v>
      </c>
      <c r="G826" t="str">
        <f>_xlfn.TEXTJOIN(",",TRUE,_xlfn._xlws.FILTER(GPU_brand[GPU brand], (GPU_brand[GPU brand text]&lt;&gt;"") * ISNUMBER(SEARCH(GPU_brand[GPU brand text], B826)), ""))</f>
        <v>Leadtek</v>
      </c>
      <c r="H826" t="str">
        <f>_xlfn.TEXTJOIN(",",TRUE,_xlfn._xlws.FILTER(Chipset_Table[Chipset], (Chipset_Table[Chipset text]&lt;&gt;"") * ISNUMBER(SEARCH(Chipset_Table[Chipset text], B826)), ""))</f>
        <v>GeForce GTX 1650,GTX 1650</v>
      </c>
      <c r="I826" t="str">
        <f>_xlfn.TEXTJOIN(",",TRUE,_xlfn._xlws.FILTER(VRAM_table[Video memory], (VRAM_table[Video memory text]&lt;&gt;"") * ISNUMBER(SEARCH(VRAM_table[Video memory text], B826)), ""))</f>
        <v>4GB</v>
      </c>
    </row>
    <row r="827" spans="1:9" hidden="1" x14ac:dyDescent="0.35">
      <c r="A827" t="s">
        <v>9</v>
      </c>
      <c r="B827" t="s">
        <v>522</v>
      </c>
      <c r="C827">
        <v>7490000</v>
      </c>
      <c r="D827">
        <v>6990000</v>
      </c>
      <c r="E827" t="s">
        <v>523</v>
      </c>
      <c r="F827" t="s">
        <v>1051</v>
      </c>
      <c r="G827" t="str">
        <f>_xlfn.TEXTJOIN(",",TRUE,_xlfn._xlws.FILTER(GPU_brand[GPU brand], (GPU_brand[GPU brand text]&lt;&gt;"") * ISNUMBER(SEARCH(GPU_brand[GPU brand text], B827)), ""))</f>
        <v>INNO3D</v>
      </c>
      <c r="H827" t="str">
        <f>_xlfn.TEXTJOIN(",",TRUE,_xlfn._xlws.FILTER(Chipset_Table[Chipset], (Chipset_Table[Chipset text]&lt;&gt;"") * ISNUMBER(SEARCH(Chipset_Table[Chipset text], B827)), ""))</f>
        <v>GeForce GTX 1650,GTX 1650</v>
      </c>
      <c r="I827" t="str">
        <f>_xlfn.TEXTJOIN(",",TRUE,_xlfn._xlws.FILTER(VRAM_table[Video memory], (VRAM_table[Video memory text]&lt;&gt;"") * ISNUMBER(SEARCH(VRAM_table[Video memory text], B827)), ""))</f>
        <v>4GB</v>
      </c>
    </row>
    <row r="828" spans="1:9" hidden="1" x14ac:dyDescent="0.35">
      <c r="A828" t="s">
        <v>9</v>
      </c>
      <c r="B828" t="s">
        <v>524</v>
      </c>
      <c r="C828">
        <v>15990000</v>
      </c>
      <c r="D828">
        <v>10490000</v>
      </c>
      <c r="E828" t="s">
        <v>525</v>
      </c>
      <c r="F828" t="s">
        <v>1051</v>
      </c>
      <c r="G828" t="str">
        <f>_xlfn.TEXTJOIN(",",TRUE,_xlfn._xlws.FILTER(GPU_brand[GPU brand], (GPU_brand[GPU brand text]&lt;&gt;"") * ISNUMBER(SEARCH(GPU_brand[GPU brand text], B828)), ""))</f>
        <v>Gigabyte</v>
      </c>
      <c r="H828" t="str">
        <f>_xlfn.TEXTJOIN(",",TRUE,_xlfn._xlws.FILTER(Chipset_Table[Chipset], (Chipset_Table[Chipset text]&lt;&gt;"") * ISNUMBER(SEARCH(Chipset_Table[Chipset text], B828)), ""))</f>
        <v>GeForce RTX 3060,GeForce RTX 3060 Ti,RTX 3060</v>
      </c>
      <c r="I828" t="str">
        <f>_xlfn.TEXTJOIN(",",TRUE,_xlfn._xlws.FILTER(VRAM_table[Video memory], (VRAM_table[Video memory text]&lt;&gt;"") * ISNUMBER(SEARCH(VRAM_table[Video memory text], B828)), ""))</f>
        <v>8GB</v>
      </c>
    </row>
    <row r="829" spans="1:9" hidden="1" x14ac:dyDescent="0.35">
      <c r="A829" t="s">
        <v>9</v>
      </c>
      <c r="B829" t="s">
        <v>526</v>
      </c>
      <c r="C829">
        <v>7690000</v>
      </c>
      <c r="D829">
        <v>6990000</v>
      </c>
      <c r="E829" t="s">
        <v>527</v>
      </c>
      <c r="F829" t="s">
        <v>1051</v>
      </c>
      <c r="G829" t="str">
        <f>_xlfn.TEXTJOIN(",",TRUE,_xlfn._xlws.FILTER(GPU_brand[GPU brand], (GPU_brand[GPU brand text]&lt;&gt;"") * ISNUMBER(SEARCH(GPU_brand[GPU brand text], B829)), ""))</f>
        <v>Gigabyte</v>
      </c>
      <c r="H829" t="str">
        <f>_xlfn.TEXTJOIN(",",TRUE,_xlfn._xlws.FILTER(Chipset_Table[Chipset], (Chipset_Table[Chipset text]&lt;&gt;"") * ISNUMBER(SEARCH(Chipset_Table[Chipset text], B829)), ""))</f>
        <v>GeForce GTX 1650,GTX 1650</v>
      </c>
      <c r="I829" t="str">
        <f>_xlfn.TEXTJOIN(",",TRUE,_xlfn._xlws.FILTER(VRAM_table[Video memory], (VRAM_table[Video memory text]&lt;&gt;"") * ISNUMBER(SEARCH(VRAM_table[Video memory text], B829)), ""))</f>
        <v>4GB</v>
      </c>
    </row>
    <row r="830" spans="1:9" hidden="1" x14ac:dyDescent="0.35">
      <c r="A830" t="s">
        <v>9</v>
      </c>
      <c r="B830" t="s">
        <v>528</v>
      </c>
      <c r="C830">
        <v>46990000</v>
      </c>
      <c r="D830">
        <v>29990000</v>
      </c>
      <c r="E830" t="s">
        <v>529</v>
      </c>
      <c r="F830" t="s">
        <v>1051</v>
      </c>
      <c r="G830" t="str">
        <f>_xlfn.TEXTJOIN(",",TRUE,_xlfn._xlws.FILTER(GPU_brand[GPU brand], (GPU_brand[GPU brand text]&lt;&gt;"") * ISNUMBER(SEARCH(GPU_brand[GPU brand text], B830)), ""))</f>
        <v>Gigabyte</v>
      </c>
      <c r="H830" t="str">
        <f>_xlfn.TEXTJOIN(",",TRUE,_xlfn._xlws.FILTER(Chipset_Table[Chipset], (Chipset_Table[Chipset text]&lt;&gt;"") * ISNUMBER(SEARCH(Chipset_Table[Chipset text], B830)), ""))</f>
        <v>GeForce RTX 3080 Ti</v>
      </c>
      <c r="I830" t="str">
        <f>_xlfn.TEXTJOIN(",",TRUE,_xlfn._xlws.FILTER(VRAM_table[Video memory], (VRAM_table[Video memory text]&lt;&gt;"") * ISNUMBER(SEARCH(VRAM_table[Video memory text], B830)), ""))</f>
        <v>12GB,2GB</v>
      </c>
    </row>
    <row r="831" spans="1:9" hidden="1" x14ac:dyDescent="0.35">
      <c r="A831" t="s">
        <v>9</v>
      </c>
      <c r="B831" t="s">
        <v>530</v>
      </c>
      <c r="C831">
        <v>14990000</v>
      </c>
      <c r="D831">
        <v>11990000</v>
      </c>
      <c r="E831" t="s">
        <v>531</v>
      </c>
      <c r="F831" t="s">
        <v>1051</v>
      </c>
      <c r="G831" t="str">
        <f>_xlfn.TEXTJOIN(",",TRUE,_xlfn._xlws.FILTER(GPU_brand[GPU brand], (GPU_brand[GPU brand text]&lt;&gt;"") * ISNUMBER(SEARCH(GPU_brand[GPU brand text], B831)), ""))</f>
        <v>ASUS</v>
      </c>
      <c r="H831" t="str">
        <f>_xlfn.TEXTJOIN(",",TRUE,_xlfn._xlws.FILTER(Chipset_Table[Chipset], (Chipset_Table[Chipset text]&lt;&gt;"") * ISNUMBER(SEARCH(Chipset_Table[Chipset text], B831)), ""))</f>
        <v>GeForce RTX 3060,GeForce RTX 3060 Ti,RTX 3060</v>
      </c>
      <c r="I831" t="str">
        <f>_xlfn.TEXTJOIN(",",TRUE,_xlfn._xlws.FILTER(VRAM_table[Video memory], (VRAM_table[Video memory text]&lt;&gt;"") * ISNUMBER(SEARCH(VRAM_table[Video memory text], B831)), ""))</f>
        <v>8GB,8GB</v>
      </c>
    </row>
    <row r="832" spans="1:9" hidden="1" x14ac:dyDescent="0.35">
      <c r="A832" t="s">
        <v>9</v>
      </c>
      <c r="B832" t="s">
        <v>532</v>
      </c>
      <c r="C832">
        <v>50990000</v>
      </c>
      <c r="D832">
        <v>30990000</v>
      </c>
      <c r="E832" t="s">
        <v>533</v>
      </c>
      <c r="F832" t="s">
        <v>1051</v>
      </c>
      <c r="G832" t="str">
        <f>_xlfn.TEXTJOIN(",",TRUE,_xlfn._xlws.FILTER(GPU_brand[GPU brand], (GPU_brand[GPU brand text]&lt;&gt;"") * ISNUMBER(SEARCH(GPU_brand[GPU brand text], B832)), ""))</f>
        <v>ASUS</v>
      </c>
      <c r="H832" t="str">
        <f>_xlfn.TEXTJOIN(",",TRUE,_xlfn._xlws.FILTER(Chipset_Table[Chipset], (Chipset_Table[Chipset text]&lt;&gt;"") * ISNUMBER(SEARCH(Chipset_Table[Chipset text], B832)), ""))</f>
        <v>GeForce RTX 3080 Ti</v>
      </c>
      <c r="I832" t="str">
        <f>_xlfn.TEXTJOIN(",",TRUE,_xlfn._xlws.FILTER(VRAM_table[Video memory], (VRAM_table[Video memory text]&lt;&gt;"") * ISNUMBER(SEARCH(VRAM_table[Video memory text], B832)), ""))</f>
        <v>12GB,2GB</v>
      </c>
    </row>
    <row r="833" spans="1:9" hidden="1" x14ac:dyDescent="0.35">
      <c r="A833" t="s">
        <v>9</v>
      </c>
      <c r="B833" t="s">
        <v>534</v>
      </c>
      <c r="C833">
        <v>34990000</v>
      </c>
      <c r="D833">
        <v>29990000</v>
      </c>
      <c r="E833" t="s">
        <v>535</v>
      </c>
      <c r="F833" t="s">
        <v>1051</v>
      </c>
      <c r="G833" t="str">
        <f>_xlfn.TEXTJOIN(",",TRUE,_xlfn._xlws.FILTER(GPU_brand[GPU brand], (GPU_brand[GPU brand text]&lt;&gt;"") * ISNUMBER(SEARCH(GPU_brand[GPU brand text], B833)), ""))</f>
        <v>ASUS</v>
      </c>
      <c r="H833" t="str">
        <f>_xlfn.TEXTJOIN(",",TRUE,_xlfn._xlws.FILTER(Chipset_Table[Chipset], (Chipset_Table[Chipset text]&lt;&gt;"") * ISNUMBER(SEARCH(Chipset_Table[Chipset text], B833)), ""))</f>
        <v>GeForce RTX 3080 Ti</v>
      </c>
      <c r="I833" t="str">
        <f>_xlfn.TEXTJOIN(",",TRUE,_xlfn._xlws.FILTER(VRAM_table[Video memory], (VRAM_table[Video memory text]&lt;&gt;"") * ISNUMBER(SEARCH(VRAM_table[Video memory text], B833)), ""))</f>
        <v>12GB,2GB</v>
      </c>
    </row>
    <row r="834" spans="1:9" hidden="1" x14ac:dyDescent="0.35">
      <c r="A834" t="s">
        <v>9</v>
      </c>
      <c r="B834" t="s">
        <v>536</v>
      </c>
      <c r="C834">
        <v>9490000</v>
      </c>
      <c r="D834">
        <v>6290000</v>
      </c>
      <c r="E834" t="s">
        <v>537</v>
      </c>
      <c r="F834" t="s">
        <v>1051</v>
      </c>
      <c r="G834" t="str">
        <f>_xlfn.TEXTJOIN(",",TRUE,_xlfn._xlws.FILTER(GPU_brand[GPU brand], (GPU_brand[GPU brand text]&lt;&gt;"") * ISNUMBER(SEARCH(GPU_brand[GPU brand text], B834)), ""))</f>
        <v>ASUS</v>
      </c>
      <c r="H834" t="str">
        <f>_xlfn.TEXTJOIN(",",TRUE,_xlfn._xlws.FILTER(Chipset_Table[Chipset], (Chipset_Table[Chipset text]&lt;&gt;"") * ISNUMBER(SEARCH(Chipset_Table[Chipset text], B834)), ""))</f>
        <v>GeForce RTX 2060,RTX 2060</v>
      </c>
      <c r="I834" t="str">
        <f>_xlfn.TEXTJOIN(",",TRUE,_xlfn._xlws.FILTER(VRAM_table[Video memory], (VRAM_table[Video memory text]&lt;&gt;"") * ISNUMBER(SEARCH(VRAM_table[Video memory text], B834)), ""))</f>
        <v>6GB,6GB</v>
      </c>
    </row>
    <row r="835" spans="1:9" hidden="1" x14ac:dyDescent="0.35">
      <c r="A835" t="s">
        <v>9</v>
      </c>
      <c r="B835" t="s">
        <v>538</v>
      </c>
      <c r="C835">
        <v>13290000</v>
      </c>
      <c r="D835">
        <v>12490000</v>
      </c>
      <c r="E835" t="s">
        <v>539</v>
      </c>
      <c r="F835" t="s">
        <v>1051</v>
      </c>
      <c r="G835" t="str">
        <f>_xlfn.TEXTJOIN(",",TRUE,_xlfn._xlws.FILTER(GPU_brand[GPU brand], (GPU_brand[GPU brand text]&lt;&gt;"") * ISNUMBER(SEARCH(GPU_brand[GPU brand text], B835)), ""))</f>
        <v>MSI</v>
      </c>
      <c r="H835" t="str">
        <f>_xlfn.TEXTJOIN(",",TRUE,_xlfn._xlws.FILTER(Chipset_Table[Chipset], (Chipset_Table[Chipset text]&lt;&gt;"") * ISNUMBER(SEARCH(Chipset_Table[Chipset text], B835)), ""))</f>
        <v>GeForce GTX 1660</v>
      </c>
      <c r="I835" t="str">
        <f>_xlfn.TEXTJOIN(",",TRUE,_xlfn._xlws.FILTER(VRAM_table[Video memory], (VRAM_table[Video memory text]&lt;&gt;"") * ISNUMBER(SEARCH(VRAM_table[Video memory text], B835)), ""))</f>
        <v>6GB</v>
      </c>
    </row>
    <row r="836" spans="1:9" hidden="1" x14ac:dyDescent="0.35">
      <c r="A836" t="s">
        <v>9</v>
      </c>
      <c r="B836" t="s">
        <v>540</v>
      </c>
      <c r="C836">
        <v>0</v>
      </c>
      <c r="D836">
        <v>10490000</v>
      </c>
      <c r="E836" t="s">
        <v>541</v>
      </c>
      <c r="F836" t="s">
        <v>1051</v>
      </c>
      <c r="G836" t="str">
        <f>_xlfn.TEXTJOIN(",",TRUE,_xlfn._xlws.FILTER(GPU_brand[GPU brand], (GPU_brand[GPU brand text]&lt;&gt;"") * ISNUMBER(SEARCH(GPU_brand[GPU brand text], B836)), ""))</f>
        <v>MSI</v>
      </c>
      <c r="H836" t="str">
        <f>_xlfn.TEXTJOIN(",",TRUE,_xlfn._xlws.FILTER(Chipset_Table[Chipset], (Chipset_Table[Chipset text]&lt;&gt;"") * ISNUMBER(SEARCH(Chipset_Table[Chipset text], B836)), ""))</f>
        <v>RTX 2060</v>
      </c>
      <c r="I836" t="str">
        <f>_xlfn.TEXTJOIN(",",TRUE,_xlfn._xlws.FILTER(VRAM_table[Video memory], (VRAM_table[Video memory text]&lt;&gt;"") * ISNUMBER(SEARCH(VRAM_table[Video memory text], B836)), ""))</f>
        <v>6GB</v>
      </c>
    </row>
    <row r="837" spans="1:9" hidden="1" x14ac:dyDescent="0.35">
      <c r="A837" t="s">
        <v>9</v>
      </c>
      <c r="B837" t="s">
        <v>542</v>
      </c>
      <c r="C837">
        <v>0</v>
      </c>
      <c r="D837">
        <v>14990000</v>
      </c>
      <c r="E837" t="s">
        <v>543</v>
      </c>
      <c r="F837" t="s">
        <v>1051</v>
      </c>
      <c r="G837" t="str">
        <f>_xlfn.TEXTJOIN(",",TRUE,_xlfn._xlws.FILTER(GPU_brand[GPU brand], (GPU_brand[GPU brand text]&lt;&gt;"") * ISNUMBER(SEARCH(GPU_brand[GPU brand text], B837)), ""))</f>
        <v>MSI</v>
      </c>
      <c r="H837" t="str">
        <f>_xlfn.TEXTJOIN(",",TRUE,_xlfn._xlws.FILTER(Chipset_Table[Chipset], (Chipset_Table[Chipset text]&lt;&gt;"") * ISNUMBER(SEARCH(Chipset_Table[Chipset text], B837)), ""))</f>
        <v>GeForce RTX 2060,RTX 2060</v>
      </c>
      <c r="I837" t="str">
        <f>_xlfn.TEXTJOIN(",",TRUE,_xlfn._xlws.FILTER(VRAM_table[Video memory], (VRAM_table[Video memory text]&lt;&gt;"") * ISNUMBER(SEARCH(VRAM_table[Video memory text], B837)), ""))</f>
        <v>6GB</v>
      </c>
    </row>
    <row r="838" spans="1:9" hidden="1" x14ac:dyDescent="0.35">
      <c r="A838" t="s">
        <v>9</v>
      </c>
      <c r="B838" t="s">
        <v>544</v>
      </c>
      <c r="C838">
        <v>0</v>
      </c>
      <c r="D838">
        <v>8350000</v>
      </c>
      <c r="E838" t="s">
        <v>545</v>
      </c>
      <c r="F838" t="s">
        <v>1051</v>
      </c>
      <c r="G838" t="str">
        <f>_xlfn.TEXTJOIN(",",TRUE,_xlfn._xlws.FILTER(GPU_brand[GPU brand], (GPU_brand[GPU brand text]&lt;&gt;"") * ISNUMBER(SEARCH(GPU_brand[GPU brand text], B838)), ""))</f>
        <v>Gigabyte</v>
      </c>
      <c r="H838" t="str">
        <f>_xlfn.TEXTJOIN(",",TRUE,_xlfn._xlws.FILTER(Chipset_Table[Chipset], (Chipset_Table[Chipset text]&lt;&gt;"") * ISNUMBER(SEARCH(Chipset_Table[Chipset text], B838)), ""))</f>
        <v>GeForce RTX 2060,RTX 2060</v>
      </c>
      <c r="I838" t="str">
        <f>_xlfn.TEXTJOIN(",",TRUE,_xlfn._xlws.FILTER(VRAM_table[Video memory], (VRAM_table[Video memory text]&lt;&gt;"") * ISNUMBER(SEARCH(VRAM_table[Video memory text], B838)), ""))</f>
        <v>6GB</v>
      </c>
    </row>
    <row r="839" spans="1:9" hidden="1" x14ac:dyDescent="0.35">
      <c r="A839" t="s">
        <v>9</v>
      </c>
      <c r="B839" t="s">
        <v>546</v>
      </c>
      <c r="C839">
        <v>0</v>
      </c>
      <c r="D839">
        <v>10800000</v>
      </c>
      <c r="E839" t="s">
        <v>547</v>
      </c>
      <c r="F839" t="s">
        <v>1051</v>
      </c>
      <c r="G839" t="str">
        <f>_xlfn.TEXTJOIN(",",TRUE,_xlfn._xlws.FILTER(GPU_brand[GPU brand], (GPU_brand[GPU brand text]&lt;&gt;"") * ISNUMBER(SEARCH(GPU_brand[GPU brand text], B839)), ""))</f>
        <v>Gigabyte</v>
      </c>
      <c r="H839" t="str">
        <f>_xlfn.TEXTJOIN(",",TRUE,_xlfn._xlws.FILTER(Chipset_Table[Chipset], (Chipset_Table[Chipset text]&lt;&gt;"") * ISNUMBER(SEARCH(Chipset_Table[Chipset text], B839)), ""))</f>
        <v>GeForce RTX 2060,RTX 2060</v>
      </c>
      <c r="I839" t="str">
        <f>_xlfn.TEXTJOIN(",",TRUE,_xlfn._xlws.FILTER(VRAM_table[Video memory], (VRAM_table[Video memory text]&lt;&gt;"") * ISNUMBER(SEARCH(VRAM_table[Video memory text], B839)), ""))</f>
        <v>6GB</v>
      </c>
    </row>
    <row r="840" spans="1:9" hidden="1" x14ac:dyDescent="0.35">
      <c r="A840" t="s">
        <v>9</v>
      </c>
      <c r="B840" t="s">
        <v>548</v>
      </c>
      <c r="C840">
        <v>0</v>
      </c>
      <c r="D840">
        <v>10990000</v>
      </c>
      <c r="E840" t="s">
        <v>549</v>
      </c>
      <c r="F840" t="s">
        <v>1051</v>
      </c>
      <c r="G840" t="str">
        <f>_xlfn.TEXTJOIN(",",TRUE,_xlfn._xlws.FILTER(GPU_brand[GPU brand], (GPU_brand[GPU brand text]&lt;&gt;"") * ISNUMBER(SEARCH(GPU_brand[GPU brand text], B840)), ""))</f>
        <v>Gigabyte</v>
      </c>
      <c r="H840" t="str">
        <f>_xlfn.TEXTJOIN(",",TRUE,_xlfn._xlws.FILTER(Chipset_Table[Chipset], (Chipset_Table[Chipset text]&lt;&gt;"") * ISNUMBER(SEARCH(Chipset_Table[Chipset text], B840)), ""))</f>
        <v>RTX 2060</v>
      </c>
      <c r="I840" t="str">
        <f>_xlfn.TEXTJOIN(",",TRUE,_xlfn._xlws.FILTER(VRAM_table[Video memory], (VRAM_table[Video memory text]&lt;&gt;"") * ISNUMBER(SEARCH(VRAM_table[Video memory text], B840)), ""))</f>
        <v>6GB</v>
      </c>
    </row>
    <row r="841" spans="1:9" hidden="1" x14ac:dyDescent="0.35">
      <c r="A841" t="s">
        <v>9</v>
      </c>
      <c r="B841" t="s">
        <v>550</v>
      </c>
      <c r="C841">
        <v>0</v>
      </c>
      <c r="D841">
        <v>11990000</v>
      </c>
      <c r="E841" t="s">
        <v>551</v>
      </c>
      <c r="F841" t="s">
        <v>1051</v>
      </c>
      <c r="G841" t="str">
        <f>_xlfn.TEXTJOIN(",",TRUE,_xlfn._xlws.FILTER(GPU_brand[GPU brand], (GPU_brand[GPU brand text]&lt;&gt;"") * ISNUMBER(SEARCH(GPU_brand[GPU brand text], B841)), ""))</f>
        <v>EVGA</v>
      </c>
      <c r="H841" t="str">
        <f>_xlfn.TEXTJOIN(",",TRUE,_xlfn._xlws.FILTER(Chipset_Table[Chipset], (Chipset_Table[Chipset text]&lt;&gt;"") * ISNUMBER(SEARCH(Chipset_Table[Chipset text], B841)), ""))</f>
        <v>GeForce RTX 2060,RTX 2060</v>
      </c>
      <c r="I841" t="str">
        <f>_xlfn.TEXTJOIN(",",TRUE,_xlfn._xlws.FILTER(VRAM_table[Video memory], (VRAM_table[Video memory text]&lt;&gt;"") * ISNUMBER(SEARCH(VRAM_table[Video memory text], B841)), ""))</f>
        <v>6GB,6GB</v>
      </c>
    </row>
    <row r="842" spans="1:9" hidden="1" x14ac:dyDescent="0.35">
      <c r="A842" t="s">
        <v>9</v>
      </c>
      <c r="B842" t="s">
        <v>552</v>
      </c>
      <c r="C842">
        <v>0</v>
      </c>
      <c r="D842">
        <v>12990000</v>
      </c>
      <c r="E842" t="s">
        <v>553</v>
      </c>
      <c r="F842" t="s">
        <v>1051</v>
      </c>
      <c r="G842" t="str">
        <f>_xlfn.TEXTJOIN(",",TRUE,_xlfn._xlws.FILTER(GPU_brand[GPU brand], (GPU_brand[GPU brand text]&lt;&gt;"") * ISNUMBER(SEARCH(GPU_brand[GPU brand text], B842)), ""))</f>
        <v>ASUS</v>
      </c>
      <c r="H842" t="str">
        <f>_xlfn.TEXTJOIN(",",TRUE,_xlfn._xlws.FILTER(Chipset_Table[Chipset], (Chipset_Table[Chipset text]&lt;&gt;"") * ISNUMBER(SEARCH(Chipset_Table[Chipset text], B842)), ""))</f>
        <v>GeForce RTX 2060,RTX 2060</v>
      </c>
      <c r="I842" t="str">
        <f>_xlfn.TEXTJOIN(",",TRUE,_xlfn._xlws.FILTER(VRAM_table[Video memory], (VRAM_table[Video memory text]&lt;&gt;"") * ISNUMBER(SEARCH(VRAM_table[Video memory text], B842)), ""))</f>
        <v>6GB,6GB</v>
      </c>
    </row>
    <row r="843" spans="1:9" hidden="1" x14ac:dyDescent="0.35">
      <c r="A843" t="s">
        <v>9</v>
      </c>
      <c r="B843" t="s">
        <v>554</v>
      </c>
      <c r="C843">
        <v>0</v>
      </c>
      <c r="D843">
        <v>10100000</v>
      </c>
      <c r="E843" t="s">
        <v>555</v>
      </c>
      <c r="F843" t="s">
        <v>1051</v>
      </c>
      <c r="G843" t="str">
        <f>_xlfn.TEXTJOIN(",",TRUE,_xlfn._xlws.FILTER(GPU_brand[GPU brand], (GPU_brand[GPU brand text]&lt;&gt;"") * ISNUMBER(SEARCH(GPU_brand[GPU brand text], B843)), ""))</f>
        <v>ASUS</v>
      </c>
      <c r="H843" t="str">
        <f>_xlfn.TEXTJOIN(",",TRUE,_xlfn._xlws.FILTER(Chipset_Table[Chipset], (Chipset_Table[Chipset text]&lt;&gt;"") * ISNUMBER(SEARCH(Chipset_Table[Chipset text], B843)), ""))</f>
        <v>GeForce RTX 2060,RTX 2060</v>
      </c>
      <c r="I843" t="str">
        <f>_xlfn.TEXTJOIN(",",TRUE,_xlfn._xlws.FILTER(VRAM_table[Video memory], (VRAM_table[Video memory text]&lt;&gt;"") * ISNUMBER(SEARCH(VRAM_table[Video memory text], B843)), ""))</f>
        <v>6GB,6GB</v>
      </c>
    </row>
    <row r="844" spans="1:9" hidden="1" x14ac:dyDescent="0.35">
      <c r="A844" t="s">
        <v>9</v>
      </c>
      <c r="B844" t="s">
        <v>556</v>
      </c>
      <c r="C844">
        <v>7690000</v>
      </c>
      <c r="D844">
        <v>5990000</v>
      </c>
      <c r="E844" t="s">
        <v>557</v>
      </c>
      <c r="F844" t="s">
        <v>1051</v>
      </c>
      <c r="G844" t="str">
        <f>_xlfn.TEXTJOIN(",",TRUE,_xlfn._xlws.FILTER(GPU_brand[GPU brand], (GPU_brand[GPU brand text]&lt;&gt;"") * ISNUMBER(SEARCH(GPU_brand[GPU brand text], B844)), ""))</f>
        <v>Palit</v>
      </c>
      <c r="H844" t="str">
        <f>_xlfn.TEXTJOIN(",",TRUE,_xlfn._xlws.FILTER(Chipset_Table[Chipset], (Chipset_Table[Chipset text]&lt;&gt;"") * ISNUMBER(SEARCH(Chipset_Table[Chipset text], B844)), ""))</f>
        <v>GeForce GTX 1650,GTX 1650</v>
      </c>
      <c r="I844" t="str">
        <f>_xlfn.TEXTJOIN(",",TRUE,_xlfn._xlws.FILTER(VRAM_table[Video memory], (VRAM_table[Video memory text]&lt;&gt;"") * ISNUMBER(SEARCH(VRAM_table[Video memory text], B844)), ""))</f>
        <v>4GB,4GB</v>
      </c>
    </row>
    <row r="845" spans="1:9" hidden="1" x14ac:dyDescent="0.35">
      <c r="A845" t="s">
        <v>9</v>
      </c>
      <c r="B845" t="s">
        <v>558</v>
      </c>
      <c r="C845">
        <v>16990000</v>
      </c>
      <c r="D845">
        <v>13190000</v>
      </c>
      <c r="E845" t="s">
        <v>559</v>
      </c>
      <c r="F845" t="s">
        <v>1051</v>
      </c>
      <c r="G845" t="str">
        <f>_xlfn.TEXTJOIN(",",TRUE,_xlfn._xlws.FILTER(GPU_brand[GPU brand], (GPU_brand[GPU brand text]&lt;&gt;"") * ISNUMBER(SEARCH(GPU_brand[GPU brand text], B845)), ""))</f>
        <v>MSI</v>
      </c>
      <c r="H845" t="str">
        <f>_xlfn.TEXTJOIN(",",TRUE,_xlfn._xlws.FILTER(Chipset_Table[Chipset], (Chipset_Table[Chipset text]&lt;&gt;"") * ISNUMBER(SEARCH(Chipset_Table[Chipset text], B845)), ""))</f>
        <v>GeForce RTX 3060,GeForce RTX 3060 Ti,RTX 3060</v>
      </c>
      <c r="I845" t="str">
        <f>_xlfn.TEXTJOIN(",",TRUE,_xlfn._xlws.FILTER(VRAM_table[Video memory], (VRAM_table[Video memory text]&lt;&gt;"") * ISNUMBER(SEARCH(VRAM_table[Video memory text], B845)), ""))</f>
        <v>8GB</v>
      </c>
    </row>
    <row r="846" spans="1:9" hidden="1" x14ac:dyDescent="0.35">
      <c r="A846" t="s">
        <v>9</v>
      </c>
      <c r="B846" t="s">
        <v>560</v>
      </c>
      <c r="C846">
        <v>18990000</v>
      </c>
      <c r="D846">
        <v>11990000</v>
      </c>
      <c r="E846" t="s">
        <v>561</v>
      </c>
      <c r="F846" t="s">
        <v>1051</v>
      </c>
      <c r="G846" t="str">
        <f>_xlfn.TEXTJOIN(",",TRUE,_xlfn._xlws.FILTER(GPU_brand[GPU brand], (GPU_brand[GPU brand text]&lt;&gt;"") * ISNUMBER(SEARCH(GPU_brand[GPU brand text], B846)), ""))</f>
        <v>MSI</v>
      </c>
      <c r="H846" t="str">
        <f>_xlfn.TEXTJOIN(",",TRUE,_xlfn._xlws.FILTER(Chipset_Table[Chipset], (Chipset_Table[Chipset text]&lt;&gt;"") * ISNUMBER(SEARCH(Chipset_Table[Chipset text], B846)), ""))</f>
        <v>GeForce RTX 3060,GeForce RTX 3060 Ti,RTX 3060</v>
      </c>
      <c r="I846" t="str">
        <f>_xlfn.TEXTJOIN(",",TRUE,_xlfn._xlws.FILTER(VRAM_table[Video memory], (VRAM_table[Video memory text]&lt;&gt;"") * ISNUMBER(SEARCH(VRAM_table[Video memory text], B846)), ""))</f>
        <v>8GB</v>
      </c>
    </row>
    <row r="847" spans="1:9" hidden="1" x14ac:dyDescent="0.35">
      <c r="A847" t="s">
        <v>9</v>
      </c>
      <c r="B847" t="s">
        <v>562</v>
      </c>
      <c r="C847">
        <v>7490000</v>
      </c>
      <c r="D847">
        <v>4990000</v>
      </c>
      <c r="E847" t="s">
        <v>563</v>
      </c>
      <c r="F847" t="s">
        <v>1051</v>
      </c>
      <c r="G847" t="str">
        <f>_xlfn.TEXTJOIN(",",TRUE,_xlfn._xlws.FILTER(GPU_brand[GPU brand], (GPU_brand[GPU brand text]&lt;&gt;"") * ISNUMBER(SEARCH(GPU_brand[GPU brand text], B847)), ""))</f>
        <v>Manli</v>
      </c>
      <c r="H847" t="str">
        <f>_xlfn.TEXTJOIN(",",TRUE,_xlfn._xlws.FILTER(Chipset_Table[Chipset], (Chipset_Table[Chipset text]&lt;&gt;"") * ISNUMBER(SEARCH(Chipset_Table[Chipset text], B847)), ""))</f>
        <v>GeForce GTX 1650,GTX 1650</v>
      </c>
      <c r="I847" t="str">
        <f>_xlfn.TEXTJOIN(",",TRUE,_xlfn._xlws.FILTER(VRAM_table[Video memory], (VRAM_table[Video memory text]&lt;&gt;"") * ISNUMBER(SEARCH(VRAM_table[Video memory text], B847)), ""))</f>
        <v>4GB,4GB</v>
      </c>
    </row>
    <row r="848" spans="1:9" hidden="1" x14ac:dyDescent="0.35">
      <c r="A848" t="s">
        <v>9</v>
      </c>
      <c r="B848" t="s">
        <v>564</v>
      </c>
      <c r="C848">
        <v>6990000</v>
      </c>
      <c r="D848">
        <v>5590000</v>
      </c>
      <c r="E848" t="s">
        <v>565</v>
      </c>
      <c r="F848" t="s">
        <v>1051</v>
      </c>
      <c r="G848" t="str">
        <f>_xlfn.TEXTJOIN(",",TRUE,_xlfn._xlws.FILTER(GPU_brand[GPU brand], (GPU_brand[GPU brand text]&lt;&gt;"") * ISNUMBER(SEARCH(GPU_brand[GPU brand text], B848)), ""))</f>
        <v>Gigabyte</v>
      </c>
      <c r="H848" t="str">
        <f>_xlfn.TEXTJOIN(",",TRUE,_xlfn._xlws.FILTER(Chipset_Table[Chipset], (Chipset_Table[Chipset text]&lt;&gt;"") * ISNUMBER(SEARCH(Chipset_Table[Chipset text], B848)), ""))</f>
        <v>RX 6600</v>
      </c>
      <c r="I848" t="str">
        <f>_xlfn.TEXTJOIN(",",TRUE,_xlfn._xlws.FILTER(VRAM_table[Video memory], (VRAM_table[Video memory text]&lt;&gt;"") * ISNUMBER(SEARCH(VRAM_table[Video memory text], B848)), ""))</f>
        <v>8GB</v>
      </c>
    </row>
    <row r="849" spans="1:9" hidden="1" x14ac:dyDescent="0.35">
      <c r="A849" t="s">
        <v>9</v>
      </c>
      <c r="B849" t="s">
        <v>566</v>
      </c>
      <c r="C849">
        <v>0</v>
      </c>
      <c r="D849">
        <v>6690000</v>
      </c>
      <c r="E849" t="s">
        <v>567</v>
      </c>
      <c r="F849" t="s">
        <v>1051</v>
      </c>
      <c r="G849" t="str">
        <f>_xlfn.TEXTJOIN(",",TRUE,_xlfn._xlws.FILTER(GPU_brand[GPU brand], (GPU_brand[GPU brand text]&lt;&gt;"") * ISNUMBER(SEARCH(GPU_brand[GPU brand text], B849)), ""))</f>
        <v>Gigabyte</v>
      </c>
      <c r="H849" t="str">
        <f>_xlfn.TEXTJOIN(",",TRUE,_xlfn._xlws.FILTER(Chipset_Table[Chipset], (Chipset_Table[Chipset text]&lt;&gt;"") * ISNUMBER(SEARCH(Chipset_Table[Chipset text], B849)), ""))</f>
        <v>GeForce GTX 1650,GTX 1650</v>
      </c>
      <c r="I849" t="str">
        <f>_xlfn.TEXTJOIN(",",TRUE,_xlfn._xlws.FILTER(VRAM_table[Video memory], (VRAM_table[Video memory text]&lt;&gt;"") * ISNUMBER(SEARCH(VRAM_table[Video memory text], B849)), ""))</f>
        <v>4GB</v>
      </c>
    </row>
    <row r="850" spans="1:9" hidden="1" x14ac:dyDescent="0.35">
      <c r="A850" t="s">
        <v>9</v>
      </c>
      <c r="B850" t="s">
        <v>568</v>
      </c>
      <c r="C850">
        <v>7890000</v>
      </c>
      <c r="D850">
        <v>7290000</v>
      </c>
      <c r="E850" t="s">
        <v>569</v>
      </c>
      <c r="F850" t="s">
        <v>1051</v>
      </c>
      <c r="G850" t="str">
        <f>_xlfn.TEXTJOIN(",",TRUE,_xlfn._xlws.FILTER(GPU_brand[GPU brand], (GPU_brand[GPU brand text]&lt;&gt;"") * ISNUMBER(SEARCH(GPU_brand[GPU brand text], B850)), ""))</f>
        <v>Gigabyte</v>
      </c>
      <c r="H850" t="str">
        <f>_xlfn.TEXTJOIN(",",TRUE,_xlfn._xlws.FILTER(Chipset_Table[Chipset], (Chipset_Table[Chipset text]&lt;&gt;"") * ISNUMBER(SEARCH(Chipset_Table[Chipset text], B850)), ""))</f>
        <v>GeForce GTX 1650,GTX 1650</v>
      </c>
      <c r="I850" t="str">
        <f>_xlfn.TEXTJOIN(",",TRUE,_xlfn._xlws.FILTER(VRAM_table[Video memory], (VRAM_table[Video memory text]&lt;&gt;"") * ISNUMBER(SEARCH(VRAM_table[Video memory text], B850)), ""))</f>
        <v>4GB</v>
      </c>
    </row>
    <row r="851" spans="1:9" hidden="1" x14ac:dyDescent="0.35">
      <c r="A851" t="s">
        <v>9</v>
      </c>
      <c r="B851" t="s">
        <v>570</v>
      </c>
      <c r="C851">
        <v>19990000</v>
      </c>
      <c r="D851">
        <v>14490000</v>
      </c>
      <c r="E851" t="s">
        <v>571</v>
      </c>
      <c r="F851" t="s">
        <v>1051</v>
      </c>
      <c r="G851" t="str">
        <f>_xlfn.TEXTJOIN(",",TRUE,_xlfn._xlws.FILTER(GPU_brand[GPU brand], (GPU_brand[GPU brand text]&lt;&gt;"") * ISNUMBER(SEARCH(GPU_brand[GPU brand text], B851)), ""))</f>
        <v>Gigabyte</v>
      </c>
      <c r="H851" t="str">
        <f>_xlfn.TEXTJOIN(",",TRUE,_xlfn._xlws.FILTER(Chipset_Table[Chipset], (Chipset_Table[Chipset text]&lt;&gt;"") * ISNUMBER(SEARCH(Chipset_Table[Chipset text], B851)), ""))</f>
        <v>GeForce RTX 3060,GeForce RTX 3060 Ti,RTX 3060</v>
      </c>
      <c r="I851" t="str">
        <f>_xlfn.TEXTJOIN(",",TRUE,_xlfn._xlws.FILTER(VRAM_table[Video memory], (VRAM_table[Video memory text]&lt;&gt;"") * ISNUMBER(SEARCH(VRAM_table[Video memory text], B851)), ""))</f>
        <v>8GB</v>
      </c>
    </row>
    <row r="852" spans="1:9" hidden="1" x14ac:dyDescent="0.35">
      <c r="A852" t="s">
        <v>9</v>
      </c>
      <c r="B852" t="s">
        <v>572</v>
      </c>
      <c r="C852">
        <v>7490000</v>
      </c>
      <c r="D852">
        <v>6890000</v>
      </c>
      <c r="E852" t="s">
        <v>573</v>
      </c>
      <c r="F852" t="s">
        <v>1051</v>
      </c>
      <c r="G852" t="str">
        <f>_xlfn.TEXTJOIN(",",TRUE,_xlfn._xlws.FILTER(GPU_brand[GPU brand], (GPU_brand[GPU brand text]&lt;&gt;"") * ISNUMBER(SEARCH(GPU_brand[GPU brand text], B852)), ""))</f>
        <v>ASUS</v>
      </c>
      <c r="H852" t="str">
        <f>_xlfn.TEXTJOIN(",",TRUE,_xlfn._xlws.FILTER(Chipset_Table[Chipset], (Chipset_Table[Chipset text]&lt;&gt;"") * ISNUMBER(SEARCH(Chipset_Table[Chipset text], B852)), ""))</f>
        <v>GeForce GTX 1650,GTX 1650</v>
      </c>
      <c r="I852" t="str">
        <f>_xlfn.TEXTJOIN(",",TRUE,_xlfn._xlws.FILTER(VRAM_table[Video memory], (VRAM_table[Video memory text]&lt;&gt;"") * ISNUMBER(SEARCH(VRAM_table[Video memory text], B852)), ""))</f>
        <v>4GB,4GB</v>
      </c>
    </row>
    <row r="853" spans="1:9" hidden="1" x14ac:dyDescent="0.35">
      <c r="A853" t="s">
        <v>9</v>
      </c>
      <c r="B853" t="s">
        <v>574</v>
      </c>
      <c r="C853">
        <v>14990000</v>
      </c>
      <c r="D853">
        <v>12990000</v>
      </c>
      <c r="E853" t="s">
        <v>575</v>
      </c>
      <c r="F853" t="s">
        <v>1051</v>
      </c>
      <c r="G853" t="str">
        <f>_xlfn.TEXTJOIN(",",TRUE,_xlfn._xlws.FILTER(GPU_brand[GPU brand], (GPU_brand[GPU brand text]&lt;&gt;"") * ISNUMBER(SEARCH(GPU_brand[GPU brand text], B853)), ""))</f>
        <v>ASUS</v>
      </c>
      <c r="H853" t="str">
        <f>_xlfn.TEXTJOIN(",",TRUE,_xlfn._xlws.FILTER(Chipset_Table[Chipset], (Chipset_Table[Chipset text]&lt;&gt;"") * ISNUMBER(SEARCH(Chipset_Table[Chipset text], B853)), ""))</f>
        <v>GeForce RTX 3060,GeForce RTX 3060 Ti,RTX 3060</v>
      </c>
      <c r="I853" t="str">
        <f>_xlfn.TEXTJOIN(",",TRUE,_xlfn._xlws.FILTER(VRAM_table[Video memory], (VRAM_table[Video memory text]&lt;&gt;"") * ISNUMBER(SEARCH(VRAM_table[Video memory text], B853)), ""))</f>
        <v>8GB,8GB</v>
      </c>
    </row>
    <row r="854" spans="1:9" hidden="1" x14ac:dyDescent="0.35">
      <c r="A854" t="s">
        <v>9</v>
      </c>
      <c r="B854" t="s">
        <v>576</v>
      </c>
      <c r="C854">
        <v>14490000</v>
      </c>
      <c r="D854">
        <v>12490000</v>
      </c>
      <c r="E854" t="s">
        <v>577</v>
      </c>
      <c r="F854" t="s">
        <v>1051</v>
      </c>
      <c r="G854" t="str">
        <f>_xlfn.TEXTJOIN(",",TRUE,_xlfn._xlws.FILTER(GPU_brand[GPU brand], (GPU_brand[GPU brand text]&lt;&gt;"") * ISNUMBER(SEARCH(GPU_brand[GPU brand text], B854)), ""))</f>
        <v>ASUS</v>
      </c>
      <c r="H854" t="str">
        <f>_xlfn.TEXTJOIN(",",TRUE,_xlfn._xlws.FILTER(Chipset_Table[Chipset], (Chipset_Table[Chipset text]&lt;&gt;"") * ISNUMBER(SEARCH(Chipset_Table[Chipset text], B854)), ""))</f>
        <v>GeForce RTX 3060,GeForce RTX 3060 Ti,RTX 3060</v>
      </c>
      <c r="I854" t="str">
        <f>_xlfn.TEXTJOIN(",",TRUE,_xlfn._xlws.FILTER(VRAM_table[Video memory], (VRAM_table[Video memory text]&lt;&gt;"") * ISNUMBER(SEARCH(VRAM_table[Video memory text], B854)), ""))</f>
        <v>8GB,8GB</v>
      </c>
    </row>
    <row r="855" spans="1:9" hidden="1" x14ac:dyDescent="0.35">
      <c r="A855" t="s">
        <v>9</v>
      </c>
      <c r="B855" t="s">
        <v>578</v>
      </c>
      <c r="C855">
        <v>7490000</v>
      </c>
      <c r="D855">
        <v>6390000</v>
      </c>
      <c r="E855" t="s">
        <v>579</v>
      </c>
      <c r="F855" t="s">
        <v>1051</v>
      </c>
      <c r="G855" t="str">
        <f>_xlfn.TEXTJOIN(",",TRUE,_xlfn._xlws.FILTER(GPU_brand[GPU brand], (GPU_brand[GPU brand text]&lt;&gt;"") * ISNUMBER(SEARCH(GPU_brand[GPU brand text], B855)), ""))</f>
        <v>Palit</v>
      </c>
      <c r="H855" t="str">
        <f>_xlfn.TEXTJOIN(",",TRUE,_xlfn._xlws.FILTER(Chipset_Table[Chipset], (Chipset_Table[Chipset text]&lt;&gt;"") * ISNUMBER(SEARCH(Chipset_Table[Chipset text], B855)), ""))</f>
        <v>GeForce GTX 1650,GTX 1650</v>
      </c>
      <c r="I855" t="str">
        <f>_xlfn.TEXTJOIN(",",TRUE,_xlfn._xlws.FILTER(VRAM_table[Video memory], (VRAM_table[Video memory text]&lt;&gt;"") * ISNUMBER(SEARCH(VRAM_table[Video memory text], B855)), ""))</f>
        <v>4GB</v>
      </c>
    </row>
    <row r="856" spans="1:9" hidden="1" x14ac:dyDescent="0.35">
      <c r="A856" t="s">
        <v>9</v>
      </c>
      <c r="B856" t="s">
        <v>580</v>
      </c>
      <c r="C856">
        <v>7690000</v>
      </c>
      <c r="D856">
        <v>7290000</v>
      </c>
      <c r="E856" t="s">
        <v>581</v>
      </c>
      <c r="F856" t="s">
        <v>1051</v>
      </c>
      <c r="G856" t="str">
        <f>_xlfn.TEXTJOIN(",",TRUE,_xlfn._xlws.FILTER(GPU_brand[GPU brand], (GPU_brand[GPU brand text]&lt;&gt;"") * ISNUMBER(SEARCH(GPU_brand[GPU brand text], B856)), ""))</f>
        <v>MSI</v>
      </c>
      <c r="H856" t="str">
        <f>_xlfn.TEXTJOIN(",",TRUE,_xlfn._xlws.FILTER(Chipset_Table[Chipset], (Chipset_Table[Chipset text]&lt;&gt;"") * ISNUMBER(SEARCH(Chipset_Table[Chipset text], B856)), ""))</f>
        <v>GeForce GTX 1650,GTX 1650</v>
      </c>
      <c r="I856" t="str">
        <f>_xlfn.TEXTJOIN(",",TRUE,_xlfn._xlws.FILTER(VRAM_table[Video memory], (VRAM_table[Video memory text]&lt;&gt;"") * ISNUMBER(SEARCH(VRAM_table[Video memory text], B856)), ""))</f>
        <v>4GB</v>
      </c>
    </row>
    <row r="857" spans="1:9" hidden="1" x14ac:dyDescent="0.35">
      <c r="A857" t="s">
        <v>9</v>
      </c>
      <c r="B857" t="s">
        <v>582</v>
      </c>
      <c r="C857">
        <v>12990000</v>
      </c>
      <c r="D857">
        <v>9990000</v>
      </c>
      <c r="E857" t="s">
        <v>583</v>
      </c>
      <c r="F857" t="s">
        <v>1051</v>
      </c>
      <c r="G857" t="str">
        <f>_xlfn.TEXTJOIN(",",TRUE,_xlfn._xlws.FILTER(GPU_brand[GPU brand], (GPU_brand[GPU brand text]&lt;&gt;"") * ISNUMBER(SEARCH(GPU_brand[GPU brand text], B857)), ""))</f>
        <v>Gigabyte</v>
      </c>
      <c r="H857" t="str">
        <f>_xlfn.TEXTJOIN(",",TRUE,_xlfn._xlws.FILTER(Chipset_Table[Chipset], (Chipset_Table[Chipset text]&lt;&gt;"") * ISNUMBER(SEARCH(Chipset_Table[Chipset text], B857)), ""))</f>
        <v>GeForce RTX 2060,RTX 2060</v>
      </c>
      <c r="I857" t="str">
        <f>_xlfn.TEXTJOIN(",",TRUE,_xlfn._xlws.FILTER(VRAM_table[Video memory], (VRAM_table[Video memory text]&lt;&gt;"") * ISNUMBER(SEARCH(VRAM_table[Video memory text], B857)), ""))</f>
        <v>12GB,2GB</v>
      </c>
    </row>
    <row r="858" spans="1:9" hidden="1" x14ac:dyDescent="0.35">
      <c r="A858" t="s">
        <v>9</v>
      </c>
      <c r="B858" t="s">
        <v>584</v>
      </c>
      <c r="C858">
        <v>0</v>
      </c>
      <c r="D858">
        <v>16790000</v>
      </c>
      <c r="E858" t="s">
        <v>585</v>
      </c>
      <c r="F858" t="s">
        <v>1051</v>
      </c>
      <c r="G858" t="str">
        <f>_xlfn.TEXTJOIN(",",TRUE,_xlfn._xlws.FILTER(GPU_brand[GPU brand], (GPU_brand[GPU brand text]&lt;&gt;"") * ISNUMBER(SEARCH(GPU_brand[GPU brand text], B858)), ""))</f>
        <v>Gigabyte</v>
      </c>
      <c r="H858" t="str">
        <f>_xlfn.TEXTJOIN(",",TRUE,_xlfn._xlws.FILTER(Chipset_Table[Chipset], (Chipset_Table[Chipset text]&lt;&gt;"") * ISNUMBER(SEARCH(Chipset_Table[Chipset text], B858)), ""))</f>
        <v>GeForce RTX 2060,RTX 2060</v>
      </c>
      <c r="I858" t="str">
        <f>_xlfn.TEXTJOIN(",",TRUE,_xlfn._xlws.FILTER(VRAM_table[Video memory], (VRAM_table[Video memory text]&lt;&gt;"") * ISNUMBER(SEARCH(VRAM_table[Video memory text], B858)), ""))</f>
        <v>12GB,2GB</v>
      </c>
    </row>
    <row r="859" spans="1:9" hidden="1" x14ac:dyDescent="0.35">
      <c r="A859" t="s">
        <v>9</v>
      </c>
      <c r="B859" t="s">
        <v>586</v>
      </c>
      <c r="C859">
        <v>9490000</v>
      </c>
      <c r="D859">
        <v>5990000</v>
      </c>
      <c r="E859" t="s">
        <v>587</v>
      </c>
      <c r="F859" t="s">
        <v>1051</v>
      </c>
      <c r="G859" t="str">
        <f>_xlfn.TEXTJOIN(",",TRUE,_xlfn._xlws.FILTER(GPU_brand[GPU brand], (GPU_brand[GPU brand text]&lt;&gt;"") * ISNUMBER(SEARCH(GPU_brand[GPU brand text], B859)), ""))</f>
        <v>ASUS</v>
      </c>
      <c r="H859" t="str">
        <f>_xlfn.TEXTJOIN(",",TRUE,_xlfn._xlws.FILTER(Chipset_Table[Chipset], (Chipset_Table[Chipset text]&lt;&gt;"") * ISNUMBER(SEARCH(Chipset_Table[Chipset text], B859)), ""))</f>
        <v>GeForce GTX 1660</v>
      </c>
      <c r="I859" t="str">
        <f>_xlfn.TEXTJOIN(",",TRUE,_xlfn._xlws.FILTER(VRAM_table[Video memory], (VRAM_table[Video memory text]&lt;&gt;"") * ISNUMBER(SEARCH(VRAM_table[Video memory text], B859)), ""))</f>
        <v>6GB,6GB</v>
      </c>
    </row>
    <row r="860" spans="1:9" hidden="1" x14ac:dyDescent="0.35">
      <c r="A860" t="s">
        <v>9</v>
      </c>
      <c r="B860" t="s">
        <v>588</v>
      </c>
      <c r="C860">
        <v>1990000</v>
      </c>
      <c r="D860">
        <v>1550000</v>
      </c>
      <c r="E860" t="s">
        <v>589</v>
      </c>
      <c r="F860" t="s">
        <v>1051</v>
      </c>
      <c r="G860" t="str">
        <f>_xlfn.TEXTJOIN(",",TRUE,_xlfn._xlws.FILTER(GPU_brand[GPU brand], (GPU_brand[GPU brand text]&lt;&gt;"") * ISNUMBER(SEARCH(GPU_brand[GPU brand text], B860)), ""))</f>
        <v>ASUS</v>
      </c>
      <c r="H860" t="str">
        <f>_xlfn.TEXTJOIN(",",TRUE,_xlfn._xlws.FILTER(Chipset_Table[Chipset], (Chipset_Table[Chipset text]&lt;&gt;"") * ISNUMBER(SEARCH(Chipset_Table[Chipset text], B860)), ""))</f>
        <v>GeForce GT 730</v>
      </c>
      <c r="I860" t="str">
        <f>_xlfn.TEXTJOIN(",",TRUE,_xlfn._xlws.FILTER(VRAM_table[Video memory], (VRAM_table[Video memory text]&lt;&gt;"") * ISNUMBER(SEARCH(VRAM_table[Video memory text], B860)), ""))</f>
        <v>2GB</v>
      </c>
    </row>
    <row r="861" spans="1:9" hidden="1" x14ac:dyDescent="0.35">
      <c r="A861" t="s">
        <v>9</v>
      </c>
      <c r="B861" t="s">
        <v>590</v>
      </c>
      <c r="C861">
        <v>7490000</v>
      </c>
      <c r="D861">
        <v>6790000</v>
      </c>
      <c r="E861" t="s">
        <v>591</v>
      </c>
      <c r="F861" t="s">
        <v>1051</v>
      </c>
      <c r="G861" t="str">
        <f>_xlfn.TEXTJOIN(",",TRUE,_xlfn._xlws.FILTER(GPU_brand[GPU brand], (GPU_brand[GPU brand text]&lt;&gt;"") * ISNUMBER(SEARCH(GPU_brand[GPU brand text], B861)), ""))</f>
        <v>MSI</v>
      </c>
      <c r="H861" t="str">
        <f>_xlfn.TEXTJOIN(",",TRUE,_xlfn._xlws.FILTER(Chipset_Table[Chipset], (Chipset_Table[Chipset text]&lt;&gt;"") * ISNUMBER(SEARCH(Chipset_Table[Chipset text], B861)), ""))</f>
        <v>GTX 1650</v>
      </c>
      <c r="I861" t="str">
        <f>_xlfn.TEXTJOIN(",",TRUE,_xlfn._xlws.FILTER(VRAM_table[Video memory], (VRAM_table[Video memory text]&lt;&gt;"") * ISNUMBER(SEARCH(VRAM_table[Video memory text], B861)), ""))</f>
        <v>4GB,4GB</v>
      </c>
    </row>
    <row r="862" spans="1:9" hidden="1" x14ac:dyDescent="0.35">
      <c r="A862" t="s">
        <v>9</v>
      </c>
      <c r="B862" t="s">
        <v>592</v>
      </c>
      <c r="C862">
        <v>5390000</v>
      </c>
      <c r="D862">
        <v>5190000</v>
      </c>
      <c r="E862" t="s">
        <v>593</v>
      </c>
      <c r="F862" t="s">
        <v>1051</v>
      </c>
      <c r="G862" t="str">
        <f>_xlfn.TEXTJOIN(",",TRUE,_xlfn._xlws.FILTER(GPU_brand[GPU brand], (GPU_brand[GPU brand text]&lt;&gt;"") * ISNUMBER(SEARCH(GPU_brand[GPU brand text], B862)), ""))</f>
        <v>ASUS</v>
      </c>
      <c r="H862" t="str">
        <f>_xlfn.TEXTJOIN(",",TRUE,_xlfn._xlws.FILTER(Chipset_Table[Chipset], (Chipset_Table[Chipset text]&lt;&gt;"") * ISNUMBER(SEARCH(Chipset_Table[Chipset text], B862)), ""))</f>
        <v>GeForce GTX 1660 SUPER,GeForce GTX 1660, GTX 1660 Super</v>
      </c>
      <c r="I862" t="str">
        <f>_xlfn.TEXTJOIN(",",TRUE,_xlfn._xlws.FILTER(VRAM_table[Video memory], (VRAM_table[Video memory text]&lt;&gt;"") * ISNUMBER(SEARCH(VRAM_table[Video memory text], B862)), ""))</f>
        <v>6GB,6GB</v>
      </c>
    </row>
    <row r="863" spans="1:9" hidden="1" x14ac:dyDescent="0.35">
      <c r="A863" t="s">
        <v>9</v>
      </c>
      <c r="B863" t="s">
        <v>594</v>
      </c>
      <c r="C863">
        <v>0</v>
      </c>
      <c r="D863">
        <v>100000000</v>
      </c>
      <c r="E863" t="s">
        <v>595</v>
      </c>
      <c r="F863" t="s">
        <v>1051</v>
      </c>
      <c r="G863" t="str">
        <f>_xlfn.TEXTJOIN(",",TRUE,_xlfn._xlws.FILTER(GPU_brand[GPU brand], (GPU_brand[GPU brand text]&lt;&gt;"") * ISNUMBER(SEARCH(GPU_brand[GPU brand text], B863)), ""))</f>
        <v>MSI</v>
      </c>
      <c r="H863" t="str">
        <f>_xlfn.TEXTJOIN(",",TRUE,_xlfn._xlws.FILTER(Chipset_Table[Chipset], (Chipset_Table[Chipset text]&lt;&gt;"") * ISNUMBER(SEARCH(Chipset_Table[Chipset text], B863)), ""))</f>
        <v>GeForce RTX 3060,RTX 3060</v>
      </c>
      <c r="I863" t="str">
        <f>_xlfn.TEXTJOIN(",",TRUE,_xlfn._xlws.FILTER(VRAM_table[Video memory], (VRAM_table[Video memory text]&lt;&gt;"") * ISNUMBER(SEARCH(VRAM_table[Video memory text], B863)), ""))</f>
        <v>12GB,2GB</v>
      </c>
    </row>
    <row r="864" spans="1:9" hidden="1" x14ac:dyDescent="0.35">
      <c r="A864" t="s">
        <v>9</v>
      </c>
      <c r="B864" t="s">
        <v>596</v>
      </c>
      <c r="C864">
        <v>6990000</v>
      </c>
      <c r="D864">
        <v>5990000</v>
      </c>
      <c r="E864" t="s">
        <v>597</v>
      </c>
      <c r="F864" t="s">
        <v>1051</v>
      </c>
      <c r="G864" t="str">
        <f>_xlfn.TEXTJOIN(",",TRUE,_xlfn._xlws.FILTER(GPU_brand[GPU brand], (GPU_brand[GPU brand text]&lt;&gt;"") * ISNUMBER(SEARCH(GPU_brand[GPU brand text], B864)), ""))</f>
        <v>Gigabyte</v>
      </c>
      <c r="H864" t="str">
        <f>_xlfn.TEXTJOIN(",",TRUE,_xlfn._xlws.FILTER(Chipset_Table[Chipset], (Chipset_Table[Chipset text]&lt;&gt;"") * ISNUMBER(SEARCH(Chipset_Table[Chipset text], B864)), ""))</f>
        <v>GeForce RTX 3050</v>
      </c>
      <c r="I864" t="str">
        <f>_xlfn.TEXTJOIN(",",TRUE,_xlfn._xlws.FILTER(VRAM_table[Video memory], (VRAM_table[Video memory text]&lt;&gt;"") * ISNUMBER(SEARCH(VRAM_table[Video memory text], B864)), ""))</f>
        <v>8GB</v>
      </c>
    </row>
    <row r="865" spans="1:9" hidden="1" x14ac:dyDescent="0.35">
      <c r="A865" t="s">
        <v>9</v>
      </c>
      <c r="B865" t="s">
        <v>598</v>
      </c>
      <c r="C865">
        <v>6790000</v>
      </c>
      <c r="D865">
        <v>5890000</v>
      </c>
      <c r="E865" t="s">
        <v>599</v>
      </c>
      <c r="F865" t="s">
        <v>1051</v>
      </c>
      <c r="G865" t="str">
        <f>_xlfn.TEXTJOIN(",",TRUE,_xlfn._xlws.FILTER(GPU_brand[GPU brand], (GPU_brand[GPU brand text]&lt;&gt;"") * ISNUMBER(SEARCH(GPU_brand[GPU brand text], B865)), ""))</f>
        <v>ASUS</v>
      </c>
      <c r="H865" t="str">
        <f>_xlfn.TEXTJOIN(",",TRUE,_xlfn._xlws.FILTER(Chipset_Table[Chipset], (Chipset_Table[Chipset text]&lt;&gt;"") * ISNUMBER(SEARCH(Chipset_Table[Chipset text], B865)), ""))</f>
        <v>GeForce RTX 3050</v>
      </c>
      <c r="I865" t="str">
        <f>_xlfn.TEXTJOIN(",",TRUE,_xlfn._xlws.FILTER(VRAM_table[Video memory], (VRAM_table[Video memory text]&lt;&gt;"") * ISNUMBER(SEARCH(VRAM_table[Video memory text], B865)), ""))</f>
        <v>8GB,8GB</v>
      </c>
    </row>
    <row r="866" spans="1:9" hidden="1" x14ac:dyDescent="0.35">
      <c r="A866" t="s">
        <v>9</v>
      </c>
      <c r="B866" t="s">
        <v>600</v>
      </c>
      <c r="C866">
        <v>16990000</v>
      </c>
      <c r="D866">
        <v>13990000</v>
      </c>
      <c r="E866" t="s">
        <v>601</v>
      </c>
      <c r="F866" t="s">
        <v>1051</v>
      </c>
      <c r="G866" t="str">
        <f>_xlfn.TEXTJOIN(",",TRUE,_xlfn._xlws.FILTER(GPU_brand[GPU brand], (GPU_brand[GPU brand text]&lt;&gt;"") * ISNUMBER(SEARCH(GPU_brand[GPU brand text], B866)), ""))</f>
        <v>ASUS</v>
      </c>
      <c r="H866" t="str">
        <f>_xlfn.TEXTJOIN(",",TRUE,_xlfn._xlws.FILTER(Chipset_Table[Chipset], (Chipset_Table[Chipset text]&lt;&gt;"") * ISNUMBER(SEARCH(Chipset_Table[Chipset text], B866)), ""))</f>
        <v>GeForce RTX 2060,RTX 2060</v>
      </c>
      <c r="I866" t="str">
        <f>_xlfn.TEXTJOIN(",",TRUE,_xlfn._xlws.FILTER(VRAM_table[Video memory], (VRAM_table[Video memory text]&lt;&gt;"") * ISNUMBER(SEARCH(VRAM_table[Video memory text], B866)), ""))</f>
        <v>12GB,2GB</v>
      </c>
    </row>
    <row r="867" spans="1:9" hidden="1" x14ac:dyDescent="0.35">
      <c r="A867" t="s">
        <v>9</v>
      </c>
      <c r="B867" t="s">
        <v>602</v>
      </c>
      <c r="C867">
        <v>7990000</v>
      </c>
      <c r="D867">
        <v>4190000</v>
      </c>
      <c r="E867" t="s">
        <v>603</v>
      </c>
      <c r="F867" t="s">
        <v>1051</v>
      </c>
      <c r="G867" t="str">
        <f>_xlfn.TEXTJOIN(",",TRUE,_xlfn._xlws.FILTER(GPU_brand[GPU brand], (GPU_brand[GPU brand text]&lt;&gt;"") * ISNUMBER(SEARCH(GPU_brand[GPU brand text], B867)), ""))</f>
        <v>MSI</v>
      </c>
      <c r="H867" t="str">
        <f>_xlfn.TEXTJOIN(",",TRUE,_xlfn._xlws.FILTER(Chipset_Table[Chipset], (Chipset_Table[Chipset text]&lt;&gt;"") * ISNUMBER(SEARCH(Chipset_Table[Chipset text], B867)), ""))</f>
        <v>GeForce GTX 1650,GTX 1650</v>
      </c>
      <c r="I867" t="str">
        <f>_xlfn.TEXTJOIN(",",TRUE,_xlfn._xlws.FILTER(VRAM_table[Video memory], (VRAM_table[Video memory text]&lt;&gt;"") * ISNUMBER(SEARCH(VRAM_table[Video memory text], B867)), ""))</f>
        <v>4GB,4GB</v>
      </c>
    </row>
    <row r="868" spans="1:9" hidden="1" x14ac:dyDescent="0.35">
      <c r="A868" t="s">
        <v>9</v>
      </c>
      <c r="B868" t="s">
        <v>604</v>
      </c>
      <c r="C868">
        <v>4190000</v>
      </c>
      <c r="D868">
        <v>3890000</v>
      </c>
      <c r="E868" t="s">
        <v>605</v>
      </c>
      <c r="F868" t="s">
        <v>1051</v>
      </c>
      <c r="G868" t="str">
        <f>_xlfn.TEXTJOIN(",",TRUE,_xlfn._xlws.FILTER(GPU_brand[GPU brand], (GPU_brand[GPU brand text]&lt;&gt;"") * ISNUMBER(SEARCH(GPU_brand[GPU brand text], B868)), ""))</f>
        <v>Gigabyte</v>
      </c>
      <c r="H868" t="str">
        <f>_xlfn.TEXTJOIN(",",TRUE,_xlfn._xlws.FILTER(Chipset_Table[Chipset], (Chipset_Table[Chipset text]&lt;&gt;"") * ISNUMBER(SEARCH(Chipset_Table[Chipset text], B868)), ""))</f>
        <v>GeForce GTX 1650,GTX 1650</v>
      </c>
      <c r="I868" t="str">
        <f>_xlfn.TEXTJOIN(",",TRUE,_xlfn._xlws.FILTER(VRAM_table[Video memory], (VRAM_table[Video memory text]&lt;&gt;"") * ISNUMBER(SEARCH(VRAM_table[Video memory text], B868)), ""))</f>
        <v>4GB</v>
      </c>
    </row>
    <row r="869" spans="1:9" hidden="1" x14ac:dyDescent="0.35">
      <c r="A869" t="s">
        <v>9</v>
      </c>
      <c r="B869" t="s">
        <v>606</v>
      </c>
      <c r="C869">
        <v>7990000</v>
      </c>
      <c r="D869">
        <v>7390000</v>
      </c>
      <c r="E869" t="s">
        <v>607</v>
      </c>
      <c r="F869" t="s">
        <v>1051</v>
      </c>
      <c r="G869" t="str">
        <f>_xlfn.TEXTJOIN(",",TRUE,_xlfn._xlws.FILTER(GPU_brand[GPU brand], (GPU_brand[GPU brand text]&lt;&gt;"") * ISNUMBER(SEARCH(GPU_brand[GPU brand text], B869)), ""))</f>
        <v>Gigabyte</v>
      </c>
      <c r="H869" t="str">
        <f>_xlfn.TEXTJOIN(",",TRUE,_xlfn._xlws.FILTER(Chipset_Table[Chipset], (Chipset_Table[Chipset text]&lt;&gt;"") * ISNUMBER(SEARCH(Chipset_Table[Chipset text], B869)), ""))</f>
        <v>GeForce GTX 1650,GTX 1650</v>
      </c>
      <c r="I869" t="str">
        <f>_xlfn.TEXTJOIN(",",TRUE,_xlfn._xlws.FILTER(VRAM_table[Video memory], (VRAM_table[Video memory text]&lt;&gt;"") * ISNUMBER(SEARCH(VRAM_table[Video memory text], B869)), ""))</f>
        <v>4GB</v>
      </c>
    </row>
    <row r="870" spans="1:9" hidden="1" x14ac:dyDescent="0.35">
      <c r="A870" t="s">
        <v>9</v>
      </c>
      <c r="B870" t="s">
        <v>608</v>
      </c>
      <c r="C870">
        <v>5500000</v>
      </c>
      <c r="D870">
        <v>4290000</v>
      </c>
      <c r="E870" t="s">
        <v>609</v>
      </c>
      <c r="F870" t="s">
        <v>1051</v>
      </c>
      <c r="G870" t="str">
        <f>_xlfn.TEXTJOIN(",",TRUE,_xlfn._xlws.FILTER(GPU_brand[GPU brand], (GPU_brand[GPU brand text]&lt;&gt;"") * ISNUMBER(SEARCH(GPU_brand[GPU brand text], B870)), ""))</f>
        <v>ASUS</v>
      </c>
      <c r="H870" t="str">
        <f>_xlfn.TEXTJOIN(",",TRUE,_xlfn._xlws.FILTER(Chipset_Table[Chipset], (Chipset_Table[Chipset text]&lt;&gt;"") * ISNUMBER(SEARCH(Chipset_Table[Chipset text], B870)), ""))</f>
        <v>GeForce GTX 1650,GTX 1650</v>
      </c>
      <c r="I870" t="str">
        <f>_xlfn.TEXTJOIN(",",TRUE,_xlfn._xlws.FILTER(VRAM_table[Video memory], (VRAM_table[Video memory text]&lt;&gt;"") * ISNUMBER(SEARCH(VRAM_table[Video memory text], B870)), ""))</f>
        <v>4GB</v>
      </c>
    </row>
    <row r="871" spans="1:9" hidden="1" x14ac:dyDescent="0.35">
      <c r="A871" t="s">
        <v>9</v>
      </c>
      <c r="B871" t="s">
        <v>610</v>
      </c>
      <c r="C871">
        <v>0</v>
      </c>
      <c r="D871">
        <v>4770000</v>
      </c>
      <c r="E871" t="s">
        <v>611</v>
      </c>
      <c r="F871" t="s">
        <v>1051</v>
      </c>
      <c r="G871" t="str">
        <f>_xlfn.TEXTJOIN(",",TRUE,_xlfn._xlws.FILTER(GPU_brand[GPU brand], (GPU_brand[GPU brand text]&lt;&gt;"") * ISNUMBER(SEARCH(GPU_brand[GPU brand text], B871)), ""))</f>
        <v>ASUS</v>
      </c>
      <c r="H871" t="str">
        <f>_xlfn.TEXTJOIN(",",TRUE,_xlfn._xlws.FILTER(Chipset_Table[Chipset], (Chipset_Table[Chipset text]&lt;&gt;"") * ISNUMBER(SEARCH(Chipset_Table[Chipset text], B871)), ""))</f>
        <v>GeForce GTX 1650,GTX 1650</v>
      </c>
      <c r="I871" t="str">
        <f>_xlfn.TEXTJOIN(",",TRUE,_xlfn._xlws.FILTER(VRAM_table[Video memory], (VRAM_table[Video memory text]&lt;&gt;"") * ISNUMBER(SEARCH(VRAM_table[Video memory text], B871)), ""))</f>
        <v>4GB,4GB</v>
      </c>
    </row>
    <row r="872" spans="1:9" hidden="1" x14ac:dyDescent="0.35">
      <c r="A872" t="s">
        <v>9</v>
      </c>
      <c r="B872" t="s">
        <v>612</v>
      </c>
      <c r="C872">
        <v>0</v>
      </c>
      <c r="D872">
        <v>5290000</v>
      </c>
      <c r="E872" t="s">
        <v>613</v>
      </c>
      <c r="F872" t="s">
        <v>1051</v>
      </c>
      <c r="G872" t="str">
        <f>_xlfn.TEXTJOIN(",",TRUE,_xlfn._xlws.FILTER(GPU_brand[GPU brand], (GPU_brand[GPU brand text]&lt;&gt;"") * ISNUMBER(SEARCH(GPU_brand[GPU brand text], B872)), ""))</f>
        <v>MSI</v>
      </c>
      <c r="H872" t="str">
        <f>_xlfn.TEXTJOIN(",",TRUE,_xlfn._xlws.FILTER(Chipset_Table[Chipset], (Chipset_Table[Chipset text]&lt;&gt;"") * ISNUMBER(SEARCH(Chipset_Table[Chipset text], B872)), ""))</f>
        <v>GeForce GTX 1650,GTX 1650</v>
      </c>
      <c r="I872" t="str">
        <f>_xlfn.TEXTJOIN(",",TRUE,_xlfn._xlws.FILTER(VRAM_table[Video memory], (VRAM_table[Video memory text]&lt;&gt;"") * ISNUMBER(SEARCH(VRAM_table[Video memory text], B872)), ""))</f>
        <v>4GB,4GB</v>
      </c>
    </row>
    <row r="873" spans="1:9" hidden="1" x14ac:dyDescent="0.35">
      <c r="A873" t="s">
        <v>9</v>
      </c>
      <c r="B873" t="s">
        <v>614</v>
      </c>
      <c r="C873">
        <v>0</v>
      </c>
      <c r="D873">
        <v>8690000</v>
      </c>
      <c r="E873" t="s">
        <v>615</v>
      </c>
      <c r="F873" t="s">
        <v>1051</v>
      </c>
      <c r="G873" t="str">
        <f>_xlfn.TEXTJOIN(",",TRUE,_xlfn._xlws.FILTER(GPU_brand[GPU brand], (GPU_brand[GPU brand text]&lt;&gt;"") * ISNUMBER(SEARCH(GPU_brand[GPU brand text], B873)), ""))</f>
        <v>MSI</v>
      </c>
      <c r="H873" t="str">
        <f>_xlfn.TEXTJOIN(",",TRUE,_xlfn._xlws.FILTER(Chipset_Table[Chipset], (Chipset_Table[Chipset text]&lt;&gt;"") * ISNUMBER(SEARCH(Chipset_Table[Chipset text], B873)), ""))</f>
        <v>GeForce RTX 2060,RTX 2060</v>
      </c>
      <c r="I873" t="str">
        <f>_xlfn.TEXTJOIN(",",TRUE,_xlfn._xlws.FILTER(VRAM_table[Video memory], (VRAM_table[Video memory text]&lt;&gt;"") * ISNUMBER(SEARCH(VRAM_table[Video memory text], B873)), ""))</f>
        <v>6GB</v>
      </c>
    </row>
    <row r="874" spans="1:9" hidden="1" x14ac:dyDescent="0.35">
      <c r="A874" t="s">
        <v>9</v>
      </c>
      <c r="B874" t="s">
        <v>616</v>
      </c>
      <c r="C874">
        <v>1290000</v>
      </c>
      <c r="D874">
        <v>1190000</v>
      </c>
      <c r="E874" t="s">
        <v>617</v>
      </c>
      <c r="F874" t="s">
        <v>1051</v>
      </c>
      <c r="G874" t="str">
        <f>_xlfn.TEXTJOIN(",",TRUE,_xlfn._xlws.FILTER(GPU_brand[GPU brand], (GPU_brand[GPU brand text]&lt;&gt;"") * ISNUMBER(SEARCH(GPU_brand[GPU brand text], B874)), ""))</f>
        <v>Palit</v>
      </c>
      <c r="H874" t="str">
        <f>_xlfn.TEXTJOIN(",",TRUE,_xlfn._xlws.FILTER(Chipset_Table[Chipset], (Chipset_Table[Chipset text]&lt;&gt;"") * ISNUMBER(SEARCH(Chipset_Table[Chipset text], B874)), ""))</f>
        <v>GeForce GT 730</v>
      </c>
      <c r="I874" t="str">
        <f>_xlfn.TEXTJOIN(",",TRUE,_xlfn._xlws.FILTER(VRAM_table[Video memory], (VRAM_table[Video memory text]&lt;&gt;"") * ISNUMBER(SEARCH(VRAM_table[Video memory text], B874)), ""))</f>
        <v>2GB</v>
      </c>
    </row>
    <row r="875" spans="1:9" hidden="1" x14ac:dyDescent="0.35">
      <c r="A875" t="s">
        <v>9</v>
      </c>
      <c r="B875" t="s">
        <v>618</v>
      </c>
      <c r="C875">
        <v>5090000</v>
      </c>
      <c r="D875">
        <v>4790000</v>
      </c>
      <c r="E875" t="s">
        <v>619</v>
      </c>
      <c r="F875" t="s">
        <v>1051</v>
      </c>
      <c r="G875" t="str">
        <f>_xlfn.TEXTJOIN(",",TRUE,_xlfn._xlws.FILTER(GPU_brand[GPU brand], (GPU_brand[GPU brand text]&lt;&gt;"") * ISNUMBER(SEARCH(GPU_brand[GPU brand text], B875)), ""))</f>
        <v>Gigabyte</v>
      </c>
      <c r="H875" t="str">
        <f>_xlfn.TEXTJOIN(",",TRUE,_xlfn._xlws.FILTER(Chipset_Table[Chipset], (Chipset_Table[Chipset text]&lt;&gt;"") * ISNUMBER(SEARCH(Chipset_Table[Chipset text], B875)), ""))</f>
        <v>GeForce GTX 1650,GTX 1650</v>
      </c>
      <c r="I875" t="str">
        <f>_xlfn.TEXTJOIN(",",TRUE,_xlfn._xlws.FILTER(VRAM_table[Video memory], (VRAM_table[Video memory text]&lt;&gt;"") * ISNUMBER(SEARCH(VRAM_table[Video memory text], B875)), ""))</f>
        <v>4GB,4GB</v>
      </c>
    </row>
    <row r="876" spans="1:9" hidden="1" x14ac:dyDescent="0.35">
      <c r="A876" t="s">
        <v>9</v>
      </c>
      <c r="B876" t="s">
        <v>620</v>
      </c>
      <c r="C876">
        <v>7890000</v>
      </c>
      <c r="D876">
        <v>4290000</v>
      </c>
      <c r="E876" t="s">
        <v>621</v>
      </c>
      <c r="F876" t="s">
        <v>1051</v>
      </c>
      <c r="G876" t="str">
        <f>_xlfn.TEXTJOIN(",",TRUE,_xlfn._xlws.FILTER(GPU_brand[GPU brand], (GPU_brand[GPU brand text]&lt;&gt;"") * ISNUMBER(SEARCH(GPU_brand[GPU brand text], B876)), ""))</f>
        <v>Gigabyte</v>
      </c>
      <c r="H876" t="str">
        <f>_xlfn.TEXTJOIN(",",TRUE,_xlfn._xlws.FILTER(Chipset_Table[Chipset], (Chipset_Table[Chipset text]&lt;&gt;"") * ISNUMBER(SEARCH(Chipset_Table[Chipset text], B876)), ""))</f>
        <v>GeForce GTX 1650,GTX 1650</v>
      </c>
      <c r="I876" t="str">
        <f>_xlfn.TEXTJOIN(",",TRUE,_xlfn._xlws.FILTER(VRAM_table[Video memory], (VRAM_table[Video memory text]&lt;&gt;"") * ISNUMBER(SEARCH(VRAM_table[Video memory text], B876)), ""))</f>
        <v>4GB</v>
      </c>
    </row>
    <row r="877" spans="1:9" hidden="1" x14ac:dyDescent="0.35">
      <c r="A877" t="s">
        <v>9</v>
      </c>
      <c r="B877" t="s">
        <v>622</v>
      </c>
      <c r="C877">
        <v>7490000</v>
      </c>
      <c r="D877">
        <v>4890000</v>
      </c>
      <c r="E877" t="s">
        <v>623</v>
      </c>
      <c r="F877" t="s">
        <v>1051</v>
      </c>
      <c r="G877" t="str">
        <f>_xlfn.TEXTJOIN(",",TRUE,_xlfn._xlws.FILTER(GPU_brand[GPU brand], (GPU_brand[GPU brand text]&lt;&gt;"") * ISNUMBER(SEARCH(GPU_brand[GPU brand text], B877)), ""))</f>
        <v>Gigabyte</v>
      </c>
      <c r="H877" t="str">
        <f>_xlfn.TEXTJOIN(",",TRUE,_xlfn._xlws.FILTER(Chipset_Table[Chipset], (Chipset_Table[Chipset text]&lt;&gt;"") * ISNUMBER(SEARCH(Chipset_Table[Chipset text], B877)), ""))</f>
        <v>GeForce GTX 1650,GTX 1650</v>
      </c>
      <c r="I877" t="str">
        <f>_xlfn.TEXTJOIN(",",TRUE,_xlfn._xlws.FILTER(VRAM_table[Video memory], (VRAM_table[Video memory text]&lt;&gt;"") * ISNUMBER(SEARCH(VRAM_table[Video memory text], B877)), ""))</f>
        <v>4GB</v>
      </c>
    </row>
    <row r="878" spans="1:9" hidden="1" x14ac:dyDescent="0.35">
      <c r="A878" t="s">
        <v>9</v>
      </c>
      <c r="B878" t="s">
        <v>624</v>
      </c>
      <c r="C878">
        <v>0</v>
      </c>
      <c r="D878">
        <v>7090000</v>
      </c>
      <c r="E878" t="s">
        <v>625</v>
      </c>
      <c r="F878" t="s">
        <v>1051</v>
      </c>
      <c r="G878" t="str">
        <f>_xlfn.TEXTJOIN(",",TRUE,_xlfn._xlws.FILTER(GPU_brand[GPU brand], (GPU_brand[GPU brand text]&lt;&gt;"") * ISNUMBER(SEARCH(GPU_brand[GPU brand text], B878)), ""))</f>
        <v>Gigabyte</v>
      </c>
      <c r="H878" t="str">
        <f>_xlfn.TEXTJOIN(",",TRUE,_xlfn._xlws.FILTER(Chipset_Table[Chipset], (Chipset_Table[Chipset text]&lt;&gt;"") * ISNUMBER(SEARCH(Chipset_Table[Chipset text], B878)), ""))</f>
        <v>GeForce GTX 1650,GTX 1650</v>
      </c>
      <c r="I878" t="str">
        <f>_xlfn.TEXTJOIN(",",TRUE,_xlfn._xlws.FILTER(VRAM_table[Video memory], (VRAM_table[Video memory text]&lt;&gt;"") * ISNUMBER(SEARCH(VRAM_table[Video memory text], B878)), ""))</f>
        <v>4GB</v>
      </c>
    </row>
    <row r="879" spans="1:9" hidden="1" x14ac:dyDescent="0.35">
      <c r="A879" t="s">
        <v>9</v>
      </c>
      <c r="B879" t="s">
        <v>626</v>
      </c>
      <c r="C879">
        <v>11290000</v>
      </c>
      <c r="D879">
        <v>10890000</v>
      </c>
      <c r="E879" t="s">
        <v>627</v>
      </c>
      <c r="F879" t="s">
        <v>1051</v>
      </c>
      <c r="G879" t="str">
        <f>_xlfn.TEXTJOIN(",",TRUE,_xlfn._xlws.FILTER(GPU_brand[GPU brand], (GPU_brand[GPU brand text]&lt;&gt;"") * ISNUMBER(SEARCH(GPU_brand[GPU brand text], B879)), ""))</f>
        <v>ASUS</v>
      </c>
      <c r="H879" t="str">
        <f>_xlfn.TEXTJOIN(",",TRUE,_xlfn._xlws.FILTER(Chipset_Table[Chipset], (Chipset_Table[Chipset text]&lt;&gt;"") * ISNUMBER(SEARCH(Chipset_Table[Chipset text], B879)), ""))</f>
        <v>GeForce GTX 1660</v>
      </c>
      <c r="I879" t="str">
        <f>_xlfn.TEXTJOIN(",",TRUE,_xlfn._xlws.FILTER(VRAM_table[Video memory], (VRAM_table[Video memory text]&lt;&gt;"") * ISNUMBER(SEARCH(VRAM_table[Video memory text], B879)), ""))</f>
        <v>6GB,6GB</v>
      </c>
    </row>
    <row r="880" spans="1:9" hidden="1" x14ac:dyDescent="0.35">
      <c r="A880" t="s">
        <v>9</v>
      </c>
      <c r="B880" t="s">
        <v>628</v>
      </c>
      <c r="C880">
        <v>7490000</v>
      </c>
      <c r="D880">
        <v>6690000</v>
      </c>
      <c r="E880" t="s">
        <v>629</v>
      </c>
      <c r="F880" t="s">
        <v>1051</v>
      </c>
      <c r="G880" t="str">
        <f>_xlfn.TEXTJOIN(",",TRUE,_xlfn._xlws.FILTER(GPU_brand[GPU brand], (GPU_brand[GPU brand text]&lt;&gt;"") * ISNUMBER(SEARCH(GPU_brand[GPU brand text], B880)), ""))</f>
        <v>ASUS</v>
      </c>
      <c r="H880" t="str">
        <f>_xlfn.TEXTJOIN(",",TRUE,_xlfn._xlws.FILTER(Chipset_Table[Chipset], (Chipset_Table[Chipset text]&lt;&gt;"") * ISNUMBER(SEARCH(Chipset_Table[Chipset text], B880)), ""))</f>
        <v>GeForce GTX 1650,GTX 1650</v>
      </c>
      <c r="I880" t="str">
        <f>_xlfn.TEXTJOIN(",",TRUE,_xlfn._xlws.FILTER(VRAM_table[Video memory], (VRAM_table[Video memory text]&lt;&gt;"") * ISNUMBER(SEARCH(VRAM_table[Video memory text], B880)), ""))</f>
        <v>4GB,4GB</v>
      </c>
    </row>
    <row r="881" spans="1:9" hidden="1" x14ac:dyDescent="0.35">
      <c r="A881" t="s">
        <v>9</v>
      </c>
      <c r="B881" t="s">
        <v>630</v>
      </c>
      <c r="C881">
        <v>4190000</v>
      </c>
      <c r="D881">
        <v>3890000</v>
      </c>
      <c r="E881" t="s">
        <v>631</v>
      </c>
      <c r="F881" t="s">
        <v>1051</v>
      </c>
      <c r="G881" t="str">
        <f>_xlfn.TEXTJOIN(",",TRUE,_xlfn._xlws.FILTER(GPU_brand[GPU brand], (GPU_brand[GPU brand text]&lt;&gt;"") * ISNUMBER(SEARCH(GPU_brand[GPU brand text], B881)), ""))</f>
        <v>ASUS</v>
      </c>
      <c r="H881" t="str">
        <f>_xlfn.TEXTJOIN(",",TRUE,_xlfn._xlws.FILTER(Chipset_Table[Chipset], (Chipset_Table[Chipset text]&lt;&gt;"") * ISNUMBER(SEARCH(Chipset_Table[Chipset text], B881)), ""))</f>
        <v>GeForce GTX 1650,GTX 1650</v>
      </c>
      <c r="I881" t="str">
        <f>_xlfn.TEXTJOIN(",",TRUE,_xlfn._xlws.FILTER(VRAM_table[Video memory], (VRAM_table[Video memory text]&lt;&gt;"") * ISNUMBER(SEARCH(VRAM_table[Video memory text], B881)), ""))</f>
        <v>4GB,4GB</v>
      </c>
    </row>
    <row r="882" spans="1:9" hidden="1" x14ac:dyDescent="0.35">
      <c r="A882" t="s">
        <v>9</v>
      </c>
      <c r="B882" t="s">
        <v>632</v>
      </c>
      <c r="C882">
        <v>0</v>
      </c>
      <c r="D882">
        <v>13990000</v>
      </c>
      <c r="E882" t="s">
        <v>633</v>
      </c>
      <c r="F882" t="s">
        <v>1051</v>
      </c>
      <c r="G882" t="str">
        <f>_xlfn.TEXTJOIN(",",TRUE,_xlfn._xlws.FILTER(GPU_brand[GPU brand], (GPU_brand[GPU brand text]&lt;&gt;"") * ISNUMBER(SEARCH(GPU_brand[GPU brand text], B882)), ""))</f>
        <v>MSI</v>
      </c>
      <c r="H882" t="str">
        <f>_xlfn.TEXTJOIN(",",TRUE,_xlfn._xlws.FILTER(Chipset_Table[Chipset], (Chipset_Table[Chipset text]&lt;&gt;"") * ISNUMBER(SEARCH(Chipset_Table[Chipset text], B882)), ""))</f>
        <v>GeForce RTX 2060,RTX 2060</v>
      </c>
      <c r="I882" t="str">
        <f>_xlfn.TEXTJOIN(",",TRUE,_xlfn._xlws.FILTER(VRAM_table[Video memory], (VRAM_table[Video memory text]&lt;&gt;"") * ISNUMBER(SEARCH(VRAM_table[Video memory text], B882)), ""))</f>
        <v>6GB</v>
      </c>
    </row>
    <row r="883" spans="1:9" hidden="1" x14ac:dyDescent="0.35">
      <c r="A883" t="s">
        <v>9</v>
      </c>
      <c r="B883" t="s">
        <v>634</v>
      </c>
      <c r="C883">
        <v>0</v>
      </c>
      <c r="D883">
        <v>10990000</v>
      </c>
      <c r="E883" t="s">
        <v>635</v>
      </c>
      <c r="F883" t="s">
        <v>1051</v>
      </c>
      <c r="G883" t="str">
        <f>_xlfn.TEXTJOIN(",",TRUE,_xlfn._xlws.FILTER(GPU_brand[GPU brand], (GPU_brand[GPU brand text]&lt;&gt;"") * ISNUMBER(SEARCH(GPU_brand[GPU brand text], B883)), ""))</f>
        <v>Gigabyte</v>
      </c>
      <c r="H883" t="str">
        <f>_xlfn.TEXTJOIN(",",TRUE,_xlfn._xlws.FILTER(Chipset_Table[Chipset], (Chipset_Table[Chipset text]&lt;&gt;"") * ISNUMBER(SEARCH(Chipset_Table[Chipset text], B883)), ""))</f>
        <v>GeForce RTX 2060,RTX 2060</v>
      </c>
      <c r="I883" t="str">
        <f>_xlfn.TEXTJOIN(",",TRUE,_xlfn._xlws.FILTER(VRAM_table[Video memory], (VRAM_table[Video memory text]&lt;&gt;"") * ISNUMBER(SEARCH(VRAM_table[Video memory text], B883)), ""))</f>
        <v>6GB</v>
      </c>
    </row>
    <row r="884" spans="1:9" hidden="1" x14ac:dyDescent="0.35">
      <c r="A884" t="s">
        <v>9</v>
      </c>
      <c r="B884" t="s">
        <v>636</v>
      </c>
      <c r="C884">
        <v>7990000</v>
      </c>
      <c r="D884">
        <v>5190000</v>
      </c>
      <c r="E884" t="s">
        <v>637</v>
      </c>
      <c r="F884" t="s">
        <v>1051</v>
      </c>
      <c r="G884" t="str">
        <f>_xlfn.TEXTJOIN(",",TRUE,_xlfn._xlws.FILTER(GPU_brand[GPU brand], (GPU_brand[GPU brand text]&lt;&gt;"") * ISNUMBER(SEARCH(GPU_brand[GPU brand text], B884)), ""))</f>
        <v>Gigabyte</v>
      </c>
      <c r="H884" t="str">
        <f>_xlfn.TEXTJOIN(",",TRUE,_xlfn._xlws.FILTER(Chipset_Table[Chipset], (Chipset_Table[Chipset text]&lt;&gt;"") * ISNUMBER(SEARCH(Chipset_Table[Chipset text], B884)), ""))</f>
        <v>GeForce GTX 1660 SUPER,GeForce GTX 1660, GTX 1660 Super</v>
      </c>
      <c r="I884" t="str">
        <f>_xlfn.TEXTJOIN(",",TRUE,_xlfn._xlws.FILTER(VRAM_table[Video memory], (VRAM_table[Video memory text]&lt;&gt;"") * ISNUMBER(SEARCH(VRAM_table[Video memory text], B884)), ""))</f>
        <v>6GB</v>
      </c>
    </row>
    <row r="885" spans="1:9" hidden="1" x14ac:dyDescent="0.35">
      <c r="A885" t="s">
        <v>9</v>
      </c>
      <c r="B885" t="s">
        <v>638</v>
      </c>
      <c r="C885">
        <v>4290000</v>
      </c>
      <c r="D885">
        <v>3990000</v>
      </c>
      <c r="E885" t="s">
        <v>639</v>
      </c>
      <c r="F885" t="s">
        <v>1051</v>
      </c>
      <c r="G885" t="str">
        <f>_xlfn.TEXTJOIN(",",TRUE,_xlfn._xlws.FILTER(GPU_brand[GPU brand], (GPU_brand[GPU brand text]&lt;&gt;"") * ISNUMBER(SEARCH(GPU_brand[GPU brand text], B885)), ""))</f>
        <v>ASUS</v>
      </c>
      <c r="H885" t="str">
        <f>_xlfn.TEXTJOIN(",",TRUE,_xlfn._xlws.FILTER(Chipset_Table[Chipset], (Chipset_Table[Chipset text]&lt;&gt;"") * ISNUMBER(SEARCH(Chipset_Table[Chipset text], B885)), ""))</f>
        <v>GeForce GTX 1650,GTX 1650</v>
      </c>
      <c r="I885" t="str">
        <f>_xlfn.TEXTJOIN(",",TRUE,_xlfn._xlws.FILTER(VRAM_table[Video memory], (VRAM_table[Video memory text]&lt;&gt;"") * ISNUMBER(SEARCH(VRAM_table[Video memory text], B885)), ""))</f>
        <v>4GB,4GB</v>
      </c>
    </row>
    <row r="886" spans="1:9" hidden="1" x14ac:dyDescent="0.35">
      <c r="A886" t="s">
        <v>9</v>
      </c>
      <c r="B886" t="s">
        <v>640</v>
      </c>
      <c r="C886">
        <v>59990000</v>
      </c>
      <c r="D886">
        <v>55990000</v>
      </c>
      <c r="E886" t="s">
        <v>641</v>
      </c>
      <c r="F886" t="s">
        <v>1051</v>
      </c>
      <c r="G886" t="str">
        <f>_xlfn.TEXTJOIN(",",TRUE,_xlfn._xlws.FILTER(GPU_brand[GPU brand], (GPU_brand[GPU brand text]&lt;&gt;"") * ISNUMBER(SEARCH(GPU_brand[GPU brand text], B886)), ""))</f>
        <v>MSI</v>
      </c>
      <c r="H886" t="str">
        <f>_xlfn.TEXTJOIN(",",TRUE,_xlfn._xlws.FILTER(Chipset_Table[Chipset], (Chipset_Table[Chipset text]&lt;&gt;"") * ISNUMBER(SEARCH(Chipset_Table[Chipset text], B886)), ""))</f>
        <v>GeForce RTX 4090</v>
      </c>
      <c r="I886" t="str">
        <f>_xlfn.TEXTJOIN(",",TRUE,_xlfn._xlws.FILTER(VRAM_table[Video memory], (VRAM_table[Video memory text]&lt;&gt;"") * ISNUMBER(SEARCH(VRAM_table[Video memory text], B886)), ""))</f>
        <v>24GB,4GB</v>
      </c>
    </row>
    <row r="887" spans="1:9" hidden="1" x14ac:dyDescent="0.35">
      <c r="A887" t="s">
        <v>9</v>
      </c>
      <c r="B887" t="s">
        <v>642</v>
      </c>
      <c r="C887">
        <v>0</v>
      </c>
      <c r="D887">
        <v>56990000</v>
      </c>
      <c r="E887" t="s">
        <v>643</v>
      </c>
      <c r="F887" t="s">
        <v>1051</v>
      </c>
      <c r="G887" t="str">
        <f>_xlfn.TEXTJOIN(",",TRUE,_xlfn._xlws.FILTER(GPU_brand[GPU brand], (GPU_brand[GPU brand text]&lt;&gt;"") * ISNUMBER(SEARCH(GPU_brand[GPU brand text], B887)), ""))</f>
        <v>MSI</v>
      </c>
      <c r="H887" t="str">
        <f>_xlfn.TEXTJOIN(",",TRUE,_xlfn._xlws.FILTER(Chipset_Table[Chipset], (Chipset_Table[Chipset text]&lt;&gt;"") * ISNUMBER(SEARCH(Chipset_Table[Chipset text], B887)), ""))</f>
        <v>GeForce RTX 4090</v>
      </c>
      <c r="I887" t="str">
        <f>_xlfn.TEXTJOIN(",",TRUE,_xlfn._xlws.FILTER(VRAM_table[Video memory], (VRAM_table[Video memory text]&lt;&gt;"") * ISNUMBER(SEARCH(VRAM_table[Video memory text], B887)), ""))</f>
        <v>24GB,4GB</v>
      </c>
    </row>
    <row r="888" spans="1:9" hidden="1" x14ac:dyDescent="0.35">
      <c r="A888" t="s">
        <v>9</v>
      </c>
      <c r="B888" t="s">
        <v>644</v>
      </c>
      <c r="C888">
        <v>0</v>
      </c>
      <c r="D888">
        <v>55990000</v>
      </c>
      <c r="E888" t="s">
        <v>645</v>
      </c>
      <c r="F888" t="s">
        <v>1051</v>
      </c>
      <c r="G888" t="str">
        <f>_xlfn.TEXTJOIN(",",TRUE,_xlfn._xlws.FILTER(GPU_brand[GPU brand], (GPU_brand[GPU brand text]&lt;&gt;"") * ISNUMBER(SEARCH(GPU_brand[GPU brand text], B888)), ""))</f>
        <v>MSI</v>
      </c>
      <c r="H888" t="str">
        <f>_xlfn.TEXTJOIN(",",TRUE,_xlfn._xlws.FILTER(Chipset_Table[Chipset], (Chipset_Table[Chipset text]&lt;&gt;"") * ISNUMBER(SEARCH(Chipset_Table[Chipset text], B888)), ""))</f>
        <v>GeForce RTX 4090</v>
      </c>
      <c r="I888" t="str">
        <f>_xlfn.TEXTJOIN(",",TRUE,_xlfn._xlws.FILTER(VRAM_table[Video memory], (VRAM_table[Video memory text]&lt;&gt;"") * ISNUMBER(SEARCH(VRAM_table[Video memory text], B888)), ""))</f>
        <v>24GB,4GB</v>
      </c>
    </row>
    <row r="889" spans="1:9" hidden="1" x14ac:dyDescent="0.35">
      <c r="A889" t="s">
        <v>9</v>
      </c>
      <c r="B889" t="s">
        <v>646</v>
      </c>
      <c r="C889">
        <v>0</v>
      </c>
      <c r="D889">
        <v>54990000</v>
      </c>
      <c r="E889" t="s">
        <v>647</v>
      </c>
      <c r="F889" t="s">
        <v>1051</v>
      </c>
      <c r="G889" t="str">
        <f>_xlfn.TEXTJOIN(",",TRUE,_xlfn._xlws.FILTER(GPU_brand[GPU brand], (GPU_brand[GPU brand text]&lt;&gt;"") * ISNUMBER(SEARCH(GPU_brand[GPU brand text], B889)), ""))</f>
        <v>MSI</v>
      </c>
      <c r="H889" t="str">
        <f>_xlfn.TEXTJOIN(",",TRUE,_xlfn._xlws.FILTER(Chipset_Table[Chipset], (Chipset_Table[Chipset text]&lt;&gt;"") * ISNUMBER(SEARCH(Chipset_Table[Chipset text], B889)), ""))</f>
        <v>GeForce RTX 4090</v>
      </c>
      <c r="I889" t="str">
        <f>_xlfn.TEXTJOIN(",",TRUE,_xlfn._xlws.FILTER(VRAM_table[Video memory], (VRAM_table[Video memory text]&lt;&gt;"") * ISNUMBER(SEARCH(VRAM_table[Video memory text], B889)), ""))</f>
        <v>24GB,4GB</v>
      </c>
    </row>
    <row r="890" spans="1:9" hidden="1" x14ac:dyDescent="0.35">
      <c r="A890" t="s">
        <v>9</v>
      </c>
      <c r="B890" t="s">
        <v>648</v>
      </c>
      <c r="C890">
        <v>0</v>
      </c>
      <c r="D890">
        <v>53990000</v>
      </c>
      <c r="E890" t="s">
        <v>649</v>
      </c>
      <c r="F890" t="s">
        <v>1051</v>
      </c>
      <c r="G890" t="str">
        <f>_xlfn.TEXTJOIN(",",TRUE,_xlfn._xlws.FILTER(GPU_brand[GPU brand], (GPU_brand[GPU brand text]&lt;&gt;"") * ISNUMBER(SEARCH(GPU_brand[GPU brand text], B890)), ""))</f>
        <v>MSI</v>
      </c>
      <c r="H890" t="str">
        <f>_xlfn.TEXTJOIN(",",TRUE,_xlfn._xlws.FILTER(Chipset_Table[Chipset], (Chipset_Table[Chipset text]&lt;&gt;"") * ISNUMBER(SEARCH(Chipset_Table[Chipset text], B890)), ""))</f>
        <v>GeForce RTX 4090</v>
      </c>
      <c r="I890" t="str">
        <f>_xlfn.TEXTJOIN(",",TRUE,_xlfn._xlws.FILTER(VRAM_table[Video memory], (VRAM_table[Video memory text]&lt;&gt;"") * ISNUMBER(SEARCH(VRAM_table[Video memory text], B890)), ""))</f>
        <v>24GB,4GB</v>
      </c>
    </row>
    <row r="891" spans="1:9" hidden="1" x14ac:dyDescent="0.35">
      <c r="A891" t="s">
        <v>9</v>
      </c>
      <c r="B891" t="s">
        <v>650</v>
      </c>
      <c r="C891">
        <v>0</v>
      </c>
      <c r="D891">
        <v>54990000</v>
      </c>
      <c r="E891" t="s">
        <v>651</v>
      </c>
      <c r="F891" t="s">
        <v>1051</v>
      </c>
      <c r="G891" t="str">
        <f>_xlfn.TEXTJOIN(",",TRUE,_xlfn._xlws.FILTER(GPU_brand[GPU brand], (GPU_brand[GPU brand text]&lt;&gt;"") * ISNUMBER(SEARCH(GPU_brand[GPU brand text], B891)), ""))</f>
        <v>MSI</v>
      </c>
      <c r="H891" t="str">
        <f>_xlfn.TEXTJOIN(",",TRUE,_xlfn._xlws.FILTER(Chipset_Table[Chipset], (Chipset_Table[Chipset text]&lt;&gt;"") * ISNUMBER(SEARCH(Chipset_Table[Chipset text], B891)), ""))</f>
        <v>GeForce RTX 4090</v>
      </c>
      <c r="I891" t="str">
        <f>_xlfn.TEXTJOIN(",",TRUE,_xlfn._xlws.FILTER(VRAM_table[Video memory], (VRAM_table[Video memory text]&lt;&gt;"") * ISNUMBER(SEARCH(VRAM_table[Video memory text], B891)), ""))</f>
        <v>24GB,4GB</v>
      </c>
    </row>
    <row r="892" spans="1:9" hidden="1" x14ac:dyDescent="0.35">
      <c r="A892" t="s">
        <v>9</v>
      </c>
      <c r="B892" t="s">
        <v>652</v>
      </c>
      <c r="C892">
        <v>0</v>
      </c>
      <c r="D892">
        <v>47990000</v>
      </c>
      <c r="E892" t="s">
        <v>653</v>
      </c>
      <c r="F892" t="s">
        <v>1051</v>
      </c>
      <c r="G892" t="str">
        <f>_xlfn.TEXTJOIN(",",TRUE,_xlfn._xlws.FILTER(GPU_brand[GPU brand], (GPU_brand[GPU brand text]&lt;&gt;"") * ISNUMBER(SEARCH(GPU_brand[GPU brand text], B892)), ""))</f>
        <v>Gigabyte</v>
      </c>
      <c r="H892" t="str">
        <f>_xlfn.TEXTJOIN(",",TRUE,_xlfn._xlws.FILTER(Chipset_Table[Chipset], (Chipset_Table[Chipset text]&lt;&gt;"") * ISNUMBER(SEARCH(Chipset_Table[Chipset text], B892)), ""))</f>
        <v>GeForce RTX 4090</v>
      </c>
      <c r="I892" t="str">
        <f>_xlfn.TEXTJOIN(",",TRUE,_xlfn._xlws.FILTER(VRAM_table[Video memory], (VRAM_table[Video memory text]&lt;&gt;"") * ISNUMBER(SEARCH(VRAM_table[Video memory text], B892)), ""))</f>
        <v>24GB,4GB</v>
      </c>
    </row>
    <row r="893" spans="1:9" hidden="1" x14ac:dyDescent="0.35">
      <c r="A893" t="s">
        <v>9</v>
      </c>
      <c r="B893" t="s">
        <v>654</v>
      </c>
      <c r="C893">
        <v>0</v>
      </c>
      <c r="D893">
        <v>60990000</v>
      </c>
      <c r="E893" t="s">
        <v>655</v>
      </c>
      <c r="F893" t="s">
        <v>1051</v>
      </c>
      <c r="G893" t="str">
        <f>_xlfn.TEXTJOIN(",",TRUE,_xlfn._xlws.FILTER(GPU_brand[GPU brand], (GPU_brand[GPU brand text]&lt;&gt;"") * ISNUMBER(SEARCH(GPU_brand[GPU brand text], B893)), ""))</f>
        <v>Gigabyte</v>
      </c>
      <c r="H893" t="str">
        <f>_xlfn.TEXTJOIN(",",TRUE,_xlfn._xlws.FILTER(Chipset_Table[Chipset], (Chipset_Table[Chipset text]&lt;&gt;"") * ISNUMBER(SEARCH(Chipset_Table[Chipset text], B893)), ""))</f>
        <v>GeForce RTX 4090</v>
      </c>
      <c r="I893" t="str">
        <f>_xlfn.TEXTJOIN(",",TRUE,_xlfn._xlws.FILTER(VRAM_table[Video memory], (VRAM_table[Video memory text]&lt;&gt;"") * ISNUMBER(SEARCH(VRAM_table[Video memory text], B893)), ""))</f>
        <v>24GB,4GB</v>
      </c>
    </row>
    <row r="894" spans="1:9" hidden="1" x14ac:dyDescent="0.35">
      <c r="A894" t="s">
        <v>9</v>
      </c>
      <c r="B894" t="s">
        <v>656</v>
      </c>
      <c r="C894">
        <v>0</v>
      </c>
      <c r="D894">
        <v>56990000</v>
      </c>
      <c r="E894" t="s">
        <v>657</v>
      </c>
      <c r="F894" t="s">
        <v>1051</v>
      </c>
      <c r="G894" t="str">
        <f>_xlfn.TEXTJOIN(",",TRUE,_xlfn._xlws.FILTER(GPU_brand[GPU brand], (GPU_brand[GPU brand text]&lt;&gt;"") * ISNUMBER(SEARCH(GPU_brand[GPU brand text], B894)), ""))</f>
        <v>Gigabyte</v>
      </c>
      <c r="H894" t="str">
        <f>_xlfn.TEXTJOIN(",",TRUE,_xlfn._xlws.FILTER(Chipset_Table[Chipset], (Chipset_Table[Chipset text]&lt;&gt;"") * ISNUMBER(SEARCH(Chipset_Table[Chipset text], B894)), ""))</f>
        <v>GeForce RTX 4090</v>
      </c>
      <c r="I894" t="str">
        <f>_xlfn.TEXTJOIN(",",TRUE,_xlfn._xlws.FILTER(VRAM_table[Video memory], (VRAM_table[Video memory text]&lt;&gt;"") * ISNUMBER(SEARCH(VRAM_table[Video memory text], B894)), ""))</f>
        <v>24GB,4GB</v>
      </c>
    </row>
    <row r="895" spans="1:9" hidden="1" x14ac:dyDescent="0.35">
      <c r="A895" t="s">
        <v>9</v>
      </c>
      <c r="B895" t="s">
        <v>658</v>
      </c>
      <c r="C895">
        <v>69900000</v>
      </c>
      <c r="D895">
        <v>62990000</v>
      </c>
      <c r="E895" t="s">
        <v>659</v>
      </c>
      <c r="F895" t="s">
        <v>1051</v>
      </c>
      <c r="G895" t="str">
        <f>_xlfn.TEXTJOIN(",",TRUE,_xlfn._xlws.FILTER(GPU_brand[GPU brand], (GPU_brand[GPU brand text]&lt;&gt;"") * ISNUMBER(SEARCH(GPU_brand[GPU brand text], B895)), ""))</f>
        <v>Gigabyte</v>
      </c>
      <c r="H895" t="str">
        <f>_xlfn.TEXTJOIN(",",TRUE,_xlfn._xlws.FILTER(Chipset_Table[Chipset], (Chipset_Table[Chipset text]&lt;&gt;"") * ISNUMBER(SEARCH(Chipset_Table[Chipset text], B895)), ""))</f>
        <v>GeForce RTX 4090</v>
      </c>
      <c r="I895" t="str">
        <f>_xlfn.TEXTJOIN(",",TRUE,_xlfn._xlws.FILTER(VRAM_table[Video memory], (VRAM_table[Video memory text]&lt;&gt;"") * ISNUMBER(SEARCH(VRAM_table[Video memory text], B895)), ""))</f>
        <v>24GB,4GB</v>
      </c>
    </row>
    <row r="896" spans="1:9" hidden="1" x14ac:dyDescent="0.35">
      <c r="A896" t="s">
        <v>9</v>
      </c>
      <c r="B896" t="s">
        <v>660</v>
      </c>
      <c r="C896">
        <v>65990000</v>
      </c>
      <c r="D896">
        <v>62990000</v>
      </c>
      <c r="E896" t="s">
        <v>661</v>
      </c>
      <c r="F896" t="s">
        <v>1051</v>
      </c>
      <c r="G896" t="str">
        <f>_xlfn.TEXTJOIN(",",TRUE,_xlfn._xlws.FILTER(GPU_brand[GPU brand], (GPU_brand[GPU brand text]&lt;&gt;"") * ISNUMBER(SEARCH(GPU_brand[GPU brand text], B896)), ""))</f>
        <v>ASUS</v>
      </c>
      <c r="H896" t="str">
        <f>_xlfn.TEXTJOIN(",",TRUE,_xlfn._xlws.FILTER(Chipset_Table[Chipset], (Chipset_Table[Chipset text]&lt;&gt;"") * ISNUMBER(SEARCH(Chipset_Table[Chipset text], B896)), ""))</f>
        <v>GeForce RTX 4090</v>
      </c>
      <c r="I896" t="str">
        <f>_xlfn.TEXTJOIN(",",TRUE,_xlfn._xlws.FILTER(VRAM_table[Video memory], (VRAM_table[Video memory text]&lt;&gt;"") * ISNUMBER(SEARCH(VRAM_table[Video memory text], B896)), ""))</f>
        <v>4GB,24GB,4GB</v>
      </c>
    </row>
    <row r="897" spans="1:9" hidden="1" x14ac:dyDescent="0.35">
      <c r="A897" t="s">
        <v>9</v>
      </c>
      <c r="B897" t="s">
        <v>662</v>
      </c>
      <c r="C897">
        <v>65990000</v>
      </c>
      <c r="D897">
        <v>58490000</v>
      </c>
      <c r="E897" t="s">
        <v>663</v>
      </c>
      <c r="F897" t="s">
        <v>1051</v>
      </c>
      <c r="G897" t="str">
        <f>_xlfn.TEXTJOIN(",",TRUE,_xlfn._xlws.FILTER(GPU_brand[GPU brand], (GPU_brand[GPU brand text]&lt;&gt;"") * ISNUMBER(SEARCH(GPU_brand[GPU brand text], B897)), ""))</f>
        <v>ASUS</v>
      </c>
      <c r="H897" t="str">
        <f>_xlfn.TEXTJOIN(",",TRUE,_xlfn._xlws.FILTER(Chipset_Table[Chipset], (Chipset_Table[Chipset text]&lt;&gt;"") * ISNUMBER(SEARCH(Chipset_Table[Chipset text], B897)), ""))</f>
        <v>GeForce RTX 4090</v>
      </c>
      <c r="I897" t="str">
        <f>_xlfn.TEXTJOIN(",",TRUE,_xlfn._xlws.FILTER(VRAM_table[Video memory], (VRAM_table[Video memory text]&lt;&gt;"") * ISNUMBER(SEARCH(VRAM_table[Video memory text], B897)), ""))</f>
        <v>4GB,24GB,4GB</v>
      </c>
    </row>
    <row r="898" spans="1:9" hidden="1" x14ac:dyDescent="0.35">
      <c r="A898" t="s">
        <v>9</v>
      </c>
      <c r="B898" t="s">
        <v>664</v>
      </c>
      <c r="C898">
        <v>0</v>
      </c>
      <c r="D898">
        <v>66990000</v>
      </c>
      <c r="E898" t="s">
        <v>665</v>
      </c>
      <c r="F898" t="s">
        <v>1051</v>
      </c>
      <c r="G898" t="str">
        <f>_xlfn.TEXTJOIN(",",TRUE,_xlfn._xlws.FILTER(GPU_brand[GPU brand], (GPU_brand[GPU brand text]&lt;&gt;"") * ISNUMBER(SEARCH(GPU_brand[GPU brand text], B898)), ""))</f>
        <v>ASUS</v>
      </c>
      <c r="H898" t="str">
        <f>_xlfn.TEXTJOIN(",",TRUE,_xlfn._xlws.FILTER(Chipset_Table[Chipset], (Chipset_Table[Chipset text]&lt;&gt;"") * ISNUMBER(SEARCH(Chipset_Table[Chipset text], B898)), ""))</f>
        <v>GeForce RTX 4090</v>
      </c>
      <c r="I898" t="str">
        <f>_xlfn.TEXTJOIN(",",TRUE,_xlfn._xlws.FILTER(VRAM_table[Video memory], (VRAM_table[Video memory text]&lt;&gt;"") * ISNUMBER(SEARCH(VRAM_table[Video memory text], B898)), ""))</f>
        <v>4GB,24GB,4GB</v>
      </c>
    </row>
    <row r="899" spans="1:9" hidden="1" x14ac:dyDescent="0.35">
      <c r="A899" t="s">
        <v>9</v>
      </c>
      <c r="B899" t="s">
        <v>666</v>
      </c>
      <c r="C899">
        <v>65990000</v>
      </c>
      <c r="D899">
        <v>62990000</v>
      </c>
      <c r="E899" t="s">
        <v>667</v>
      </c>
      <c r="F899" t="s">
        <v>1051</v>
      </c>
      <c r="G899" t="str">
        <f>_xlfn.TEXTJOIN(",",TRUE,_xlfn._xlws.FILTER(GPU_brand[GPU brand], (GPU_brand[GPU brand text]&lt;&gt;"") * ISNUMBER(SEARCH(GPU_brand[GPU brand text], B899)), ""))</f>
        <v>ASUS</v>
      </c>
      <c r="H899" t="str">
        <f>_xlfn.TEXTJOIN(",",TRUE,_xlfn._xlws.FILTER(Chipset_Table[Chipset], (Chipset_Table[Chipset text]&lt;&gt;"") * ISNUMBER(SEARCH(Chipset_Table[Chipset text], B899)), ""))</f>
        <v>GeForce RTX 4090</v>
      </c>
      <c r="I899" t="str">
        <f>_xlfn.TEXTJOIN(",",TRUE,_xlfn._xlws.FILTER(VRAM_table[Video memory], (VRAM_table[Video memory text]&lt;&gt;"") * ISNUMBER(SEARCH(VRAM_table[Video memory text], B899)), ""))</f>
        <v>4GB,24GB,4GB</v>
      </c>
    </row>
    <row r="900" spans="1:9" hidden="1" x14ac:dyDescent="0.35">
      <c r="A900" t="s">
        <v>9</v>
      </c>
      <c r="B900" t="s">
        <v>668</v>
      </c>
      <c r="C900">
        <v>0</v>
      </c>
      <c r="D900">
        <v>8790000</v>
      </c>
      <c r="E900" t="s">
        <v>669</v>
      </c>
      <c r="F900" t="s">
        <v>1051</v>
      </c>
      <c r="G900" t="str">
        <f>_xlfn.TEXTJOIN(",",TRUE,_xlfn._xlws.FILTER(GPU_brand[GPU brand], (GPU_brand[GPU brand text]&lt;&gt;"") * ISNUMBER(SEARCH(GPU_brand[GPU brand text], B900)), ""))</f>
        <v>Gigabyte</v>
      </c>
      <c r="H900" t="str">
        <f>_xlfn.TEXTJOIN(",",TRUE,_xlfn._xlws.FILTER(Chipset_Table[Chipset], (Chipset_Table[Chipset text]&lt;&gt;"") * ISNUMBER(SEARCH(Chipset_Table[Chipset text], B900)), ""))</f>
        <v>GeForce GTX 1650,GTX 1650</v>
      </c>
      <c r="I900" t="str">
        <f>_xlfn.TEXTJOIN(",",TRUE,_xlfn._xlws.FILTER(VRAM_table[Video memory], (VRAM_table[Video memory text]&lt;&gt;"") * ISNUMBER(SEARCH(VRAM_table[Video memory text], B900)), ""))</f>
        <v>4GB,4GB</v>
      </c>
    </row>
    <row r="901" spans="1:9" hidden="1" x14ac:dyDescent="0.35">
      <c r="A901" t="s">
        <v>9</v>
      </c>
      <c r="B901" t="s">
        <v>670</v>
      </c>
      <c r="C901">
        <v>8990000</v>
      </c>
      <c r="D901">
        <v>8790000</v>
      </c>
      <c r="E901" t="s">
        <v>671</v>
      </c>
      <c r="F901" t="s">
        <v>1051</v>
      </c>
      <c r="G901" t="str">
        <f>_xlfn.TEXTJOIN(",",TRUE,_xlfn._xlws.FILTER(GPU_brand[GPU brand], (GPU_brand[GPU brand text]&lt;&gt;"") * ISNUMBER(SEARCH(GPU_brand[GPU brand text], B901)), ""))</f>
        <v>ASUS</v>
      </c>
      <c r="H901" t="str">
        <f>_xlfn.TEXTJOIN(",",TRUE,_xlfn._xlws.FILTER(Chipset_Table[Chipset], (Chipset_Table[Chipset text]&lt;&gt;"") * ISNUMBER(SEARCH(Chipset_Table[Chipset text], B901)), ""))</f>
        <v>GeForce GTX 1650,GTX 1650</v>
      </c>
      <c r="I901" t="str">
        <f>_xlfn.TEXTJOIN(",",TRUE,_xlfn._xlws.FILTER(VRAM_table[Video memory], (VRAM_table[Video memory text]&lt;&gt;"") * ISNUMBER(SEARCH(VRAM_table[Video memory text], B901)), ""))</f>
        <v>4GB,4GB</v>
      </c>
    </row>
    <row r="902" spans="1:9" hidden="1" x14ac:dyDescent="0.35">
      <c r="A902" t="s">
        <v>9</v>
      </c>
      <c r="B902" t="s">
        <v>672</v>
      </c>
      <c r="C902">
        <v>44990000</v>
      </c>
      <c r="D902">
        <v>36990000</v>
      </c>
      <c r="E902" t="s">
        <v>673</v>
      </c>
      <c r="F902" t="s">
        <v>1051</v>
      </c>
      <c r="G902" t="str">
        <f>_xlfn.TEXTJOIN(",",TRUE,_xlfn._xlws.FILTER(GPU_brand[GPU brand], (GPU_brand[GPU brand text]&lt;&gt;"") * ISNUMBER(SEARCH(GPU_brand[GPU brand text], B902)), ""))</f>
        <v>MSI</v>
      </c>
      <c r="H902" t="str">
        <f>_xlfn.TEXTJOIN(",",TRUE,_xlfn._xlws.FILTER(Chipset_Table[Chipset], (Chipset_Table[Chipset text]&lt;&gt;"") * ISNUMBER(SEARCH(Chipset_Table[Chipset text], B902)), ""))</f>
        <v>GeForce RTX 4080</v>
      </c>
      <c r="I902" t="str">
        <f>_xlfn.TEXTJOIN(",",TRUE,_xlfn._xlws.FILTER(VRAM_table[Video memory], (VRAM_table[Video memory text]&lt;&gt;"") * ISNUMBER(SEARCH(VRAM_table[Video memory text], B902)), ""))</f>
        <v>16GB,16GB,6GB,6GB</v>
      </c>
    </row>
    <row r="903" spans="1:9" hidden="1" x14ac:dyDescent="0.35">
      <c r="A903" t="s">
        <v>9</v>
      </c>
      <c r="B903" t="s">
        <v>674</v>
      </c>
      <c r="C903">
        <v>0</v>
      </c>
      <c r="D903">
        <v>35990000</v>
      </c>
      <c r="E903" t="s">
        <v>675</v>
      </c>
      <c r="F903" t="s">
        <v>1051</v>
      </c>
      <c r="G903" t="str">
        <f>_xlfn.TEXTJOIN(",",TRUE,_xlfn._xlws.FILTER(GPU_brand[GPU brand], (GPU_brand[GPU brand text]&lt;&gt;"") * ISNUMBER(SEARCH(GPU_brand[GPU brand text], B903)), ""))</f>
        <v>MSI</v>
      </c>
      <c r="H903" t="str">
        <f>_xlfn.TEXTJOIN(",",TRUE,_xlfn._xlws.FILTER(Chipset_Table[Chipset], (Chipset_Table[Chipset text]&lt;&gt;"") * ISNUMBER(SEARCH(Chipset_Table[Chipset text], B903)), ""))</f>
        <v>GeForce RTX 4080</v>
      </c>
      <c r="I903" t="str">
        <f>_xlfn.TEXTJOIN(",",TRUE,_xlfn._xlws.FILTER(VRAM_table[Video memory], (VRAM_table[Video memory text]&lt;&gt;"") * ISNUMBER(SEARCH(VRAM_table[Video memory text], B903)), ""))</f>
        <v>16GB,16GB,6GB,6GB</v>
      </c>
    </row>
    <row r="904" spans="1:9" hidden="1" x14ac:dyDescent="0.35">
      <c r="A904" t="s">
        <v>9</v>
      </c>
      <c r="B904" t="s">
        <v>676</v>
      </c>
      <c r="C904">
        <v>48990000</v>
      </c>
      <c r="D904">
        <v>39990000</v>
      </c>
      <c r="E904" t="s">
        <v>677</v>
      </c>
      <c r="F904" t="s">
        <v>1051</v>
      </c>
      <c r="G904" t="str">
        <f>_xlfn.TEXTJOIN(",",TRUE,_xlfn._xlws.FILTER(GPU_brand[GPU brand], (GPU_brand[GPU brand text]&lt;&gt;"") * ISNUMBER(SEARCH(GPU_brand[GPU brand text], B904)), ""))</f>
        <v>MSI</v>
      </c>
      <c r="H904" t="str">
        <f>_xlfn.TEXTJOIN(",",TRUE,_xlfn._xlws.FILTER(Chipset_Table[Chipset], (Chipset_Table[Chipset text]&lt;&gt;"") * ISNUMBER(SEARCH(Chipset_Table[Chipset text], B904)), ""))</f>
        <v>GeForce RTX 4080</v>
      </c>
      <c r="I904" t="str">
        <f>_xlfn.TEXTJOIN(",",TRUE,_xlfn._xlws.FILTER(VRAM_table[Video memory], (VRAM_table[Video memory text]&lt;&gt;"") * ISNUMBER(SEARCH(VRAM_table[Video memory text], B904)), ""))</f>
        <v>16GB,16GB,6GB,6GB</v>
      </c>
    </row>
    <row r="905" spans="1:9" hidden="1" x14ac:dyDescent="0.35">
      <c r="A905" t="s">
        <v>9</v>
      </c>
      <c r="B905" t="s">
        <v>678</v>
      </c>
      <c r="C905">
        <v>0</v>
      </c>
      <c r="D905">
        <v>39490000</v>
      </c>
      <c r="E905" t="s">
        <v>679</v>
      </c>
      <c r="F905" t="s">
        <v>1051</v>
      </c>
      <c r="G905" t="str">
        <f>_xlfn.TEXTJOIN(",",TRUE,_xlfn._xlws.FILTER(GPU_brand[GPU brand], (GPU_brand[GPU brand text]&lt;&gt;"") * ISNUMBER(SEARCH(GPU_brand[GPU brand text], B905)), ""))</f>
        <v>MSI</v>
      </c>
      <c r="H905" t="str">
        <f>_xlfn.TEXTJOIN(",",TRUE,_xlfn._xlws.FILTER(Chipset_Table[Chipset], (Chipset_Table[Chipset text]&lt;&gt;"") * ISNUMBER(SEARCH(Chipset_Table[Chipset text], B905)), ""))</f>
        <v>GeForce RTX 4080</v>
      </c>
      <c r="I905" t="str">
        <f>_xlfn.TEXTJOIN(",",TRUE,_xlfn._xlws.FILTER(VRAM_table[Video memory], (VRAM_table[Video memory text]&lt;&gt;"") * ISNUMBER(SEARCH(VRAM_table[Video memory text], B905)), ""))</f>
        <v>16GB,16GB,6GB,6GB</v>
      </c>
    </row>
    <row r="906" spans="1:9" hidden="1" x14ac:dyDescent="0.35">
      <c r="A906" t="s">
        <v>9</v>
      </c>
      <c r="B906" t="s">
        <v>680</v>
      </c>
      <c r="C906">
        <v>46990000</v>
      </c>
      <c r="D906">
        <v>37990000</v>
      </c>
      <c r="E906" t="s">
        <v>681</v>
      </c>
      <c r="F906" t="s">
        <v>1051</v>
      </c>
      <c r="G906" t="str">
        <f>_xlfn.TEXTJOIN(",",TRUE,_xlfn._xlws.FILTER(GPU_brand[GPU brand], (GPU_brand[GPU brand text]&lt;&gt;"") * ISNUMBER(SEARCH(GPU_brand[GPU brand text], B906)), ""))</f>
        <v>MSI</v>
      </c>
      <c r="H906" t="str">
        <f>_xlfn.TEXTJOIN(",",TRUE,_xlfn._xlws.FILTER(Chipset_Table[Chipset], (Chipset_Table[Chipset text]&lt;&gt;"") * ISNUMBER(SEARCH(Chipset_Table[Chipset text], B906)), ""))</f>
        <v>GeForce RTX 4080</v>
      </c>
      <c r="I906" t="str">
        <f>_xlfn.TEXTJOIN(",",TRUE,_xlfn._xlws.FILTER(VRAM_table[Video memory], (VRAM_table[Video memory text]&lt;&gt;"") * ISNUMBER(SEARCH(VRAM_table[Video memory text], B906)), ""))</f>
        <v>16GB,16GB,6GB,6GB</v>
      </c>
    </row>
    <row r="907" spans="1:9" hidden="1" x14ac:dyDescent="0.35">
      <c r="A907" t="s">
        <v>9</v>
      </c>
      <c r="B907" t="s">
        <v>682</v>
      </c>
      <c r="C907">
        <v>0</v>
      </c>
      <c r="D907">
        <v>36990000</v>
      </c>
      <c r="E907" t="s">
        <v>683</v>
      </c>
      <c r="F907" t="s">
        <v>1051</v>
      </c>
      <c r="G907" t="str">
        <f>_xlfn.TEXTJOIN(",",TRUE,_xlfn._xlws.FILTER(GPU_brand[GPU brand], (GPU_brand[GPU brand text]&lt;&gt;"") * ISNUMBER(SEARCH(GPU_brand[GPU brand text], B907)), ""))</f>
        <v>MSI</v>
      </c>
      <c r="H907" t="str">
        <f>_xlfn.TEXTJOIN(",",TRUE,_xlfn._xlws.FILTER(Chipset_Table[Chipset], (Chipset_Table[Chipset text]&lt;&gt;"") * ISNUMBER(SEARCH(Chipset_Table[Chipset text], B907)), ""))</f>
        <v>GeForce RTX 4080</v>
      </c>
      <c r="I907" t="str">
        <f>_xlfn.TEXTJOIN(",",TRUE,_xlfn._xlws.FILTER(VRAM_table[Video memory], (VRAM_table[Video memory text]&lt;&gt;"") * ISNUMBER(SEARCH(VRAM_table[Video memory text], B907)), ""))</f>
        <v>16GB,16GB,6GB,6GB</v>
      </c>
    </row>
    <row r="908" spans="1:9" hidden="1" x14ac:dyDescent="0.35">
      <c r="A908" t="s">
        <v>9</v>
      </c>
      <c r="B908" t="s">
        <v>684</v>
      </c>
      <c r="C908">
        <v>48490000</v>
      </c>
      <c r="D908">
        <v>37490000</v>
      </c>
      <c r="E908" t="s">
        <v>685</v>
      </c>
      <c r="F908" t="s">
        <v>1051</v>
      </c>
      <c r="G908" t="str">
        <f>_xlfn.TEXTJOIN(",",TRUE,_xlfn._xlws.FILTER(GPU_brand[GPU brand], (GPU_brand[GPU brand text]&lt;&gt;"") * ISNUMBER(SEARCH(GPU_brand[GPU brand text], B908)), ""))</f>
        <v>Gigabyte</v>
      </c>
      <c r="H908" t="str">
        <f>_xlfn.TEXTJOIN(",",TRUE,_xlfn._xlws.FILTER(Chipset_Table[Chipset], (Chipset_Table[Chipset text]&lt;&gt;"") * ISNUMBER(SEARCH(Chipset_Table[Chipset text], B908)), ""))</f>
        <v>GeForce RTX 4080</v>
      </c>
      <c r="I908" t="str">
        <f>_xlfn.TEXTJOIN(",",TRUE,_xlfn._xlws.FILTER(VRAM_table[Video memory], (VRAM_table[Video memory text]&lt;&gt;"") * ISNUMBER(SEARCH(VRAM_table[Video memory text], B908)), ""))</f>
        <v>16GB,16GB,6GB,6GB</v>
      </c>
    </row>
    <row r="909" spans="1:9" hidden="1" x14ac:dyDescent="0.35">
      <c r="A909" t="s">
        <v>9</v>
      </c>
      <c r="B909" t="s">
        <v>686</v>
      </c>
      <c r="C909">
        <v>45990000</v>
      </c>
      <c r="D909">
        <v>35490000</v>
      </c>
      <c r="E909" t="s">
        <v>687</v>
      </c>
      <c r="F909" t="s">
        <v>1051</v>
      </c>
      <c r="G909" t="str">
        <f>_xlfn.TEXTJOIN(",",TRUE,_xlfn._xlws.FILTER(GPU_brand[GPU brand], (GPU_brand[GPU brand text]&lt;&gt;"") * ISNUMBER(SEARCH(GPU_brand[GPU brand text], B909)), ""))</f>
        <v>Gigabyte</v>
      </c>
      <c r="H909" t="str">
        <f>_xlfn.TEXTJOIN(",",TRUE,_xlfn._xlws.FILTER(Chipset_Table[Chipset], (Chipset_Table[Chipset text]&lt;&gt;"") * ISNUMBER(SEARCH(Chipset_Table[Chipset text], B909)), ""))</f>
        <v>GeForce RTX 4080</v>
      </c>
      <c r="I909" t="str">
        <f>_xlfn.TEXTJOIN(",",TRUE,_xlfn._xlws.FILTER(VRAM_table[Video memory], (VRAM_table[Video memory text]&lt;&gt;"") * ISNUMBER(SEARCH(VRAM_table[Video memory text], B909)), ""))</f>
        <v>16GB,16GB,6GB,6GB</v>
      </c>
    </row>
    <row r="910" spans="1:9" hidden="1" x14ac:dyDescent="0.35">
      <c r="A910" t="s">
        <v>9</v>
      </c>
      <c r="B910" t="s">
        <v>688</v>
      </c>
      <c r="C910">
        <v>46990000</v>
      </c>
      <c r="D910">
        <v>35990000</v>
      </c>
      <c r="E910" t="s">
        <v>689</v>
      </c>
      <c r="F910" t="s">
        <v>1051</v>
      </c>
      <c r="G910" t="str">
        <f>_xlfn.TEXTJOIN(",",TRUE,_xlfn._xlws.FILTER(GPU_brand[GPU brand], (GPU_brand[GPU brand text]&lt;&gt;"") * ISNUMBER(SEARCH(GPU_brand[GPU brand text], B910)), ""))</f>
        <v>Gigabyte</v>
      </c>
      <c r="H910" t="str">
        <f>_xlfn.TEXTJOIN(",",TRUE,_xlfn._xlws.FILTER(Chipset_Table[Chipset], (Chipset_Table[Chipset text]&lt;&gt;"") * ISNUMBER(SEARCH(Chipset_Table[Chipset text], B910)), ""))</f>
        <v>GeForce RTX 4080</v>
      </c>
      <c r="I910" t="str">
        <f>_xlfn.TEXTJOIN(",",TRUE,_xlfn._xlws.FILTER(VRAM_table[Video memory], (VRAM_table[Video memory text]&lt;&gt;"") * ISNUMBER(SEARCH(VRAM_table[Video memory text], B910)), ""))</f>
        <v>16GB,16GB,6GB,6GB</v>
      </c>
    </row>
    <row r="911" spans="1:9" hidden="1" x14ac:dyDescent="0.35">
      <c r="A911" t="s">
        <v>9</v>
      </c>
      <c r="B911" t="s">
        <v>690</v>
      </c>
      <c r="C911">
        <v>48990000</v>
      </c>
      <c r="D911">
        <v>37990000</v>
      </c>
      <c r="E911" t="s">
        <v>691</v>
      </c>
      <c r="F911" t="s">
        <v>1051</v>
      </c>
      <c r="G911" t="str">
        <f>_xlfn.TEXTJOIN(",",TRUE,_xlfn._xlws.FILTER(GPU_brand[GPU brand], (GPU_brand[GPU brand text]&lt;&gt;"") * ISNUMBER(SEARCH(GPU_brand[GPU brand text], B911)), ""))</f>
        <v>Gigabyte</v>
      </c>
      <c r="H911" t="str">
        <f>_xlfn.TEXTJOIN(",",TRUE,_xlfn._xlws.FILTER(Chipset_Table[Chipset], (Chipset_Table[Chipset text]&lt;&gt;"") * ISNUMBER(SEARCH(Chipset_Table[Chipset text], B911)), ""))</f>
        <v>GeForce RTX 4080</v>
      </c>
      <c r="I911" t="str">
        <f>_xlfn.TEXTJOIN(",",TRUE,_xlfn._xlws.FILTER(VRAM_table[Video memory], (VRAM_table[Video memory text]&lt;&gt;"") * ISNUMBER(SEARCH(VRAM_table[Video memory text], B911)), ""))</f>
        <v>16GB,16GB,6GB,6GB</v>
      </c>
    </row>
    <row r="912" spans="1:9" hidden="1" x14ac:dyDescent="0.35">
      <c r="A912" t="s">
        <v>9</v>
      </c>
      <c r="B912" t="s">
        <v>692</v>
      </c>
      <c r="C912">
        <v>0</v>
      </c>
      <c r="D912">
        <v>40490000</v>
      </c>
      <c r="E912" t="s">
        <v>693</v>
      </c>
      <c r="F912" t="s">
        <v>1051</v>
      </c>
      <c r="G912" t="str">
        <f>_xlfn.TEXTJOIN(",",TRUE,_xlfn._xlws.FILTER(GPU_brand[GPU brand], (GPU_brand[GPU brand text]&lt;&gt;"") * ISNUMBER(SEARCH(GPU_brand[GPU brand text], B912)), ""))</f>
        <v>Gigabyte</v>
      </c>
      <c r="H912" t="str">
        <f>_xlfn.TEXTJOIN(",",TRUE,_xlfn._xlws.FILTER(Chipset_Table[Chipset], (Chipset_Table[Chipset text]&lt;&gt;"") * ISNUMBER(SEARCH(Chipset_Table[Chipset text], B912)), ""))</f>
        <v>GeForce RTX 4080</v>
      </c>
      <c r="I912" t="str">
        <f>_xlfn.TEXTJOIN(",",TRUE,_xlfn._xlws.FILTER(VRAM_table[Video memory], (VRAM_table[Video memory text]&lt;&gt;"") * ISNUMBER(SEARCH(VRAM_table[Video memory text], B912)), ""))</f>
        <v>16GB,16GB,6GB,6GB</v>
      </c>
    </row>
    <row r="913" spans="1:9" hidden="1" x14ac:dyDescent="0.35">
      <c r="A913" t="s">
        <v>9</v>
      </c>
      <c r="B913" t="s">
        <v>694</v>
      </c>
      <c r="C913">
        <v>0</v>
      </c>
      <c r="D913">
        <v>42990000</v>
      </c>
      <c r="E913" t="s">
        <v>695</v>
      </c>
      <c r="F913" t="s">
        <v>1051</v>
      </c>
      <c r="G913" t="str">
        <f>_xlfn.TEXTJOIN(",",TRUE,_xlfn._xlws.FILTER(GPU_brand[GPU brand], (GPU_brand[GPU brand text]&lt;&gt;"") * ISNUMBER(SEARCH(GPU_brand[GPU brand text], B913)), ""))</f>
        <v>Gigabyte</v>
      </c>
      <c r="H913" t="str">
        <f>_xlfn.TEXTJOIN(",",TRUE,_xlfn._xlws.FILTER(Chipset_Table[Chipset], (Chipset_Table[Chipset text]&lt;&gt;"") * ISNUMBER(SEARCH(Chipset_Table[Chipset text], B913)), ""))</f>
        <v>GeForce RTX 4080</v>
      </c>
      <c r="I913" t="str">
        <f>_xlfn.TEXTJOIN(",",TRUE,_xlfn._xlws.FILTER(VRAM_table[Video memory], (VRAM_table[Video memory text]&lt;&gt;"") * ISNUMBER(SEARCH(VRAM_table[Video memory text], B913)), ""))</f>
        <v>16GB,16GB,6GB,6GB</v>
      </c>
    </row>
    <row r="914" spans="1:9" hidden="1" x14ac:dyDescent="0.35">
      <c r="A914" t="s">
        <v>9</v>
      </c>
      <c r="B914" t="s">
        <v>696</v>
      </c>
      <c r="C914">
        <v>49990000</v>
      </c>
      <c r="D914">
        <v>39990000</v>
      </c>
      <c r="E914" t="s">
        <v>697</v>
      </c>
      <c r="F914" t="s">
        <v>1051</v>
      </c>
      <c r="G914" t="str">
        <f>_xlfn.TEXTJOIN(",",TRUE,_xlfn._xlws.FILTER(GPU_brand[GPU brand], (GPU_brand[GPU brand text]&lt;&gt;"") * ISNUMBER(SEARCH(GPU_brand[GPU brand text], B914)), ""))</f>
        <v>Gigabyte</v>
      </c>
      <c r="H914" t="str">
        <f>_xlfn.TEXTJOIN(",",TRUE,_xlfn._xlws.FILTER(Chipset_Table[Chipset], (Chipset_Table[Chipset text]&lt;&gt;"") * ISNUMBER(SEARCH(Chipset_Table[Chipset text], B914)), ""))</f>
        <v>GeForce RTX 4080</v>
      </c>
      <c r="I914" t="str">
        <f>_xlfn.TEXTJOIN(",",TRUE,_xlfn._xlws.FILTER(VRAM_table[Video memory], (VRAM_table[Video memory text]&lt;&gt;"") * ISNUMBER(SEARCH(VRAM_table[Video memory text], B914)), ""))</f>
        <v>16GB,16GB,6GB,6GB</v>
      </c>
    </row>
    <row r="915" spans="1:9" hidden="1" x14ac:dyDescent="0.35">
      <c r="A915" t="s">
        <v>9</v>
      </c>
      <c r="B915" t="s">
        <v>698</v>
      </c>
      <c r="C915">
        <v>47200000</v>
      </c>
      <c r="D915">
        <v>38490000</v>
      </c>
      <c r="E915" t="s">
        <v>699</v>
      </c>
      <c r="F915" t="s">
        <v>1051</v>
      </c>
      <c r="G915" t="str">
        <f>_xlfn.TEXTJOIN(",",TRUE,_xlfn._xlws.FILTER(GPU_brand[GPU brand], (GPU_brand[GPU brand text]&lt;&gt;"") * ISNUMBER(SEARCH(GPU_brand[GPU brand text], B915)), ""))</f>
        <v>ASUS</v>
      </c>
      <c r="H915" t="str">
        <f>_xlfn.TEXTJOIN(",",TRUE,_xlfn._xlws.FILTER(Chipset_Table[Chipset], (Chipset_Table[Chipset text]&lt;&gt;"") * ISNUMBER(SEARCH(Chipset_Table[Chipset text], B915)), ""))</f>
        <v>GeForce RTX 4080</v>
      </c>
      <c r="I915" t="str">
        <f>_xlfn.TEXTJOIN(",",TRUE,_xlfn._xlws.FILTER(VRAM_table[Video memory], (VRAM_table[Video memory text]&lt;&gt;"") * ISNUMBER(SEARCH(VRAM_table[Video memory text], B915)), ""))</f>
        <v>16GB,16GB,6GB,6GB</v>
      </c>
    </row>
    <row r="916" spans="1:9" hidden="1" x14ac:dyDescent="0.35">
      <c r="A916" t="s">
        <v>9</v>
      </c>
      <c r="B916" t="s">
        <v>700</v>
      </c>
      <c r="C916">
        <v>46000000</v>
      </c>
      <c r="D916">
        <v>37990000</v>
      </c>
      <c r="E916" t="s">
        <v>701</v>
      </c>
      <c r="F916" t="s">
        <v>1051</v>
      </c>
      <c r="G916" t="str">
        <f>_xlfn.TEXTJOIN(",",TRUE,_xlfn._xlws.FILTER(GPU_brand[GPU brand], (GPU_brand[GPU brand text]&lt;&gt;"") * ISNUMBER(SEARCH(GPU_brand[GPU brand text], B916)), ""))</f>
        <v>ASUS</v>
      </c>
      <c r="H916" t="str">
        <f>_xlfn.TEXTJOIN(",",TRUE,_xlfn._xlws.FILTER(Chipset_Table[Chipset], (Chipset_Table[Chipset text]&lt;&gt;"") * ISNUMBER(SEARCH(Chipset_Table[Chipset text], B916)), ""))</f>
        <v>GeForce RTX 4080</v>
      </c>
      <c r="I916" t="str">
        <f>_xlfn.TEXTJOIN(",",TRUE,_xlfn._xlws.FILTER(VRAM_table[Video memory], (VRAM_table[Video memory text]&lt;&gt;"") * ISNUMBER(SEARCH(VRAM_table[Video memory text], B916)), ""))</f>
        <v>16GB,16GB,6GB,6GB</v>
      </c>
    </row>
    <row r="917" spans="1:9" hidden="1" x14ac:dyDescent="0.35">
      <c r="A917" t="s">
        <v>9</v>
      </c>
      <c r="B917" t="s">
        <v>702</v>
      </c>
      <c r="C917">
        <v>29990000</v>
      </c>
      <c r="D917">
        <v>26990000</v>
      </c>
      <c r="E917" t="s">
        <v>703</v>
      </c>
      <c r="F917" t="s">
        <v>1051</v>
      </c>
      <c r="G917" t="str">
        <f>_xlfn.TEXTJOIN(",",TRUE,_xlfn._xlws.FILTER(GPU_brand[GPU brand], (GPU_brand[GPU brand text]&lt;&gt;"") * ISNUMBER(SEARCH(GPU_brand[GPU brand text], B917)), ""))</f>
        <v>ASUS</v>
      </c>
      <c r="H917" t="str">
        <f>_xlfn.TEXTJOIN(",",TRUE,_xlfn._xlws.FILTER(Chipset_Table[Chipset], (Chipset_Table[Chipset text]&lt;&gt;"") * ISNUMBER(SEARCH(Chipset_Table[Chipset text], B917)), ""))</f>
        <v>GeForce RTX 4070</v>
      </c>
      <c r="I917" t="str">
        <f>_xlfn.TEXTJOIN(",",TRUE,_xlfn._xlws.FILTER(VRAM_table[Video memory], (VRAM_table[Video memory text]&lt;&gt;"") * ISNUMBER(SEARCH(VRAM_table[Video memory text], B917)), ""))</f>
        <v>12GB,2GB</v>
      </c>
    </row>
    <row r="918" spans="1:9" hidden="1" x14ac:dyDescent="0.35">
      <c r="A918" t="s">
        <v>9</v>
      </c>
      <c r="B918" t="s">
        <v>704</v>
      </c>
      <c r="C918">
        <v>24990000</v>
      </c>
      <c r="D918">
        <v>24390000</v>
      </c>
      <c r="E918" t="s">
        <v>705</v>
      </c>
      <c r="F918" t="s">
        <v>1051</v>
      </c>
      <c r="G918" t="str">
        <f>_xlfn.TEXTJOIN(",",TRUE,_xlfn._xlws.FILTER(GPU_brand[GPU brand], (GPU_brand[GPU brand text]&lt;&gt;"") * ISNUMBER(SEARCH(GPU_brand[GPU brand text], B918)), ""))</f>
        <v>ASUS</v>
      </c>
      <c r="H918" t="str">
        <f>_xlfn.TEXTJOIN(",",TRUE,_xlfn._xlws.FILTER(Chipset_Table[Chipset], (Chipset_Table[Chipset text]&lt;&gt;"") * ISNUMBER(SEARCH(Chipset_Table[Chipset text], B918)), ""))</f>
        <v>GeForce RTX 4070</v>
      </c>
      <c r="I918" t="str">
        <f>_xlfn.TEXTJOIN(",",TRUE,_xlfn._xlws.FILTER(VRAM_table[Video memory], (VRAM_table[Video memory text]&lt;&gt;"") * ISNUMBER(SEARCH(VRAM_table[Video memory text], B918)), ""))</f>
        <v>12GB,2GB</v>
      </c>
    </row>
    <row r="919" spans="1:9" hidden="1" x14ac:dyDescent="0.35">
      <c r="A919" t="s">
        <v>9</v>
      </c>
      <c r="B919" t="s">
        <v>706</v>
      </c>
      <c r="C919">
        <v>69990000</v>
      </c>
      <c r="D919">
        <v>64990000</v>
      </c>
      <c r="E919" t="s">
        <v>707</v>
      </c>
      <c r="F919" t="s">
        <v>1051</v>
      </c>
      <c r="G919" t="str">
        <f>_xlfn.TEXTJOIN(",",TRUE,_xlfn._xlws.FILTER(GPU_brand[GPU brand], (GPU_brand[GPU brand text]&lt;&gt;"") * ISNUMBER(SEARCH(GPU_brand[GPU brand text], B919)), ""))</f>
        <v>ASUS</v>
      </c>
      <c r="H919" t="str">
        <f>_xlfn.TEXTJOIN(",",TRUE,_xlfn._xlws.FILTER(Chipset_Table[Chipset], (Chipset_Table[Chipset text]&lt;&gt;"") * ISNUMBER(SEARCH(Chipset_Table[Chipset text], B919)), ""))</f>
        <v>GeForce RTX 4090</v>
      </c>
      <c r="I919" t="str">
        <f>_xlfn.TEXTJOIN(",",TRUE,_xlfn._xlws.FILTER(VRAM_table[Video memory], (VRAM_table[Video memory text]&lt;&gt;"") * ISNUMBER(SEARCH(VRAM_table[Video memory text], B919)), ""))</f>
        <v>4GB,24GB,4GB</v>
      </c>
    </row>
    <row r="920" spans="1:9" hidden="1" x14ac:dyDescent="0.35">
      <c r="A920" t="s">
        <v>9</v>
      </c>
      <c r="B920" t="s">
        <v>708</v>
      </c>
      <c r="C920">
        <v>45990000</v>
      </c>
      <c r="D920">
        <v>42990000</v>
      </c>
      <c r="E920" t="s">
        <v>709</v>
      </c>
      <c r="F920" t="s">
        <v>1051</v>
      </c>
      <c r="G920" t="str">
        <f>_xlfn.TEXTJOIN(",",TRUE,_xlfn._xlws.FILTER(GPU_brand[GPU brand], (GPU_brand[GPU brand text]&lt;&gt;"") * ISNUMBER(SEARCH(GPU_brand[GPU brand text], B920)), ""))</f>
        <v>ASUS</v>
      </c>
      <c r="H920" t="str">
        <f>_xlfn.TEXTJOIN(",",TRUE,_xlfn._xlws.FILTER(Chipset_Table[Chipset], (Chipset_Table[Chipset text]&lt;&gt;"") * ISNUMBER(SEARCH(Chipset_Table[Chipset text], B920)), ""))</f>
        <v>GeForce RTX 4080</v>
      </c>
      <c r="I920" t="str">
        <f>_xlfn.TEXTJOIN(",",TRUE,_xlfn._xlws.FILTER(VRAM_table[Video memory], (VRAM_table[Video memory text]&lt;&gt;"") * ISNUMBER(SEARCH(VRAM_table[Video memory text], B920)), ""))</f>
        <v>16GB,16GB,6GB,6GB</v>
      </c>
    </row>
    <row r="921" spans="1:9" hidden="1" x14ac:dyDescent="0.35">
      <c r="A921" t="s">
        <v>9</v>
      </c>
      <c r="B921" t="s">
        <v>710</v>
      </c>
      <c r="C921">
        <v>0</v>
      </c>
      <c r="D921">
        <v>40990000</v>
      </c>
      <c r="E921" t="s">
        <v>711</v>
      </c>
      <c r="F921" t="s">
        <v>1051</v>
      </c>
      <c r="G921" t="str">
        <f>_xlfn.TEXTJOIN(",",TRUE,_xlfn._xlws.FILTER(GPU_brand[GPU brand], (GPU_brand[GPU brand text]&lt;&gt;"") * ISNUMBER(SEARCH(GPU_brand[GPU brand text], B921)), ""))</f>
        <v>ASUS</v>
      </c>
      <c r="H921" t="str">
        <f>_xlfn.TEXTJOIN(",",TRUE,_xlfn._xlws.FILTER(Chipset_Table[Chipset], (Chipset_Table[Chipset text]&lt;&gt;"") * ISNUMBER(SEARCH(Chipset_Table[Chipset text], B921)), ""))</f>
        <v>GeForce RTX 4080</v>
      </c>
      <c r="I921" t="str">
        <f>_xlfn.TEXTJOIN(",",TRUE,_xlfn._xlws.FILTER(VRAM_table[Video memory], (VRAM_table[Video memory text]&lt;&gt;"") * ISNUMBER(SEARCH(VRAM_table[Video memory text], B921)), ""))</f>
        <v>16GB,16GB,6GB,6GB</v>
      </c>
    </row>
    <row r="922" spans="1:9" hidden="1" x14ac:dyDescent="0.35">
      <c r="A922" t="s">
        <v>9</v>
      </c>
      <c r="B922" t="s">
        <v>712</v>
      </c>
      <c r="C922">
        <v>49500000</v>
      </c>
      <c r="D922">
        <v>40490000</v>
      </c>
      <c r="E922" t="s">
        <v>713</v>
      </c>
      <c r="F922" t="s">
        <v>1051</v>
      </c>
      <c r="G922" t="str">
        <f>_xlfn.TEXTJOIN(",",TRUE,_xlfn._xlws.FILTER(GPU_brand[GPU brand], (GPU_brand[GPU brand text]&lt;&gt;"") * ISNUMBER(SEARCH(GPU_brand[GPU brand text], B922)), ""))</f>
        <v>ASUS</v>
      </c>
      <c r="H922" t="str">
        <f>_xlfn.TEXTJOIN(",",TRUE,_xlfn._xlws.FILTER(Chipset_Table[Chipset], (Chipset_Table[Chipset text]&lt;&gt;"") * ISNUMBER(SEARCH(Chipset_Table[Chipset text], B922)), ""))</f>
        <v>GeForce RTX 4080</v>
      </c>
      <c r="I922" t="str">
        <f>_xlfn.TEXTJOIN(",",TRUE,_xlfn._xlws.FILTER(VRAM_table[Video memory], (VRAM_table[Video memory text]&lt;&gt;"") * ISNUMBER(SEARCH(VRAM_table[Video memory text], B922)), ""))</f>
        <v>16GB,16GB,6GB,6GB</v>
      </c>
    </row>
    <row r="923" spans="1:9" hidden="1" x14ac:dyDescent="0.35">
      <c r="A923" t="s">
        <v>9</v>
      </c>
      <c r="B923" t="s">
        <v>714</v>
      </c>
      <c r="C923">
        <v>28490000</v>
      </c>
      <c r="D923">
        <v>27490000</v>
      </c>
      <c r="E923" t="s">
        <v>715</v>
      </c>
      <c r="F923" t="s">
        <v>1051</v>
      </c>
      <c r="G923" t="str">
        <f>_xlfn.TEXTJOIN(",",TRUE,_xlfn._xlws.FILTER(GPU_brand[GPU brand], (GPU_brand[GPU brand text]&lt;&gt;"") * ISNUMBER(SEARCH(GPU_brand[GPU brand text], B923)), ""))</f>
        <v>MSI</v>
      </c>
      <c r="H923" t="str">
        <f>_xlfn.TEXTJOIN(",",TRUE,_xlfn._xlws.FILTER(Chipset_Table[Chipset], (Chipset_Table[Chipset text]&lt;&gt;"") * ISNUMBER(SEARCH(Chipset_Table[Chipset text], B923)), ""))</f>
        <v>GeForce RTX 4070</v>
      </c>
      <c r="I923" t="str">
        <f>_xlfn.TEXTJOIN(",",TRUE,_xlfn._xlws.FILTER(VRAM_table[Video memory], (VRAM_table[Video memory text]&lt;&gt;"") * ISNUMBER(SEARCH(VRAM_table[Video memory text], B923)), ""))</f>
        <v>12GB,2GB</v>
      </c>
    </row>
    <row r="924" spans="1:9" hidden="1" x14ac:dyDescent="0.35">
      <c r="A924" t="s">
        <v>9</v>
      </c>
      <c r="B924" t="s">
        <v>716</v>
      </c>
      <c r="C924">
        <v>29990000</v>
      </c>
      <c r="D924">
        <v>27790000</v>
      </c>
      <c r="E924" t="s">
        <v>717</v>
      </c>
      <c r="F924" t="s">
        <v>1051</v>
      </c>
      <c r="G924" t="str">
        <f>_xlfn.TEXTJOIN(",",TRUE,_xlfn._xlws.FILTER(GPU_brand[GPU brand], (GPU_brand[GPU brand text]&lt;&gt;"") * ISNUMBER(SEARCH(GPU_brand[GPU brand text], B924)), ""))</f>
        <v>MSI</v>
      </c>
      <c r="H924" t="str">
        <f>_xlfn.TEXTJOIN(",",TRUE,_xlfn._xlws.FILTER(Chipset_Table[Chipset], (Chipset_Table[Chipset text]&lt;&gt;"") * ISNUMBER(SEARCH(Chipset_Table[Chipset text], B924)), ""))</f>
        <v>GeForce RTX 4070</v>
      </c>
      <c r="I924" t="str">
        <f>_xlfn.TEXTJOIN(",",TRUE,_xlfn._xlws.FILTER(VRAM_table[Video memory], (VRAM_table[Video memory text]&lt;&gt;"") * ISNUMBER(SEARCH(VRAM_table[Video memory text], B924)), ""))</f>
        <v>12GB,2GB</v>
      </c>
    </row>
    <row r="925" spans="1:9" hidden="1" x14ac:dyDescent="0.35">
      <c r="A925" t="s">
        <v>9</v>
      </c>
      <c r="B925" t="s">
        <v>718</v>
      </c>
      <c r="C925">
        <v>25990000</v>
      </c>
      <c r="D925">
        <v>24990000</v>
      </c>
      <c r="E925" t="s">
        <v>719</v>
      </c>
      <c r="F925" t="s">
        <v>1051</v>
      </c>
      <c r="G925" t="str">
        <f>_xlfn.TEXTJOIN(",",TRUE,_xlfn._xlws.FILTER(GPU_brand[GPU brand], (GPU_brand[GPU brand text]&lt;&gt;"") * ISNUMBER(SEARCH(GPU_brand[GPU brand text], B925)), ""))</f>
        <v>MSI</v>
      </c>
      <c r="H925" t="str">
        <f>_xlfn.TEXTJOIN(",",TRUE,_xlfn._xlws.FILTER(Chipset_Table[Chipset], (Chipset_Table[Chipset text]&lt;&gt;"") * ISNUMBER(SEARCH(Chipset_Table[Chipset text], B925)), ""))</f>
        <v>GeForce RTX 4070</v>
      </c>
      <c r="I925" t="str">
        <f>_xlfn.TEXTJOIN(",",TRUE,_xlfn._xlws.FILTER(VRAM_table[Video memory], (VRAM_table[Video memory text]&lt;&gt;"") * ISNUMBER(SEARCH(VRAM_table[Video memory text], B925)), ""))</f>
        <v>12GB,2GB</v>
      </c>
    </row>
    <row r="926" spans="1:9" hidden="1" x14ac:dyDescent="0.35">
      <c r="A926" t="s">
        <v>9</v>
      </c>
      <c r="B926" t="s">
        <v>720</v>
      </c>
      <c r="C926">
        <v>29990000</v>
      </c>
      <c r="D926">
        <v>27990000</v>
      </c>
      <c r="E926" t="s">
        <v>721</v>
      </c>
      <c r="F926" t="s">
        <v>1051</v>
      </c>
      <c r="G926" t="str">
        <f>_xlfn.TEXTJOIN(",",TRUE,_xlfn._xlws.FILTER(GPU_brand[GPU brand], (GPU_brand[GPU brand text]&lt;&gt;"") * ISNUMBER(SEARCH(GPU_brand[GPU brand text], B926)), ""))</f>
        <v>Gigabyte</v>
      </c>
      <c r="H926" t="str">
        <f>_xlfn.TEXTJOIN(",",TRUE,_xlfn._xlws.FILTER(Chipset_Table[Chipset], (Chipset_Table[Chipset text]&lt;&gt;"") * ISNUMBER(SEARCH(Chipset_Table[Chipset text], B926)), ""))</f>
        <v>GeForce RTX 4070</v>
      </c>
      <c r="I926" t="str">
        <f>_xlfn.TEXTJOIN(",",TRUE,_xlfn._xlws.FILTER(VRAM_table[Video memory], (VRAM_table[Video memory text]&lt;&gt;"") * ISNUMBER(SEARCH(VRAM_table[Video memory text], B926)), ""))</f>
        <v>12GB,2GB</v>
      </c>
    </row>
    <row r="927" spans="1:9" hidden="1" x14ac:dyDescent="0.35">
      <c r="A927" t="s">
        <v>9</v>
      </c>
      <c r="B927" t="s">
        <v>722</v>
      </c>
      <c r="C927">
        <v>27990000</v>
      </c>
      <c r="D927">
        <v>25990000</v>
      </c>
      <c r="E927" t="s">
        <v>723</v>
      </c>
      <c r="F927" t="s">
        <v>1051</v>
      </c>
      <c r="G927" t="str">
        <f>_xlfn.TEXTJOIN(",",TRUE,_xlfn._xlws.FILTER(GPU_brand[GPU brand], (GPU_brand[GPU brand text]&lt;&gt;"") * ISNUMBER(SEARCH(GPU_brand[GPU brand text], B927)), ""))</f>
        <v>Gigabyte</v>
      </c>
      <c r="H927" t="str">
        <f>_xlfn.TEXTJOIN(",",TRUE,_xlfn._xlws.FILTER(Chipset_Table[Chipset], (Chipset_Table[Chipset text]&lt;&gt;"") * ISNUMBER(SEARCH(Chipset_Table[Chipset text], B927)), ""))</f>
        <v>GeForce RTX 4070</v>
      </c>
      <c r="I927" t="str">
        <f>_xlfn.TEXTJOIN(",",TRUE,_xlfn._xlws.FILTER(VRAM_table[Video memory], (VRAM_table[Video memory text]&lt;&gt;"") * ISNUMBER(SEARCH(VRAM_table[Video memory text], B927)), ""))</f>
        <v>12GB,2GB</v>
      </c>
    </row>
    <row r="928" spans="1:9" hidden="1" x14ac:dyDescent="0.35">
      <c r="A928" t="s">
        <v>9</v>
      </c>
      <c r="B928" t="s">
        <v>724</v>
      </c>
      <c r="C928">
        <v>30990000</v>
      </c>
      <c r="D928">
        <v>27990000</v>
      </c>
      <c r="E928" t="s">
        <v>725</v>
      </c>
      <c r="F928" t="s">
        <v>1051</v>
      </c>
      <c r="G928" t="str">
        <f>_xlfn.TEXTJOIN(",",TRUE,_xlfn._xlws.FILTER(GPU_brand[GPU brand], (GPU_brand[GPU brand text]&lt;&gt;"") * ISNUMBER(SEARCH(GPU_brand[GPU brand text], B928)), ""))</f>
        <v>Gigabyte</v>
      </c>
      <c r="H928" t="str">
        <f>_xlfn.TEXTJOIN(",",TRUE,_xlfn._xlws.FILTER(Chipset_Table[Chipset], (Chipset_Table[Chipset text]&lt;&gt;"") * ISNUMBER(SEARCH(Chipset_Table[Chipset text], B928)), ""))</f>
        <v>GeForce RTX 4070</v>
      </c>
      <c r="I928" t="str">
        <f>_xlfn.TEXTJOIN(",",TRUE,_xlfn._xlws.FILTER(VRAM_table[Video memory], (VRAM_table[Video memory text]&lt;&gt;"") * ISNUMBER(SEARCH(VRAM_table[Video memory text], B928)), ""))</f>
        <v>12GB,2GB</v>
      </c>
    </row>
    <row r="929" spans="1:9" hidden="1" x14ac:dyDescent="0.35">
      <c r="A929" t="s">
        <v>9</v>
      </c>
      <c r="B929" t="s">
        <v>726</v>
      </c>
      <c r="C929">
        <v>30990000</v>
      </c>
      <c r="D929">
        <v>29490000</v>
      </c>
      <c r="E929" t="s">
        <v>727</v>
      </c>
      <c r="F929" t="s">
        <v>1051</v>
      </c>
      <c r="G929" t="str">
        <f>_xlfn.TEXTJOIN(",",TRUE,_xlfn._xlws.FILTER(GPU_brand[GPU brand], (GPU_brand[GPU brand text]&lt;&gt;"") * ISNUMBER(SEARCH(GPU_brand[GPU brand text], B929)), ""))</f>
        <v>Gigabyte</v>
      </c>
      <c r="H929" t="str">
        <f>_xlfn.TEXTJOIN(",",TRUE,_xlfn._xlws.FILTER(Chipset_Table[Chipset], (Chipset_Table[Chipset text]&lt;&gt;"") * ISNUMBER(SEARCH(Chipset_Table[Chipset text], B929)), ""))</f>
        <v>GeForce RTX 4070</v>
      </c>
      <c r="I929" t="str">
        <f>_xlfn.TEXTJOIN(",",TRUE,_xlfn._xlws.FILTER(VRAM_table[Video memory], (VRAM_table[Video memory text]&lt;&gt;"") * ISNUMBER(SEARCH(VRAM_table[Video memory text], B929)), ""))</f>
        <v>12GB,2GB</v>
      </c>
    </row>
    <row r="930" spans="1:9" hidden="1" x14ac:dyDescent="0.35">
      <c r="A930" t="s">
        <v>9</v>
      </c>
      <c r="B930" t="s">
        <v>728</v>
      </c>
      <c r="C930">
        <v>29290000</v>
      </c>
      <c r="D930">
        <v>28990000</v>
      </c>
      <c r="E930" t="s">
        <v>729</v>
      </c>
      <c r="F930" t="s">
        <v>1051</v>
      </c>
      <c r="G930" t="str">
        <f>_xlfn.TEXTJOIN(",",TRUE,_xlfn._xlws.FILTER(GPU_brand[GPU brand], (GPU_brand[GPU brand text]&lt;&gt;"") * ISNUMBER(SEARCH(GPU_brand[GPU brand text], B930)), ""))</f>
        <v>Gigabyte</v>
      </c>
      <c r="H930" t="str">
        <f>_xlfn.TEXTJOIN(",",TRUE,_xlfn._xlws.FILTER(Chipset_Table[Chipset], (Chipset_Table[Chipset text]&lt;&gt;"") * ISNUMBER(SEARCH(Chipset_Table[Chipset text], B930)), ""))</f>
        <v>GeForce RTX 4070</v>
      </c>
      <c r="I930" t="str">
        <f>_xlfn.TEXTJOIN(",",TRUE,_xlfn._xlws.FILTER(VRAM_table[Video memory], (VRAM_table[Video memory text]&lt;&gt;"") * ISNUMBER(SEARCH(VRAM_table[Video memory text], B930)), ""))</f>
        <v>12GB,2GB</v>
      </c>
    </row>
    <row r="931" spans="1:9" hidden="1" x14ac:dyDescent="0.35">
      <c r="A931" t="s">
        <v>9</v>
      </c>
      <c r="B931" t="s">
        <v>730</v>
      </c>
      <c r="C931">
        <v>30490000</v>
      </c>
      <c r="D931">
        <v>29990000</v>
      </c>
      <c r="E931" t="s">
        <v>731</v>
      </c>
      <c r="F931" t="s">
        <v>1051</v>
      </c>
      <c r="G931" t="str">
        <f>_xlfn.TEXTJOIN(",",TRUE,_xlfn._xlws.FILTER(GPU_brand[GPU brand], (GPU_brand[GPU brand text]&lt;&gt;"") * ISNUMBER(SEARCH(GPU_brand[GPU brand text], B931)), ""))</f>
        <v>ASUS</v>
      </c>
      <c r="H931" t="str">
        <f>_xlfn.TEXTJOIN(",",TRUE,_xlfn._xlws.FILTER(Chipset_Table[Chipset], (Chipset_Table[Chipset text]&lt;&gt;"") * ISNUMBER(SEARCH(Chipset_Table[Chipset text], B931)), ""))</f>
        <v>GeForce RTX 4070</v>
      </c>
      <c r="I931" t="str">
        <f>_xlfn.TEXTJOIN(",",TRUE,_xlfn._xlws.FILTER(VRAM_table[Video memory], (VRAM_table[Video memory text]&lt;&gt;"") * ISNUMBER(SEARCH(VRAM_table[Video memory text], B931)), ""))</f>
        <v>12GB,2GB</v>
      </c>
    </row>
    <row r="932" spans="1:9" hidden="1" x14ac:dyDescent="0.35">
      <c r="A932" t="s">
        <v>9</v>
      </c>
      <c r="B932" t="s">
        <v>732</v>
      </c>
      <c r="C932">
        <v>29990000</v>
      </c>
      <c r="D932">
        <v>26790000</v>
      </c>
      <c r="E932" t="s">
        <v>733</v>
      </c>
      <c r="F932" t="s">
        <v>1051</v>
      </c>
      <c r="G932" t="str">
        <f>_xlfn.TEXTJOIN(",",TRUE,_xlfn._xlws.FILTER(GPU_brand[GPU brand], (GPU_brand[GPU brand text]&lt;&gt;"") * ISNUMBER(SEARCH(GPU_brand[GPU brand text], B932)), ""))</f>
        <v>ASUS</v>
      </c>
      <c r="H932" t="str">
        <f>_xlfn.TEXTJOIN(",",TRUE,_xlfn._xlws.FILTER(Chipset_Table[Chipset], (Chipset_Table[Chipset text]&lt;&gt;"") * ISNUMBER(SEARCH(Chipset_Table[Chipset text], B932)), ""))</f>
        <v>GeForce RTX 4070</v>
      </c>
      <c r="I932" t="str">
        <f>_xlfn.TEXTJOIN(",",TRUE,_xlfn._xlws.FILTER(VRAM_table[Video memory], (VRAM_table[Video memory text]&lt;&gt;"") * ISNUMBER(SEARCH(VRAM_table[Video memory text], B932)), ""))</f>
        <v>12GB,2GB</v>
      </c>
    </row>
    <row r="933" spans="1:9" hidden="1" x14ac:dyDescent="0.35">
      <c r="A933" t="s">
        <v>9</v>
      </c>
      <c r="B933" t="s">
        <v>734</v>
      </c>
      <c r="C933">
        <v>0</v>
      </c>
      <c r="D933">
        <v>17490000</v>
      </c>
      <c r="E933" t="s">
        <v>735</v>
      </c>
      <c r="F933" t="s">
        <v>1051</v>
      </c>
      <c r="G933" t="str">
        <f>_xlfn.TEXTJOIN(",",TRUE,_xlfn._xlws.FILTER(GPU_brand[GPU brand], (GPU_brand[GPU brand text]&lt;&gt;"") * ISNUMBER(SEARCH(GPU_brand[GPU brand text], B933)), ""))</f>
        <v>MSI</v>
      </c>
      <c r="H933" t="str">
        <f>_xlfn.TEXTJOIN(",",TRUE,_xlfn._xlws.FILTER(Chipset_Table[Chipset], (Chipset_Table[Chipset text]&lt;&gt;"") * ISNUMBER(SEARCH(Chipset_Table[Chipset text], B933)), ""))</f>
        <v>GeForce RTX 4070</v>
      </c>
      <c r="I933" t="str">
        <f>_xlfn.TEXTJOIN(",",TRUE,_xlfn._xlws.FILTER(VRAM_table[Video memory], (VRAM_table[Video memory text]&lt;&gt;"") * ISNUMBER(SEARCH(VRAM_table[Video memory text], B933)), ""))</f>
        <v>12GB,2GB</v>
      </c>
    </row>
    <row r="934" spans="1:9" hidden="1" x14ac:dyDescent="0.35">
      <c r="A934" t="s">
        <v>9</v>
      </c>
      <c r="B934" t="s">
        <v>736</v>
      </c>
      <c r="C934">
        <v>0</v>
      </c>
      <c r="D934">
        <v>16990000</v>
      </c>
      <c r="E934" t="s">
        <v>737</v>
      </c>
      <c r="F934" t="s">
        <v>1051</v>
      </c>
      <c r="G934" t="str">
        <f>_xlfn.TEXTJOIN(",",TRUE,_xlfn._xlws.FILTER(GPU_brand[GPU brand], (GPU_brand[GPU brand text]&lt;&gt;"") * ISNUMBER(SEARCH(GPU_brand[GPU brand text], B934)), ""))</f>
        <v>MSI</v>
      </c>
      <c r="H934" t="str">
        <f>_xlfn.TEXTJOIN(",",TRUE,_xlfn._xlws.FILTER(Chipset_Table[Chipset], (Chipset_Table[Chipset text]&lt;&gt;"") * ISNUMBER(SEARCH(Chipset_Table[Chipset text], B934)), ""))</f>
        <v>GeForce RTX 4070</v>
      </c>
      <c r="I934" t="str">
        <f>_xlfn.TEXTJOIN(",",TRUE,_xlfn._xlws.FILTER(VRAM_table[Video memory], (VRAM_table[Video memory text]&lt;&gt;"") * ISNUMBER(SEARCH(VRAM_table[Video memory text], B934)), ""))</f>
        <v>12GB,2GB</v>
      </c>
    </row>
    <row r="935" spans="1:9" hidden="1" x14ac:dyDescent="0.35">
      <c r="A935" t="s">
        <v>9</v>
      </c>
      <c r="B935" t="s">
        <v>738</v>
      </c>
      <c r="C935">
        <v>0</v>
      </c>
      <c r="D935">
        <v>16790000</v>
      </c>
      <c r="E935" t="s">
        <v>739</v>
      </c>
      <c r="F935" t="s">
        <v>1051</v>
      </c>
      <c r="G935" t="str">
        <f>_xlfn.TEXTJOIN(",",TRUE,_xlfn._xlws.FILTER(GPU_brand[GPU brand], (GPU_brand[GPU brand text]&lt;&gt;"") * ISNUMBER(SEARCH(GPU_brand[GPU brand text], B935)), ""))</f>
        <v>MSI</v>
      </c>
      <c r="H935" t="str">
        <f>_xlfn.TEXTJOIN(",",TRUE,_xlfn._xlws.FILTER(Chipset_Table[Chipset], (Chipset_Table[Chipset text]&lt;&gt;"") * ISNUMBER(SEARCH(Chipset_Table[Chipset text], B935)), ""))</f>
        <v>GeForce RTX 4070</v>
      </c>
      <c r="I935" t="str">
        <f>_xlfn.TEXTJOIN(",",TRUE,_xlfn._xlws.FILTER(VRAM_table[Video memory], (VRAM_table[Video memory text]&lt;&gt;"") * ISNUMBER(SEARCH(VRAM_table[Video memory text], B935)), ""))</f>
        <v>12GB,2GB</v>
      </c>
    </row>
    <row r="936" spans="1:9" hidden="1" x14ac:dyDescent="0.35">
      <c r="A936" t="s">
        <v>9</v>
      </c>
      <c r="B936" t="s">
        <v>740</v>
      </c>
      <c r="C936">
        <v>27990000</v>
      </c>
      <c r="D936">
        <v>26990000</v>
      </c>
      <c r="E936" t="s">
        <v>741</v>
      </c>
      <c r="F936" t="s">
        <v>1051</v>
      </c>
      <c r="G936" t="str">
        <f>_xlfn.TEXTJOIN(",",TRUE,_xlfn._xlws.FILTER(GPU_brand[GPU brand], (GPU_brand[GPU brand text]&lt;&gt;"") * ISNUMBER(SEARCH(GPU_brand[GPU brand text], B936)), ""))</f>
        <v>MSI</v>
      </c>
      <c r="H936" t="str">
        <f>_xlfn.TEXTJOIN(",",TRUE,_xlfn._xlws.FILTER(Chipset_Table[Chipset], (Chipset_Table[Chipset text]&lt;&gt;"") * ISNUMBER(SEARCH(Chipset_Table[Chipset text], B936)), ""))</f>
        <v>GeForce RTX 4070</v>
      </c>
      <c r="I936" t="str">
        <f>_xlfn.TEXTJOIN(",",TRUE,_xlfn._xlws.FILTER(VRAM_table[Video memory], (VRAM_table[Video memory text]&lt;&gt;"") * ISNUMBER(SEARCH(VRAM_table[Video memory text], B936)), ""))</f>
        <v>12GB,2GB</v>
      </c>
    </row>
    <row r="937" spans="1:9" hidden="1" x14ac:dyDescent="0.35">
      <c r="A937" t="s">
        <v>9</v>
      </c>
      <c r="B937" t="s">
        <v>742</v>
      </c>
      <c r="C937">
        <v>19490000</v>
      </c>
      <c r="D937">
        <v>18990000</v>
      </c>
      <c r="E937" t="s">
        <v>743</v>
      </c>
      <c r="F937" t="s">
        <v>1051</v>
      </c>
      <c r="G937" t="str">
        <f>_xlfn.TEXTJOIN(",",TRUE,_xlfn._xlws.FILTER(GPU_brand[GPU brand], (GPU_brand[GPU brand text]&lt;&gt;"") * ISNUMBER(SEARCH(GPU_brand[GPU brand text], B937)), ""))</f>
        <v>MSI</v>
      </c>
      <c r="H937" t="str">
        <f>_xlfn.TEXTJOIN(",",TRUE,_xlfn._xlws.FILTER(Chipset_Table[Chipset], (Chipset_Table[Chipset text]&lt;&gt;"") * ISNUMBER(SEARCH(Chipset_Table[Chipset text], B937)), ""))</f>
        <v>GeForce RTX 4070</v>
      </c>
      <c r="I937" t="str">
        <f>_xlfn.TEXTJOIN(",",TRUE,_xlfn._xlws.FILTER(VRAM_table[Video memory], (VRAM_table[Video memory text]&lt;&gt;"") * ISNUMBER(SEARCH(VRAM_table[Video memory text], B937)), ""))</f>
        <v>12GB,2GB</v>
      </c>
    </row>
    <row r="938" spans="1:9" hidden="1" x14ac:dyDescent="0.35">
      <c r="A938" t="s">
        <v>9</v>
      </c>
      <c r="B938" t="s">
        <v>744</v>
      </c>
      <c r="C938">
        <v>13990000</v>
      </c>
      <c r="D938">
        <v>13490000</v>
      </c>
      <c r="E938" t="s">
        <v>745</v>
      </c>
      <c r="F938" t="s">
        <v>1051</v>
      </c>
      <c r="G938" t="str">
        <f>_xlfn.TEXTJOIN(",",TRUE,_xlfn._xlws.FILTER(GPU_brand[GPU brand], (GPU_brand[GPU brand text]&lt;&gt;"") * ISNUMBER(SEARCH(GPU_brand[GPU brand text], B938)), ""))</f>
        <v>MSI</v>
      </c>
      <c r="H938" t="str">
        <f>_xlfn.TEXTJOIN(",",TRUE,_xlfn._xlws.FILTER(Chipset_Table[Chipset], (Chipset_Table[Chipset text]&lt;&gt;"") * ISNUMBER(SEARCH(Chipset_Table[Chipset text], B938)), ""))</f>
        <v>GeForce RTX 4060</v>
      </c>
      <c r="I938" t="str">
        <f>_xlfn.TEXTJOIN(",",TRUE,_xlfn._xlws.FILTER(VRAM_table[Video memory], (VRAM_table[Video memory text]&lt;&gt;"") * ISNUMBER(SEARCH(VRAM_table[Video memory text], B938)), ""))</f>
        <v>8GB</v>
      </c>
    </row>
    <row r="939" spans="1:9" hidden="1" x14ac:dyDescent="0.35">
      <c r="A939" t="s">
        <v>9</v>
      </c>
      <c r="B939" t="s">
        <v>746</v>
      </c>
      <c r="C939">
        <v>17990000</v>
      </c>
      <c r="D939">
        <v>17490000</v>
      </c>
      <c r="E939" t="s">
        <v>747</v>
      </c>
      <c r="F939" t="s">
        <v>1051</v>
      </c>
      <c r="G939" t="str">
        <f>_xlfn.TEXTJOIN(",",TRUE,_xlfn._xlws.FILTER(GPU_brand[GPU brand], (GPU_brand[GPU brand text]&lt;&gt;"") * ISNUMBER(SEARCH(GPU_brand[GPU brand text], B939)), ""))</f>
        <v>Gigabyte</v>
      </c>
      <c r="H939" t="str">
        <f>_xlfn.TEXTJOIN(",",TRUE,_xlfn._xlws.FILTER(Chipset_Table[Chipset], (Chipset_Table[Chipset text]&lt;&gt;"") * ISNUMBER(SEARCH(Chipset_Table[Chipset text], B939)), ""))</f>
        <v>GeForce RTX 4070</v>
      </c>
      <c r="I939" t="str">
        <f>_xlfn.TEXTJOIN(",",TRUE,_xlfn._xlws.FILTER(VRAM_table[Video memory], (VRAM_table[Video memory text]&lt;&gt;"") * ISNUMBER(SEARCH(VRAM_table[Video memory text], B939)), ""))</f>
        <v>12GB,2GB</v>
      </c>
    </row>
    <row r="940" spans="1:9" hidden="1" x14ac:dyDescent="0.35">
      <c r="A940" t="s">
        <v>9</v>
      </c>
      <c r="B940" t="s">
        <v>748</v>
      </c>
      <c r="C940">
        <v>19990000</v>
      </c>
      <c r="D940">
        <v>18990000</v>
      </c>
      <c r="E940" t="s">
        <v>749</v>
      </c>
      <c r="F940" t="s">
        <v>1051</v>
      </c>
      <c r="G940" t="str">
        <f>_xlfn.TEXTJOIN(",",TRUE,_xlfn._xlws.FILTER(GPU_brand[GPU brand], (GPU_brand[GPU brand text]&lt;&gt;"") * ISNUMBER(SEARCH(GPU_brand[GPU brand text], B940)), ""))</f>
        <v>Gigabyte</v>
      </c>
      <c r="H940" t="str">
        <f>_xlfn.TEXTJOIN(",",TRUE,_xlfn._xlws.FILTER(Chipset_Table[Chipset], (Chipset_Table[Chipset text]&lt;&gt;"") * ISNUMBER(SEARCH(Chipset_Table[Chipset text], B940)), ""))</f>
        <v>GeForce RTX 4070</v>
      </c>
      <c r="I940" t="str">
        <f>_xlfn.TEXTJOIN(",",TRUE,_xlfn._xlws.FILTER(VRAM_table[Video memory], (VRAM_table[Video memory text]&lt;&gt;"") * ISNUMBER(SEARCH(VRAM_table[Video memory text], B940)), ""))</f>
        <v>12GB,2GB</v>
      </c>
    </row>
    <row r="941" spans="1:9" hidden="1" x14ac:dyDescent="0.35">
      <c r="A941" t="s">
        <v>9</v>
      </c>
      <c r="B941" t="s">
        <v>750</v>
      </c>
      <c r="C941">
        <v>17990000</v>
      </c>
      <c r="D941">
        <v>17690000</v>
      </c>
      <c r="E941" t="s">
        <v>751</v>
      </c>
      <c r="F941" t="s">
        <v>1051</v>
      </c>
      <c r="G941" t="str">
        <f>_xlfn.TEXTJOIN(",",TRUE,_xlfn._xlws.FILTER(GPU_brand[GPU brand], (GPU_brand[GPU brand text]&lt;&gt;"") * ISNUMBER(SEARCH(GPU_brand[GPU brand text], B941)), ""))</f>
        <v>Gigabyte</v>
      </c>
      <c r="H941" t="str">
        <f>_xlfn.TEXTJOIN(",",TRUE,_xlfn._xlws.FILTER(Chipset_Table[Chipset], (Chipset_Table[Chipset text]&lt;&gt;"") * ISNUMBER(SEARCH(Chipset_Table[Chipset text], B941)), ""))</f>
        <v>GeForce RTX 4070</v>
      </c>
      <c r="I941" t="str">
        <f>_xlfn.TEXTJOIN(",",TRUE,_xlfn._xlws.FILTER(VRAM_table[Video memory], (VRAM_table[Video memory text]&lt;&gt;"") * ISNUMBER(SEARCH(VRAM_table[Video memory text], B941)), ""))</f>
        <v>12GB,2GB</v>
      </c>
    </row>
    <row r="942" spans="1:9" hidden="1" x14ac:dyDescent="0.35">
      <c r="A942" t="s">
        <v>9</v>
      </c>
      <c r="B942" t="s">
        <v>752</v>
      </c>
      <c r="C942">
        <v>19990000</v>
      </c>
      <c r="D942">
        <v>19290000</v>
      </c>
      <c r="E942" t="s">
        <v>753</v>
      </c>
      <c r="F942" t="s">
        <v>1051</v>
      </c>
      <c r="G942" t="str">
        <f>_xlfn.TEXTJOIN(",",TRUE,_xlfn._xlws.FILTER(GPU_brand[GPU brand], (GPU_brand[GPU brand text]&lt;&gt;"") * ISNUMBER(SEARCH(GPU_brand[GPU brand text], B942)), ""))</f>
        <v>Gigabyte</v>
      </c>
      <c r="H942" t="str">
        <f>_xlfn.TEXTJOIN(",",TRUE,_xlfn._xlws.FILTER(Chipset_Table[Chipset], (Chipset_Table[Chipset text]&lt;&gt;"") * ISNUMBER(SEARCH(Chipset_Table[Chipset text], B942)), ""))</f>
        <v>GeForce RTX 4070</v>
      </c>
      <c r="I942" t="str">
        <f>_xlfn.TEXTJOIN(",",TRUE,_xlfn._xlws.FILTER(VRAM_table[Video memory], (VRAM_table[Video memory text]&lt;&gt;"") * ISNUMBER(SEARCH(VRAM_table[Video memory text], B942)), ""))</f>
        <v>12GB,2GB</v>
      </c>
    </row>
    <row r="943" spans="1:9" hidden="1" x14ac:dyDescent="0.35">
      <c r="A943" t="s">
        <v>9</v>
      </c>
      <c r="B943" t="s">
        <v>754</v>
      </c>
      <c r="C943">
        <v>13990000</v>
      </c>
      <c r="D943">
        <v>13490000</v>
      </c>
      <c r="E943" t="s">
        <v>755</v>
      </c>
      <c r="F943" t="s">
        <v>1051</v>
      </c>
      <c r="G943" t="str">
        <f>_xlfn.TEXTJOIN(",",TRUE,_xlfn._xlws.FILTER(GPU_brand[GPU brand], (GPU_brand[GPU brand text]&lt;&gt;"") * ISNUMBER(SEARCH(GPU_brand[GPU brand text], B943)), ""))</f>
        <v>Gigabyte</v>
      </c>
      <c r="H943" t="str">
        <f>_xlfn.TEXTJOIN(",",TRUE,_xlfn._xlws.FILTER(Chipset_Table[Chipset], (Chipset_Table[Chipset text]&lt;&gt;"") * ISNUMBER(SEARCH(Chipset_Table[Chipset text], B943)), ""))</f>
        <v>GeForce RTX 4060</v>
      </c>
      <c r="I943" t="str">
        <f>_xlfn.TEXTJOIN(",",TRUE,_xlfn._xlws.FILTER(VRAM_table[Video memory], (VRAM_table[Video memory text]&lt;&gt;"") * ISNUMBER(SEARCH(VRAM_table[Video memory text], B943)), ""))</f>
        <v>8GB</v>
      </c>
    </row>
    <row r="944" spans="1:9" hidden="1" x14ac:dyDescent="0.35">
      <c r="A944" t="s">
        <v>9</v>
      </c>
      <c r="B944" t="s">
        <v>756</v>
      </c>
      <c r="C944">
        <v>20990000</v>
      </c>
      <c r="D944">
        <v>20490000</v>
      </c>
      <c r="E944" t="s">
        <v>757</v>
      </c>
      <c r="F944" t="s">
        <v>1051</v>
      </c>
      <c r="G944" t="str">
        <f>_xlfn.TEXTJOIN(",",TRUE,_xlfn._xlws.FILTER(GPU_brand[GPU brand], (GPU_brand[GPU brand text]&lt;&gt;"") * ISNUMBER(SEARCH(GPU_brand[GPU brand text], B944)), ""))</f>
        <v>Gigabyte</v>
      </c>
      <c r="H944" t="str">
        <f>_xlfn.TEXTJOIN(",",TRUE,_xlfn._xlws.FILTER(Chipset_Table[Chipset], (Chipset_Table[Chipset text]&lt;&gt;"") * ISNUMBER(SEARCH(Chipset_Table[Chipset text], B944)), ""))</f>
        <v>GeForce RTX 4070</v>
      </c>
      <c r="I944" t="str">
        <f>_xlfn.TEXTJOIN(",",TRUE,_xlfn._xlws.FILTER(VRAM_table[Video memory], (VRAM_table[Video memory text]&lt;&gt;"") * ISNUMBER(SEARCH(VRAM_table[Video memory text], B944)), ""))</f>
        <v>12GB,2GB</v>
      </c>
    </row>
    <row r="945" spans="1:9" hidden="1" x14ac:dyDescent="0.35">
      <c r="A945" t="s">
        <v>9</v>
      </c>
      <c r="B945" t="s">
        <v>758</v>
      </c>
      <c r="C945">
        <v>20490000</v>
      </c>
      <c r="D945">
        <v>19990000</v>
      </c>
      <c r="E945" t="s">
        <v>759</v>
      </c>
      <c r="F945" t="s">
        <v>1051</v>
      </c>
      <c r="G945" t="str">
        <f>_xlfn.TEXTJOIN(",",TRUE,_xlfn._xlws.FILTER(GPU_brand[GPU brand], (GPU_brand[GPU brand text]&lt;&gt;"") * ISNUMBER(SEARCH(GPU_brand[GPU brand text], B945)), ""))</f>
        <v>ASUS</v>
      </c>
      <c r="H945" t="str">
        <f>_xlfn.TEXTJOIN(",",TRUE,_xlfn._xlws.FILTER(Chipset_Table[Chipset], (Chipset_Table[Chipset text]&lt;&gt;"") * ISNUMBER(SEARCH(Chipset_Table[Chipset text], B945)), ""))</f>
        <v>GeForce RTX 4070</v>
      </c>
      <c r="I945" t="str">
        <f>_xlfn.TEXTJOIN(",",TRUE,_xlfn._xlws.FILTER(VRAM_table[Video memory], (VRAM_table[Video memory text]&lt;&gt;"") * ISNUMBER(SEARCH(VRAM_table[Video memory text], B945)), ""))</f>
        <v>12GB,2GB</v>
      </c>
    </row>
    <row r="946" spans="1:9" hidden="1" x14ac:dyDescent="0.35">
      <c r="A946" t="s">
        <v>9</v>
      </c>
      <c r="B946" t="s">
        <v>760</v>
      </c>
      <c r="C946">
        <v>0</v>
      </c>
      <c r="D946">
        <v>19490000</v>
      </c>
      <c r="E946" t="s">
        <v>761</v>
      </c>
      <c r="F946" t="s">
        <v>1051</v>
      </c>
      <c r="G946" t="str">
        <f>_xlfn.TEXTJOIN(",",TRUE,_xlfn._xlws.FILTER(GPU_brand[GPU brand], (GPU_brand[GPU brand text]&lt;&gt;"") * ISNUMBER(SEARCH(GPU_brand[GPU brand text], B946)), ""))</f>
        <v>ASUS</v>
      </c>
      <c r="H946" t="str">
        <f>_xlfn.TEXTJOIN(",",TRUE,_xlfn._xlws.FILTER(Chipset_Table[Chipset], (Chipset_Table[Chipset text]&lt;&gt;"") * ISNUMBER(SEARCH(Chipset_Table[Chipset text], B946)), ""))</f>
        <v>GeForce RTX 4070</v>
      </c>
      <c r="I946" t="str">
        <f>_xlfn.TEXTJOIN(",",TRUE,_xlfn._xlws.FILTER(VRAM_table[Video memory], (VRAM_table[Video memory text]&lt;&gt;"") * ISNUMBER(SEARCH(VRAM_table[Video memory text], B946)), ""))</f>
        <v>12GB,2GB</v>
      </c>
    </row>
    <row r="947" spans="1:9" hidden="1" x14ac:dyDescent="0.35">
      <c r="A947" t="s">
        <v>9</v>
      </c>
      <c r="B947" t="s">
        <v>762</v>
      </c>
      <c r="C947">
        <v>0</v>
      </c>
      <c r="D947">
        <v>21990000</v>
      </c>
      <c r="E947" t="s">
        <v>763</v>
      </c>
      <c r="F947" t="s">
        <v>1051</v>
      </c>
      <c r="G947" t="str">
        <f>_xlfn.TEXTJOIN(",",TRUE,_xlfn._xlws.FILTER(GPU_brand[GPU brand], (GPU_brand[GPU brand text]&lt;&gt;"") * ISNUMBER(SEARCH(GPU_brand[GPU brand text], B947)), ""))</f>
        <v>ASUS</v>
      </c>
      <c r="H947" t="str">
        <f>_xlfn.TEXTJOIN(",",TRUE,_xlfn._xlws.FILTER(Chipset_Table[Chipset], (Chipset_Table[Chipset text]&lt;&gt;"") * ISNUMBER(SEARCH(Chipset_Table[Chipset text], B947)), ""))</f>
        <v>GeForce RTX 4070</v>
      </c>
      <c r="I947" t="str">
        <f>_xlfn.TEXTJOIN(",",TRUE,_xlfn._xlws.FILTER(VRAM_table[Video memory], (VRAM_table[Video memory text]&lt;&gt;"") * ISNUMBER(SEARCH(VRAM_table[Video memory text], B947)), ""))</f>
        <v>12GB,2GB</v>
      </c>
    </row>
    <row r="948" spans="1:9" hidden="1" x14ac:dyDescent="0.35">
      <c r="A948" t="s">
        <v>9</v>
      </c>
      <c r="B948" t="s">
        <v>764</v>
      </c>
      <c r="C948">
        <v>0</v>
      </c>
      <c r="D948">
        <v>21490000</v>
      </c>
      <c r="E948" t="s">
        <v>765</v>
      </c>
      <c r="F948" t="s">
        <v>1051</v>
      </c>
      <c r="G948" t="str">
        <f>_xlfn.TEXTJOIN(",",TRUE,_xlfn._xlws.FILTER(GPU_brand[GPU brand], (GPU_brand[GPU brand text]&lt;&gt;"") * ISNUMBER(SEARCH(GPU_brand[GPU brand text], B948)), ""))</f>
        <v>ASUS</v>
      </c>
      <c r="H948" t="str">
        <f>_xlfn.TEXTJOIN(",",TRUE,_xlfn._xlws.FILTER(Chipset_Table[Chipset], (Chipset_Table[Chipset text]&lt;&gt;"") * ISNUMBER(SEARCH(Chipset_Table[Chipset text], B948)), ""))</f>
        <v>GeForce RTX 4070</v>
      </c>
      <c r="I948" t="str">
        <f>_xlfn.TEXTJOIN(",",TRUE,_xlfn._xlws.FILTER(VRAM_table[Video memory], (VRAM_table[Video memory text]&lt;&gt;"") * ISNUMBER(SEARCH(VRAM_table[Video memory text], B948)), ""))</f>
        <v>12GB,2GB</v>
      </c>
    </row>
    <row r="949" spans="1:9" hidden="1" x14ac:dyDescent="0.35">
      <c r="A949" t="s">
        <v>9</v>
      </c>
      <c r="B949" t="s">
        <v>766</v>
      </c>
      <c r="C949">
        <v>0</v>
      </c>
      <c r="D949">
        <v>35990000</v>
      </c>
      <c r="E949" t="s">
        <v>767</v>
      </c>
      <c r="F949" t="s">
        <v>1051</v>
      </c>
      <c r="G949" t="str">
        <f>_xlfn.TEXTJOIN(",",TRUE,_xlfn._xlws.FILTER(GPU_brand[GPU brand], (GPU_brand[GPU brand text]&lt;&gt;"") * ISNUMBER(SEARCH(GPU_brand[GPU brand text], B949)), ""))</f>
        <v>ASUS</v>
      </c>
      <c r="H949" t="str">
        <f>_xlfn.TEXTJOIN(",",TRUE,_xlfn._xlws.FILTER(Chipset_Table[Chipset], (Chipset_Table[Chipset text]&lt;&gt;"") * ISNUMBER(SEARCH(Chipset_Table[Chipset text], B949)), ""))</f>
        <v>GeForce RTX 4080</v>
      </c>
      <c r="I949" t="str">
        <f>_xlfn.TEXTJOIN(",",TRUE,_xlfn._xlws.FILTER(VRAM_table[Video memory], (VRAM_table[Video memory text]&lt;&gt;"") * ISNUMBER(SEARCH(VRAM_table[Video memory text], B949)), ""))</f>
        <v>16GB,16GB,6GB,6GB</v>
      </c>
    </row>
    <row r="950" spans="1:9" hidden="1" x14ac:dyDescent="0.35">
      <c r="A950" t="s">
        <v>9</v>
      </c>
      <c r="B950" t="s">
        <v>768</v>
      </c>
      <c r="C950">
        <v>0</v>
      </c>
      <c r="D950">
        <v>35490000</v>
      </c>
      <c r="E950" t="s">
        <v>769</v>
      </c>
      <c r="F950" t="s">
        <v>1051</v>
      </c>
      <c r="G950" t="str">
        <f>_xlfn.TEXTJOIN(",",TRUE,_xlfn._xlws.FILTER(GPU_brand[GPU brand], (GPU_brand[GPU brand text]&lt;&gt;"") * ISNUMBER(SEARCH(GPU_brand[GPU brand text], B950)), ""))</f>
        <v>ASUS</v>
      </c>
      <c r="H950" t="str">
        <f>_xlfn.TEXTJOIN(",",TRUE,_xlfn._xlws.FILTER(Chipset_Table[Chipset], (Chipset_Table[Chipset text]&lt;&gt;"") * ISNUMBER(SEARCH(Chipset_Table[Chipset text], B950)), ""))</f>
        <v>GeForce RTX 4080</v>
      </c>
      <c r="I950" t="str">
        <f>_xlfn.TEXTJOIN(",",TRUE,_xlfn._xlws.FILTER(VRAM_table[Video memory], (VRAM_table[Video memory text]&lt;&gt;"") * ISNUMBER(SEARCH(VRAM_table[Video memory text], B950)), ""))</f>
        <v>16GB,16GB,6GB,6GB</v>
      </c>
    </row>
    <row r="951" spans="1:9" hidden="1" x14ac:dyDescent="0.35">
      <c r="A951" t="s">
        <v>9</v>
      </c>
      <c r="B951" t="s">
        <v>770</v>
      </c>
      <c r="C951">
        <v>0</v>
      </c>
      <c r="D951">
        <v>23990000</v>
      </c>
      <c r="E951" t="s">
        <v>771</v>
      </c>
      <c r="F951" t="s">
        <v>1051</v>
      </c>
      <c r="G951" t="str">
        <f>_xlfn.TEXTJOIN(",",TRUE,_xlfn._xlws.FILTER(GPU_brand[GPU brand], (GPU_brand[GPU brand text]&lt;&gt;"") * ISNUMBER(SEARCH(GPU_brand[GPU brand text], B951)), ""))</f>
        <v>ASUS</v>
      </c>
      <c r="H951" t="str">
        <f>_xlfn.TEXTJOIN(",",TRUE,_xlfn._xlws.FILTER(Chipset_Table[Chipset], (Chipset_Table[Chipset text]&lt;&gt;"") * ISNUMBER(SEARCH(Chipset_Table[Chipset text], B951)), ""))</f>
        <v>GeForce RTX 4070</v>
      </c>
      <c r="I951" t="str">
        <f>_xlfn.TEXTJOIN(",",TRUE,_xlfn._xlws.FILTER(VRAM_table[Video memory], (VRAM_table[Video memory text]&lt;&gt;"") * ISNUMBER(SEARCH(VRAM_table[Video memory text], B951)), ""))</f>
        <v>12GB,2GB</v>
      </c>
    </row>
    <row r="952" spans="1:9" hidden="1" x14ac:dyDescent="0.35">
      <c r="A952" t="s">
        <v>9</v>
      </c>
      <c r="B952" t="s">
        <v>772</v>
      </c>
      <c r="C952">
        <v>0</v>
      </c>
      <c r="D952">
        <v>23490000</v>
      </c>
      <c r="E952" t="s">
        <v>773</v>
      </c>
      <c r="F952" t="s">
        <v>1051</v>
      </c>
      <c r="G952" t="str">
        <f>_xlfn.TEXTJOIN(",",TRUE,_xlfn._xlws.FILTER(GPU_brand[GPU brand], (GPU_brand[GPU brand text]&lt;&gt;"") * ISNUMBER(SEARCH(GPU_brand[GPU brand text], B952)), ""))</f>
        <v>ASUS</v>
      </c>
      <c r="H952" t="str">
        <f>_xlfn.TEXTJOIN(",",TRUE,_xlfn._xlws.FILTER(Chipset_Table[Chipset], (Chipset_Table[Chipset text]&lt;&gt;"") * ISNUMBER(SEARCH(Chipset_Table[Chipset text], B952)), ""))</f>
        <v>GeForce RTX 4070</v>
      </c>
      <c r="I952" t="str">
        <f>_xlfn.TEXTJOIN(",",TRUE,_xlfn._xlws.FILTER(VRAM_table[Video memory], (VRAM_table[Video memory text]&lt;&gt;"") * ISNUMBER(SEARCH(VRAM_table[Video memory text], B952)), ""))</f>
        <v>12GB,2GB</v>
      </c>
    </row>
    <row r="953" spans="1:9" hidden="1" x14ac:dyDescent="0.35">
      <c r="A953" t="s">
        <v>9</v>
      </c>
      <c r="B953" t="s">
        <v>774</v>
      </c>
      <c r="C953">
        <v>0</v>
      </c>
      <c r="D953">
        <v>17690000</v>
      </c>
      <c r="E953" t="s">
        <v>775</v>
      </c>
      <c r="F953" t="s">
        <v>1051</v>
      </c>
      <c r="G953" t="str">
        <f>_xlfn.TEXTJOIN(",",TRUE,_xlfn._xlws.FILTER(GPU_brand[GPU brand], (GPU_brand[GPU brand text]&lt;&gt;"") * ISNUMBER(SEARCH(GPU_brand[GPU brand text], B953)), ""))</f>
        <v>ASUS</v>
      </c>
      <c r="H953" t="str">
        <f>_xlfn.TEXTJOIN(",",TRUE,_xlfn._xlws.FILTER(Chipset_Table[Chipset], (Chipset_Table[Chipset text]&lt;&gt;"") * ISNUMBER(SEARCH(Chipset_Table[Chipset text], B953)), ""))</f>
        <v>GeForce RTX 4070</v>
      </c>
      <c r="I953" t="str">
        <f>_xlfn.TEXTJOIN(",",TRUE,_xlfn._xlws.FILTER(VRAM_table[Video memory], (VRAM_table[Video memory text]&lt;&gt;"") * ISNUMBER(SEARCH(VRAM_table[Video memory text], B953)), ""))</f>
        <v>12GB,2GB</v>
      </c>
    </row>
    <row r="954" spans="1:9" hidden="1" x14ac:dyDescent="0.35">
      <c r="A954" t="s">
        <v>9</v>
      </c>
      <c r="B954" t="s">
        <v>776</v>
      </c>
      <c r="C954">
        <v>0</v>
      </c>
      <c r="D954">
        <v>17490000</v>
      </c>
      <c r="E954" t="s">
        <v>777</v>
      </c>
      <c r="F954" t="s">
        <v>1051</v>
      </c>
      <c r="G954" t="str">
        <f>_xlfn.TEXTJOIN(",",TRUE,_xlfn._xlws.FILTER(GPU_brand[GPU brand], (GPU_brand[GPU brand text]&lt;&gt;"") * ISNUMBER(SEARCH(GPU_brand[GPU brand text], B954)), ""))</f>
        <v>ASUS</v>
      </c>
      <c r="H954" t="str">
        <f>_xlfn.TEXTJOIN(",",TRUE,_xlfn._xlws.FILTER(Chipset_Table[Chipset], (Chipset_Table[Chipset text]&lt;&gt;"") * ISNUMBER(SEARCH(Chipset_Table[Chipset text], B954)), ""))</f>
        <v>GeForce RTX 4070</v>
      </c>
      <c r="I954" t="str">
        <f>_xlfn.TEXTJOIN(",",TRUE,_xlfn._xlws.FILTER(VRAM_table[Video memory], (VRAM_table[Video memory text]&lt;&gt;"") * ISNUMBER(SEARCH(VRAM_table[Video memory text], B954)), ""))</f>
        <v>12GB,2GB</v>
      </c>
    </row>
    <row r="955" spans="1:9" hidden="1" x14ac:dyDescent="0.35">
      <c r="A955" t="s">
        <v>9</v>
      </c>
      <c r="B955" t="s">
        <v>778</v>
      </c>
      <c r="C955">
        <v>18990000</v>
      </c>
      <c r="D955">
        <v>17290000</v>
      </c>
      <c r="E955" t="s">
        <v>779</v>
      </c>
      <c r="F955" t="s">
        <v>1051</v>
      </c>
      <c r="G955" t="str">
        <f>_xlfn.TEXTJOIN(",",TRUE,_xlfn._xlws.FILTER(GPU_brand[GPU brand], (GPU_brand[GPU brand text]&lt;&gt;"") * ISNUMBER(SEARCH(GPU_brand[GPU brand text], B955)), ""))</f>
        <v>ASUS</v>
      </c>
      <c r="H955" t="str">
        <f>_xlfn.TEXTJOIN(",",TRUE,_xlfn._xlws.FILTER(Chipset_Table[Chipset], (Chipset_Table[Chipset text]&lt;&gt;"") * ISNUMBER(SEARCH(Chipset_Table[Chipset text], B955)), ""))</f>
        <v>GeForce RTX 4070</v>
      </c>
      <c r="I955" t="str">
        <f>_xlfn.TEXTJOIN(",",TRUE,_xlfn._xlws.FILTER(VRAM_table[Video memory], (VRAM_table[Video memory text]&lt;&gt;"") * ISNUMBER(SEARCH(VRAM_table[Video memory text], B955)), ""))</f>
        <v>12GB,2GB</v>
      </c>
    </row>
    <row r="956" spans="1:9" hidden="1" x14ac:dyDescent="0.35">
      <c r="A956" t="s">
        <v>9</v>
      </c>
      <c r="B956" t="s">
        <v>780</v>
      </c>
      <c r="C956">
        <v>0</v>
      </c>
      <c r="D956">
        <v>16990000</v>
      </c>
      <c r="E956" t="s">
        <v>781</v>
      </c>
      <c r="F956" t="s">
        <v>1051</v>
      </c>
      <c r="G956" t="str">
        <f>_xlfn.TEXTJOIN(",",TRUE,_xlfn._xlws.FILTER(GPU_brand[GPU brand], (GPU_brand[GPU brand text]&lt;&gt;"") * ISNUMBER(SEARCH(GPU_brand[GPU brand text], B956)), ""))</f>
        <v>ASUS</v>
      </c>
      <c r="H956" t="str">
        <f>_xlfn.TEXTJOIN(",",TRUE,_xlfn._xlws.FILTER(Chipset_Table[Chipset], (Chipset_Table[Chipset text]&lt;&gt;"") * ISNUMBER(SEARCH(Chipset_Table[Chipset text], B956)), ""))</f>
        <v>GeForce RTX 4070</v>
      </c>
      <c r="I956" t="str">
        <f>_xlfn.TEXTJOIN(",",TRUE,_xlfn._xlws.FILTER(VRAM_table[Video memory], (VRAM_table[Video memory text]&lt;&gt;"") * ISNUMBER(SEARCH(VRAM_table[Video memory text], B956)), ""))</f>
        <v>12GB,2GB</v>
      </c>
    </row>
    <row r="957" spans="1:9" hidden="1" x14ac:dyDescent="0.35">
      <c r="A957" t="s">
        <v>782</v>
      </c>
      <c r="B957" t="s">
        <v>783</v>
      </c>
      <c r="C957">
        <v>5050000</v>
      </c>
      <c r="D957">
        <v>5050000</v>
      </c>
      <c r="E957" t="s">
        <v>784</v>
      </c>
      <c r="F957" t="s">
        <v>1051</v>
      </c>
      <c r="G957" t="str">
        <f>_xlfn.TEXTJOIN(",",TRUE,_xlfn._xlws.FILTER(GPU_brand[GPU brand], (GPU_brand[GPU brand text]&lt;&gt;"") * ISNUMBER(SEARCH(GPU_brand[GPU brand text], B957)), ""))</f>
        <v>INNO3D</v>
      </c>
      <c r="H957" t="str">
        <f>_xlfn.TEXTJOIN(",",TRUE,_xlfn._xlws.FILTER(Chipset_Table[Chipset], (Chipset_Table[Chipset text]&lt;&gt;"") * ISNUMBER(SEARCH(Chipset_Table[Chipset text], B957)), ""))</f>
        <v>GeForce RTX 3050</v>
      </c>
      <c r="I957" t="str">
        <f>_xlfn.TEXTJOIN(",",TRUE,_xlfn._xlws.FILTER(VRAM_table[Video memory], (VRAM_table[Video memory text]&lt;&gt;"") * ISNUMBER(SEARCH(VRAM_table[Video memory text], B957)), ""))</f>
        <v>6GB,6GB</v>
      </c>
    </row>
    <row r="958" spans="1:9" hidden="1" x14ac:dyDescent="0.35">
      <c r="A958" t="s">
        <v>782</v>
      </c>
      <c r="B958" t="s">
        <v>789</v>
      </c>
      <c r="C958">
        <v>1700000</v>
      </c>
      <c r="D958">
        <v>1700000</v>
      </c>
      <c r="E958" t="s">
        <v>790</v>
      </c>
      <c r="F958" t="s">
        <v>1051</v>
      </c>
      <c r="G958" t="str">
        <f>_xlfn.TEXTJOIN(",",TRUE,_xlfn._xlws.FILTER(GPU_brand[GPU brand], (GPU_brand[GPU brand text]&lt;&gt;"") * ISNUMBER(SEARCH(GPU_brand[GPU brand text], B958)), ""))</f>
        <v>ASUS</v>
      </c>
      <c r="H958" t="str">
        <f>_xlfn.TEXTJOIN(",",TRUE,_xlfn._xlws.FILTER(Chipset_Table[Chipset], (Chipset_Table[Chipset text]&lt;&gt;"") * ISNUMBER(SEARCH(Chipset_Table[Chipset text], B958)), ""))</f>
        <v>GeForce GT 730</v>
      </c>
      <c r="I958" t="str">
        <f>_xlfn.TEXTJOIN(",",TRUE,_xlfn._xlws.FILTER(VRAM_table[Video memory], (VRAM_table[Video memory text]&lt;&gt;"") * ISNUMBER(SEARCH(VRAM_table[Video memory text], B958)), ""))</f>
        <v>2GB</v>
      </c>
    </row>
    <row r="959" spans="1:9" hidden="1" x14ac:dyDescent="0.35">
      <c r="A959" t="s">
        <v>782</v>
      </c>
      <c r="B959" t="s">
        <v>787</v>
      </c>
      <c r="C959">
        <v>6490000</v>
      </c>
      <c r="D959">
        <v>6490000</v>
      </c>
      <c r="E959" t="s">
        <v>788</v>
      </c>
      <c r="F959" t="s">
        <v>1051</v>
      </c>
      <c r="G959" t="str">
        <f>_xlfn.TEXTJOIN(",",TRUE,_xlfn._xlws.FILTER(GPU_brand[GPU brand], (GPU_brand[GPU brand text]&lt;&gt;"") * ISNUMBER(SEARCH(GPU_brand[GPU brand text], B959)), ""))</f>
        <v>Gigabyte</v>
      </c>
      <c r="H959" t="str">
        <f>_xlfn.TEXTJOIN(",",TRUE,_xlfn._xlws.FILTER(Chipset_Table[Chipset], (Chipset_Table[Chipset text]&lt;&gt;"") * ISNUMBER(SEARCH(Chipset_Table[Chipset text], B959)), ""))</f>
        <v>GeForce RTX 3050</v>
      </c>
      <c r="I959" t="str">
        <f>_xlfn.TEXTJOIN(",",TRUE,_xlfn._xlws.FILTER(VRAM_table[Video memory], (VRAM_table[Video memory text]&lt;&gt;"") * ISNUMBER(SEARCH(VRAM_table[Video memory text], B959)), ""))</f>
        <v>8GB,8GB</v>
      </c>
    </row>
    <row r="960" spans="1:9" hidden="1" x14ac:dyDescent="0.35">
      <c r="A960" t="s">
        <v>782</v>
      </c>
      <c r="B960" t="s">
        <v>791</v>
      </c>
      <c r="C960">
        <v>5290000</v>
      </c>
      <c r="D960">
        <v>5290000</v>
      </c>
      <c r="E960" t="s">
        <v>792</v>
      </c>
      <c r="F960" t="s">
        <v>1051</v>
      </c>
      <c r="G960" t="str">
        <f>_xlfn.TEXTJOIN(",",TRUE,_xlfn._xlws.FILTER(GPU_brand[GPU brand], (GPU_brand[GPU brand text]&lt;&gt;"") * ISNUMBER(SEARCH(GPU_brand[GPU brand text], B960)), ""))</f>
        <v>ASUS</v>
      </c>
      <c r="H960" t="str">
        <f>_xlfn.TEXTJOIN(",",TRUE,_xlfn._xlws.FILTER(Chipset_Table[Chipset], (Chipset_Table[Chipset text]&lt;&gt;"") * ISNUMBER(SEARCH(Chipset_Table[Chipset text], B960)), ""))</f>
        <v>GeForce RTX 3050</v>
      </c>
      <c r="I960" t="str">
        <f>_xlfn.TEXTJOIN(",",TRUE,_xlfn._xlws.FILTER(VRAM_table[Video memory], (VRAM_table[Video memory text]&lt;&gt;"") * ISNUMBER(SEARCH(VRAM_table[Video memory text], B960)), ""))</f>
        <v>6GB,6GB</v>
      </c>
    </row>
    <row r="961" spans="1:9" hidden="1" x14ac:dyDescent="0.35">
      <c r="A961" t="s">
        <v>782</v>
      </c>
      <c r="B961" t="s">
        <v>785</v>
      </c>
      <c r="C961">
        <v>5250000</v>
      </c>
      <c r="D961">
        <v>5250000</v>
      </c>
      <c r="E961" t="s">
        <v>786</v>
      </c>
      <c r="F961" t="s">
        <v>1051</v>
      </c>
      <c r="G961" t="str">
        <f>_xlfn.TEXTJOIN(",",TRUE,_xlfn._xlws.FILTER(GPU_brand[GPU brand], (GPU_brand[GPU brand text]&lt;&gt;"") * ISNUMBER(SEARCH(GPU_brand[GPU brand text], B961)), ""))</f>
        <v>Colorful</v>
      </c>
      <c r="H961" t="str">
        <f>_xlfn.TEXTJOIN(",",TRUE,_xlfn._xlws.FILTER(Chipset_Table[Chipset], (Chipset_Table[Chipset text]&lt;&gt;"") * ISNUMBER(SEARCH(Chipset_Table[Chipset text], B961)), ""))</f>
        <v>GeForce RTX 3050</v>
      </c>
      <c r="I961" t="str">
        <f>_xlfn.TEXTJOIN(",",TRUE,_xlfn._xlws.FILTER(VRAM_table[Video memory], (VRAM_table[Video memory text]&lt;&gt;"") * ISNUMBER(SEARCH(VRAM_table[Video memory text], B961)), ""))</f>
        <v>6GB,6GB</v>
      </c>
    </row>
    <row r="962" spans="1:9" hidden="1" x14ac:dyDescent="0.35">
      <c r="A962" t="s">
        <v>782</v>
      </c>
      <c r="B962" t="s">
        <v>808</v>
      </c>
      <c r="C962">
        <v>5490000</v>
      </c>
      <c r="D962">
        <v>5490000</v>
      </c>
      <c r="E962" t="s">
        <v>809</v>
      </c>
      <c r="F962" t="s">
        <v>1051</v>
      </c>
      <c r="G962" t="str">
        <f>_xlfn.TEXTJOIN(",",TRUE,_xlfn._xlws.FILTER(GPU_brand[GPU brand], (GPU_brand[GPU brand text]&lt;&gt;"") * ISNUMBER(SEARCH(GPU_brand[GPU brand text], B962)), ""))</f>
        <v>ZOTAC</v>
      </c>
      <c r="H962" t="str">
        <f>_xlfn.TEXTJOIN(",",TRUE,_xlfn._xlws.FILTER(Chipset_Table[Chipset], (Chipset_Table[Chipset text]&lt;&gt;"") * ISNUMBER(SEARCH(Chipset_Table[Chipset text], B962)), ""))</f>
        <v>GeForce RTX 3050</v>
      </c>
      <c r="I962" t="str">
        <f>_xlfn.TEXTJOIN(",",TRUE,_xlfn._xlws.FILTER(VRAM_table[Video memory], (VRAM_table[Video memory text]&lt;&gt;"") * ISNUMBER(SEARCH(VRAM_table[Video memory text], B962)), ""))</f>
        <v>6GB,6GB</v>
      </c>
    </row>
    <row r="963" spans="1:9" hidden="1" x14ac:dyDescent="0.35">
      <c r="A963" t="s">
        <v>782</v>
      </c>
      <c r="B963" t="s">
        <v>806</v>
      </c>
      <c r="C963">
        <v>5990000</v>
      </c>
      <c r="D963">
        <v>5990000</v>
      </c>
      <c r="E963" t="s">
        <v>807</v>
      </c>
      <c r="F963" t="s">
        <v>1051</v>
      </c>
      <c r="G963" t="str">
        <f>_xlfn.TEXTJOIN(",",TRUE,_xlfn._xlws.FILTER(GPU_brand[GPU brand], (GPU_brand[GPU brand text]&lt;&gt;"") * ISNUMBER(SEARCH(GPU_brand[GPU brand text], B963)), ""))</f>
        <v>ASUS</v>
      </c>
      <c r="H963" t="str">
        <f>_xlfn.TEXTJOIN(",",TRUE,_xlfn._xlws.FILTER(Chipset_Table[Chipset], (Chipset_Table[Chipset text]&lt;&gt;"") * ISNUMBER(SEARCH(Chipset_Table[Chipset text], B963)), ""))</f>
        <v>GeForce RTX 3050</v>
      </c>
      <c r="I963" t="str">
        <f>_xlfn.TEXTJOIN(",",TRUE,_xlfn._xlws.FILTER(VRAM_table[Video memory], (VRAM_table[Video memory text]&lt;&gt;"") * ISNUMBER(SEARCH(VRAM_table[Video memory text], B963)), ""))</f>
        <v>8GB,8GB</v>
      </c>
    </row>
    <row r="964" spans="1:9" hidden="1" x14ac:dyDescent="0.35">
      <c r="A964" t="s">
        <v>782</v>
      </c>
      <c r="B964" t="s">
        <v>804</v>
      </c>
      <c r="C964">
        <v>6990000</v>
      </c>
      <c r="D964">
        <v>6990000</v>
      </c>
      <c r="E964" t="s">
        <v>805</v>
      </c>
      <c r="F964" t="s">
        <v>1051</v>
      </c>
      <c r="G964" t="str">
        <f>_xlfn.TEXTJOIN(",",TRUE,_xlfn._xlws.FILTER(GPU_brand[GPU brand], (GPU_brand[GPU brand text]&lt;&gt;"") * ISNUMBER(SEARCH(GPU_brand[GPU brand text], B964)), ""))</f>
        <v>ASUS</v>
      </c>
      <c r="H964" t="str">
        <f>_xlfn.TEXTJOIN(",",TRUE,_xlfn._xlws.FILTER(Chipset_Table[Chipset], (Chipset_Table[Chipset text]&lt;&gt;"") * ISNUMBER(SEARCH(Chipset_Table[Chipset text], B964)), ""))</f>
        <v>RX 7600</v>
      </c>
      <c r="I964" t="str">
        <f>_xlfn.TEXTJOIN(",",TRUE,_xlfn._xlws.FILTER(VRAM_table[Video memory], (VRAM_table[Video memory text]&lt;&gt;"") * ISNUMBER(SEARCH(VRAM_table[Video memory text], B964)), ""))</f>
        <v>8GB,8GB</v>
      </c>
    </row>
    <row r="965" spans="1:9" hidden="1" x14ac:dyDescent="0.35">
      <c r="A965" t="s">
        <v>782</v>
      </c>
      <c r="B965" t="s">
        <v>812</v>
      </c>
      <c r="C965">
        <v>2390000</v>
      </c>
      <c r="D965">
        <v>2390000</v>
      </c>
      <c r="E965" t="s">
        <v>813</v>
      </c>
      <c r="F965" t="s">
        <v>1051</v>
      </c>
      <c r="G965" t="str">
        <f>_xlfn.TEXTJOIN(",",TRUE,_xlfn._xlws.FILTER(GPU_brand[GPU brand], (GPU_brand[GPU brand text]&lt;&gt;"") * ISNUMBER(SEARCH(GPU_brand[GPU brand text], B965)), ""))</f>
        <v>ASUS</v>
      </c>
      <c r="H965" t="str">
        <f>_xlfn.TEXTJOIN(",",TRUE,_xlfn._xlws.FILTER(Chipset_Table[Chipset], (Chipset_Table[Chipset text]&lt;&gt;"") * ISNUMBER(SEARCH(Chipset_Table[Chipset text], B965)), ""))</f>
        <v>GT 1030</v>
      </c>
      <c r="I965" t="str">
        <f>_xlfn.TEXTJOIN(",",TRUE,_xlfn._xlws.FILTER(VRAM_table[Video memory], (VRAM_table[Video memory text]&lt;&gt;"") * ISNUMBER(SEARCH(VRAM_table[Video memory text], B965)), ""))</f>
        <v>2GB</v>
      </c>
    </row>
    <row r="966" spans="1:9" hidden="1" x14ac:dyDescent="0.35">
      <c r="A966" t="s">
        <v>782</v>
      </c>
      <c r="B966" t="s">
        <v>810</v>
      </c>
      <c r="C966">
        <v>11690000</v>
      </c>
      <c r="D966">
        <v>11690000</v>
      </c>
      <c r="E966" t="s">
        <v>811</v>
      </c>
      <c r="F966" t="s">
        <v>1051</v>
      </c>
      <c r="G966" t="str">
        <f>_xlfn.TEXTJOIN(",",TRUE,_xlfn._xlws.FILTER(GPU_brand[GPU brand], (GPU_brand[GPU brand text]&lt;&gt;"") * ISNUMBER(SEARCH(GPU_brand[GPU brand text], B966)), ""))</f>
        <v>ASUS</v>
      </c>
      <c r="H966" t="str">
        <f>_xlfn.TEXTJOIN(",",TRUE,_xlfn._xlws.FILTER(Chipset_Table[Chipset], (Chipset_Table[Chipset text]&lt;&gt;"") * ISNUMBER(SEARCH(Chipset_Table[Chipset text], B966)), ""))</f>
        <v>GeForce RTX 5060 Ti,GeForce RTX 5060</v>
      </c>
      <c r="I966" t="str">
        <f>_xlfn.TEXTJOIN(",",TRUE,_xlfn._xlws.FILTER(VRAM_table[Video memory], (VRAM_table[Video memory text]&lt;&gt;"") * ISNUMBER(SEARCH(VRAM_table[Video memory text], B966)), ""))</f>
        <v>8GB,8GB</v>
      </c>
    </row>
    <row r="967" spans="1:9" hidden="1" x14ac:dyDescent="0.35">
      <c r="A967" t="s">
        <v>782</v>
      </c>
      <c r="B967" t="s">
        <v>816</v>
      </c>
      <c r="C967">
        <v>19190000</v>
      </c>
      <c r="D967">
        <v>19190000</v>
      </c>
      <c r="E967" t="s">
        <v>817</v>
      </c>
      <c r="F967" t="s">
        <v>1051</v>
      </c>
      <c r="G967" t="str">
        <f>_xlfn.TEXTJOIN(",",TRUE,_xlfn._xlws.FILTER(GPU_brand[GPU brand], (GPU_brand[GPU brand text]&lt;&gt;"") * ISNUMBER(SEARCH(GPU_brand[GPU brand text], B967)), ""))</f>
        <v>Colorful</v>
      </c>
      <c r="H967" t="str">
        <f>_xlfn.TEXTJOIN(",",TRUE,_xlfn._xlws.FILTER(Chipset_Table[Chipset], (Chipset_Table[Chipset text]&lt;&gt;"") * ISNUMBER(SEARCH(Chipset_Table[Chipset text], B967)), ""))</f>
        <v>GeForce RTX 5070,RTX 5070</v>
      </c>
      <c r="I967" t="str">
        <f>_xlfn.TEXTJOIN(",",TRUE,_xlfn._xlws.FILTER(VRAM_table[Video memory], (VRAM_table[Video memory text]&lt;&gt;"") * ISNUMBER(SEARCH(VRAM_table[Video memory text], B967)), ""))</f>
        <v>12GB,2GB</v>
      </c>
    </row>
    <row r="968" spans="1:9" hidden="1" x14ac:dyDescent="0.35">
      <c r="A968" t="s">
        <v>782</v>
      </c>
      <c r="B968" t="s">
        <v>814</v>
      </c>
      <c r="C968">
        <v>9490000</v>
      </c>
      <c r="D968">
        <v>9490000</v>
      </c>
      <c r="E968" t="s">
        <v>815</v>
      </c>
      <c r="F968" t="s">
        <v>1051</v>
      </c>
      <c r="G968" t="str">
        <f>_xlfn.TEXTJOIN(",",TRUE,_xlfn._xlws.FILTER(GPU_brand[GPU brand], (GPU_brand[GPU brand text]&lt;&gt;"") * ISNUMBER(SEARCH(GPU_brand[GPU brand text], B968)), ""))</f>
        <v>MSI</v>
      </c>
      <c r="H968" t="str">
        <f>_xlfn.TEXTJOIN(",",TRUE,_xlfn._xlws.FILTER(Chipset_Table[Chipset], (Chipset_Table[Chipset text]&lt;&gt;"") * ISNUMBER(SEARCH(Chipset_Table[Chipset text], B968)), ""))</f>
        <v>GeForce RTX 5060</v>
      </c>
      <c r="I968" t="str">
        <f>_xlfn.TEXTJOIN(",",TRUE,_xlfn._xlws.FILTER(VRAM_table[Video memory], (VRAM_table[Video memory text]&lt;&gt;"") * ISNUMBER(SEARCH(VRAM_table[Video memory text], B968)), ""))</f>
        <v>8GB,8GB</v>
      </c>
    </row>
    <row r="969" spans="1:9" hidden="1" x14ac:dyDescent="0.35">
      <c r="A969" t="s">
        <v>782</v>
      </c>
      <c r="B969" t="s">
        <v>798</v>
      </c>
      <c r="C969">
        <v>5590000</v>
      </c>
      <c r="D969">
        <v>5590000</v>
      </c>
      <c r="E969" t="s">
        <v>799</v>
      </c>
      <c r="F969" t="s">
        <v>1051</v>
      </c>
      <c r="G969" t="str">
        <f>_xlfn.TEXTJOIN(",",TRUE,_xlfn._xlws.FILTER(GPU_brand[GPU brand], (GPU_brand[GPU brand text]&lt;&gt;"") * ISNUMBER(SEARCH(GPU_brand[GPU brand text], B969)), ""))</f>
        <v>Gigabyte</v>
      </c>
      <c r="H969" t="str">
        <f>_xlfn.TEXTJOIN(",",TRUE,_xlfn._xlws.FILTER(Chipset_Table[Chipset], (Chipset_Table[Chipset text]&lt;&gt;"") * ISNUMBER(SEARCH(Chipset_Table[Chipset text], B969)), ""))</f>
        <v>GeForce RTX 3050</v>
      </c>
      <c r="I969" t="str">
        <f>_xlfn.TEXTJOIN(",",TRUE,_xlfn._xlws.FILTER(VRAM_table[Video memory], (VRAM_table[Video memory text]&lt;&gt;"") * ISNUMBER(SEARCH(VRAM_table[Video memory text], B969)), ""))</f>
        <v>6GB,6GB</v>
      </c>
    </row>
    <row r="970" spans="1:9" hidden="1" x14ac:dyDescent="0.35">
      <c r="A970" t="s">
        <v>782</v>
      </c>
      <c r="B970" t="s">
        <v>822</v>
      </c>
      <c r="C970">
        <v>12390000</v>
      </c>
      <c r="D970">
        <v>12390000</v>
      </c>
      <c r="E970" t="s">
        <v>823</v>
      </c>
      <c r="F970" t="s">
        <v>1051</v>
      </c>
      <c r="G970" t="str">
        <f>_xlfn.TEXTJOIN(",",TRUE,_xlfn._xlws.FILTER(GPU_brand[GPU brand], (GPU_brand[GPU brand text]&lt;&gt;"") * ISNUMBER(SEARCH(GPU_brand[GPU brand text], B970)), ""))</f>
        <v>ASRock</v>
      </c>
      <c r="H970" t="str">
        <f>_xlfn.TEXTJOIN(",",TRUE,_xlfn._xlws.FILTER(Chipset_Table[Chipset], (Chipset_Table[Chipset text]&lt;&gt;"") * ISNUMBER(SEARCH(Chipset_Table[Chipset text], B970)), ""))</f>
        <v>RX 9060 XT</v>
      </c>
      <c r="I970" t="str">
        <f>_xlfn.TEXTJOIN(",",TRUE,_xlfn._xlws.FILTER(VRAM_table[Video memory], (VRAM_table[Video memory text]&lt;&gt;"") * ISNUMBER(SEARCH(VRAM_table[Video memory text], B970)), ""))</f>
        <v>16GB,16GB,6GB,6GB</v>
      </c>
    </row>
    <row r="971" spans="1:9" hidden="1" x14ac:dyDescent="0.35">
      <c r="A971" t="s">
        <v>782</v>
      </c>
      <c r="B971" t="s">
        <v>818</v>
      </c>
      <c r="C971">
        <v>9190000</v>
      </c>
      <c r="D971">
        <v>9190000</v>
      </c>
      <c r="E971" t="s">
        <v>819</v>
      </c>
      <c r="F971" t="s">
        <v>1051</v>
      </c>
      <c r="G971" t="str">
        <f>_xlfn.TEXTJOIN(",",TRUE,_xlfn._xlws.FILTER(GPU_brand[GPU brand], (GPU_brand[GPU brand text]&lt;&gt;"") * ISNUMBER(SEARCH(GPU_brand[GPU brand text], B971)), ""))</f>
        <v>Palit</v>
      </c>
      <c r="H971" t="str">
        <f>_xlfn.TEXTJOIN(",",TRUE,_xlfn._xlws.FILTER(Chipset_Table[Chipset], (Chipset_Table[Chipset text]&lt;&gt;"") * ISNUMBER(SEARCH(Chipset_Table[Chipset text], B971)), ""))</f>
        <v>GeForce RTX 5060</v>
      </c>
      <c r="I971" t="str">
        <f>_xlfn.TEXTJOIN(",",TRUE,_xlfn._xlws.FILTER(VRAM_table[Video memory], (VRAM_table[Video memory text]&lt;&gt;"") * ISNUMBER(SEARCH(VRAM_table[Video memory text], B971)), ""))</f>
        <v>8GB,8GB</v>
      </c>
    </row>
    <row r="972" spans="1:9" hidden="1" x14ac:dyDescent="0.35">
      <c r="A972" t="s">
        <v>782</v>
      </c>
      <c r="B972" t="s">
        <v>820</v>
      </c>
      <c r="C972">
        <v>5350000</v>
      </c>
      <c r="D972">
        <v>5350000</v>
      </c>
      <c r="E972" t="s">
        <v>821</v>
      </c>
      <c r="F972" t="s">
        <v>1051</v>
      </c>
      <c r="G972" t="str">
        <f>_xlfn.TEXTJOIN(",",TRUE,_xlfn._xlws.FILTER(GPU_brand[GPU brand], (GPU_brand[GPU brand text]&lt;&gt;"") * ISNUMBER(SEARCH(GPU_brand[GPU brand text], B972)), ""))</f>
        <v>ASUS</v>
      </c>
      <c r="H972" t="str">
        <f>_xlfn.TEXTJOIN(",",TRUE,_xlfn._xlws.FILTER(Chipset_Table[Chipset], (Chipset_Table[Chipset text]&lt;&gt;"") * ISNUMBER(SEARCH(Chipset_Table[Chipset text], B972)), ""))</f>
        <v>GeForce RTX 3050</v>
      </c>
      <c r="I972" t="str">
        <f>_xlfn.TEXTJOIN(",",TRUE,_xlfn._xlws.FILTER(VRAM_table[Video memory], (VRAM_table[Video memory text]&lt;&gt;"") * ISNUMBER(SEARCH(VRAM_table[Video memory text], B972)), ""))</f>
        <v>6GB,6GB</v>
      </c>
    </row>
    <row r="973" spans="1:9" hidden="1" x14ac:dyDescent="0.35">
      <c r="A973" t="s">
        <v>782</v>
      </c>
      <c r="B973" t="s">
        <v>800</v>
      </c>
      <c r="C973">
        <v>9390000</v>
      </c>
      <c r="D973">
        <v>9390000</v>
      </c>
      <c r="E973" t="s">
        <v>801</v>
      </c>
      <c r="F973" t="s">
        <v>1051</v>
      </c>
      <c r="G973" t="str">
        <f>_xlfn.TEXTJOIN(",",TRUE,_xlfn._xlws.FILTER(GPU_brand[GPU brand], (GPU_brand[GPU brand text]&lt;&gt;"") * ISNUMBER(SEARCH(GPU_brand[GPU brand text], B973)), ""))</f>
        <v>MSI</v>
      </c>
      <c r="H973" t="str">
        <f>_xlfn.TEXTJOIN(",",TRUE,_xlfn._xlws.FILTER(Chipset_Table[Chipset], (Chipset_Table[Chipset text]&lt;&gt;"") * ISNUMBER(SEARCH(Chipset_Table[Chipset text], B973)), ""))</f>
        <v>GeForce RTX 5060</v>
      </c>
      <c r="I973" t="str">
        <f>_xlfn.TEXTJOIN(",",TRUE,_xlfn._xlws.FILTER(VRAM_table[Video memory], (VRAM_table[Video memory text]&lt;&gt;"") * ISNUMBER(SEARCH(VRAM_table[Video memory text], B973)), ""))</f>
        <v>8GB,8GB</v>
      </c>
    </row>
    <row r="974" spans="1:9" hidden="1" x14ac:dyDescent="0.35">
      <c r="A974" t="s">
        <v>782</v>
      </c>
      <c r="B974" t="s">
        <v>826</v>
      </c>
      <c r="C974">
        <v>7290000</v>
      </c>
      <c r="D974">
        <v>7290000</v>
      </c>
      <c r="E974" t="s">
        <v>827</v>
      </c>
      <c r="F974" t="s">
        <v>1051</v>
      </c>
      <c r="G974" t="str">
        <f>_xlfn.TEXTJOIN(",",TRUE,_xlfn._xlws.FILTER(GPU_brand[GPU brand], (GPU_brand[GPU brand text]&lt;&gt;"") * ISNUMBER(SEARCH(GPU_brand[GPU brand text], B974)), ""))</f>
        <v>Gigabyte</v>
      </c>
      <c r="H974" t="str">
        <f>_xlfn.TEXTJOIN(",",TRUE,_xlfn._xlws.FILTER(Chipset_Table[Chipset], (Chipset_Table[Chipset text]&lt;&gt;"") * ISNUMBER(SEARCH(Chipset_Table[Chipset text], B974)), ""))</f>
        <v>RX 7600</v>
      </c>
      <c r="I974" t="str">
        <f>_xlfn.TEXTJOIN(",",TRUE,_xlfn._xlws.FILTER(VRAM_table[Video memory], (VRAM_table[Video memory text]&lt;&gt;"") * ISNUMBER(SEARCH(VRAM_table[Video memory text], B974)), ""))</f>
        <v>8GB,8GB</v>
      </c>
    </row>
    <row r="975" spans="1:9" hidden="1" x14ac:dyDescent="0.35">
      <c r="A975" t="s">
        <v>782</v>
      </c>
      <c r="B975" t="s">
        <v>830</v>
      </c>
      <c r="C975">
        <v>10490000</v>
      </c>
      <c r="D975">
        <v>10490000</v>
      </c>
      <c r="E975" t="s">
        <v>831</v>
      </c>
      <c r="F975" t="s">
        <v>1051</v>
      </c>
      <c r="G975" t="str">
        <f>_xlfn.TEXTJOIN(",",TRUE,_xlfn._xlws.FILTER(GPU_brand[GPU brand], (GPU_brand[GPU brand text]&lt;&gt;"") * ISNUMBER(SEARCH(GPU_brand[GPU brand text], B975)), ""))</f>
        <v>Colorful</v>
      </c>
      <c r="H975" t="str">
        <f>_xlfn.TEXTJOIN(",",TRUE,_xlfn._xlws.FILTER(Chipset_Table[Chipset], (Chipset_Table[Chipset text]&lt;&gt;"") * ISNUMBER(SEARCH(Chipset_Table[Chipset text], B975)), ""))</f>
        <v>GeForce RTX 5060</v>
      </c>
      <c r="I975" t="str">
        <f>_xlfn.TEXTJOIN(",",TRUE,_xlfn._xlws.FILTER(VRAM_table[Video memory], (VRAM_table[Video memory text]&lt;&gt;"") * ISNUMBER(SEARCH(VRAM_table[Video memory text], B975)), ""))</f>
        <v>8GB,8GB</v>
      </c>
    </row>
    <row r="976" spans="1:9" hidden="1" x14ac:dyDescent="0.35">
      <c r="A976" t="s">
        <v>782</v>
      </c>
      <c r="B976" t="s">
        <v>1054</v>
      </c>
      <c r="C976">
        <v>26990000</v>
      </c>
      <c r="D976">
        <v>26990000</v>
      </c>
      <c r="E976" t="s">
        <v>1055</v>
      </c>
      <c r="F976" t="s">
        <v>1051</v>
      </c>
      <c r="G976" t="str">
        <f>_xlfn.TEXTJOIN(",",TRUE,_xlfn._xlws.FILTER(GPU_brand[GPU brand], (GPU_brand[GPU brand text]&lt;&gt;"") * ISNUMBER(SEARCH(GPU_brand[GPU brand text], B976)), ""))</f>
        <v>INNO3D</v>
      </c>
      <c r="H976" t="str">
        <f>_xlfn.TEXTJOIN(",",TRUE,_xlfn._xlws.FILTER(Chipset_Table[Chipset], (Chipset_Table[Chipset text]&lt;&gt;"") * ISNUMBER(SEARCH(Chipset_Table[Chipset text], B976)), ""))</f>
        <v>GeForce RTX 5070,GeForce RTX 5070 Ti,RTX 5070</v>
      </c>
      <c r="I976" t="str">
        <f>_xlfn.TEXTJOIN(",",TRUE,_xlfn._xlws.FILTER(VRAM_table[Video memory], (VRAM_table[Video memory text]&lt;&gt;"") * ISNUMBER(SEARCH(VRAM_table[Video memory text], B976)), ""))</f>
        <v>16GB,16GB,6GB,6GB</v>
      </c>
    </row>
    <row r="977" spans="1:9" hidden="1" x14ac:dyDescent="0.35">
      <c r="A977" t="s">
        <v>782</v>
      </c>
      <c r="B977" t="s">
        <v>824</v>
      </c>
      <c r="C977">
        <v>8690000</v>
      </c>
      <c r="D977">
        <v>8690000</v>
      </c>
      <c r="E977" t="s">
        <v>825</v>
      </c>
      <c r="F977" t="s">
        <v>1051</v>
      </c>
      <c r="G977" t="str">
        <f>_xlfn.TEXTJOIN(",",TRUE,_xlfn._xlws.FILTER(GPU_brand[GPU brand], (GPU_brand[GPU brand text]&lt;&gt;"") * ISNUMBER(SEARCH(GPU_brand[GPU brand text], B977)), ""))</f>
        <v>ASUS</v>
      </c>
      <c r="H977" t="str">
        <f>_xlfn.TEXTJOIN(",",TRUE,_xlfn._xlws.FILTER(Chipset_Table[Chipset], (Chipset_Table[Chipset text]&lt;&gt;"") * ISNUMBER(SEARCH(Chipset_Table[Chipset text], B977)), ""))</f>
        <v>RTX 5050</v>
      </c>
      <c r="I977" t="str">
        <f>_xlfn.TEXTJOIN(",",TRUE,_xlfn._xlws.FILTER(VRAM_table[Video memory], (VRAM_table[Video memory text]&lt;&gt;"") * ISNUMBER(SEARCH(VRAM_table[Video memory text], B977)), ""))</f>
        <v>8GB,8GB</v>
      </c>
    </row>
    <row r="978" spans="1:9" hidden="1" x14ac:dyDescent="0.35">
      <c r="A978" t="s">
        <v>782</v>
      </c>
      <c r="B978" t="s">
        <v>832</v>
      </c>
      <c r="C978">
        <v>4050000</v>
      </c>
      <c r="D978">
        <v>4050000</v>
      </c>
      <c r="E978" t="s">
        <v>833</v>
      </c>
      <c r="F978" t="s">
        <v>1051</v>
      </c>
      <c r="G978" t="str">
        <f>_xlfn.TEXTJOIN(",",TRUE,_xlfn._xlws.FILTER(GPU_brand[GPU brand], (GPU_brand[GPU brand text]&lt;&gt;"") * ISNUMBER(SEARCH(GPU_brand[GPU brand text], B978)), ""))</f>
        <v>Unika</v>
      </c>
      <c r="H978" t="str">
        <f>_xlfn.TEXTJOIN(",",TRUE,_xlfn._xlws.FILTER(Chipset_Table[Chipset], (Chipset_Table[Chipset text]&lt;&gt;"") * ISNUMBER(SEARCH(Chipset_Table[Chipset text], B978)), ""))</f>
        <v>GeForce GTX 1650,GTX 1650</v>
      </c>
      <c r="I978" t="str">
        <f>_xlfn.TEXTJOIN(",",TRUE,_xlfn._xlws.FILTER(VRAM_table[Video memory], (VRAM_table[Video memory text]&lt;&gt;"") * ISNUMBER(SEARCH(VRAM_table[Video memory text], B978)), ""))</f>
        <v>4GB,4GB</v>
      </c>
    </row>
    <row r="979" spans="1:9" hidden="1" x14ac:dyDescent="0.35">
      <c r="A979" t="s">
        <v>782</v>
      </c>
      <c r="B979" t="s">
        <v>1056</v>
      </c>
      <c r="C979">
        <v>1930000</v>
      </c>
      <c r="D979">
        <v>1930000</v>
      </c>
      <c r="E979" t="s">
        <v>1057</v>
      </c>
      <c r="F979" t="s">
        <v>1051</v>
      </c>
      <c r="G979" t="str">
        <f>_xlfn.TEXTJOIN(",",TRUE,_xlfn._xlws.FILTER(GPU_brand[GPU brand], (GPU_brand[GPU brand text]&lt;&gt;"") * ISNUMBER(SEARCH(GPU_brand[GPU brand text], B979)), ""))</f>
        <v>Unika</v>
      </c>
      <c r="H979" t="str">
        <f>_xlfn.TEXTJOIN(",",TRUE,_xlfn._xlws.FILTER(Chipset_Table[Chipset], (Chipset_Table[Chipset text]&lt;&gt;"") * ISNUMBER(SEARCH(Chipset_Table[Chipset text], B979)), ""))</f>
        <v>GeForce GT 1030,GT 1030</v>
      </c>
      <c r="I979" t="str">
        <f>_xlfn.TEXTJOIN(",",TRUE,_xlfn._xlws.FILTER(VRAM_table[Video memory], (VRAM_table[Video memory text]&lt;&gt;"") * ISNUMBER(SEARCH(VRAM_table[Video memory text], B979)), ""))</f>
        <v>4GB,4GB</v>
      </c>
    </row>
    <row r="980" spans="1:9" hidden="1" x14ac:dyDescent="0.35">
      <c r="A980" t="s">
        <v>782</v>
      </c>
      <c r="B980" t="s">
        <v>838</v>
      </c>
      <c r="C980">
        <v>19490000</v>
      </c>
      <c r="D980">
        <v>19490000</v>
      </c>
      <c r="E980" t="s">
        <v>839</v>
      </c>
      <c r="F980" t="s">
        <v>1051</v>
      </c>
      <c r="G980" t="str">
        <f>_xlfn.TEXTJOIN(",",TRUE,_xlfn._xlws.FILTER(GPU_brand[GPU brand], (GPU_brand[GPU brand text]&lt;&gt;"") * ISNUMBER(SEARCH(GPU_brand[GPU brand text], B980)), ""))</f>
        <v>Gigabyte</v>
      </c>
      <c r="H980" t="str">
        <f>_xlfn.TEXTJOIN(",",TRUE,_xlfn._xlws.FILTER(Chipset_Table[Chipset], (Chipset_Table[Chipset text]&lt;&gt;"") * ISNUMBER(SEARCH(Chipset_Table[Chipset text], B980)), ""))</f>
        <v>RTX 5070</v>
      </c>
      <c r="I980" t="str">
        <f>_xlfn.TEXTJOIN(",",TRUE,_xlfn._xlws.FILTER(VRAM_table[Video memory], (VRAM_table[Video memory text]&lt;&gt;"") * ISNUMBER(SEARCH(VRAM_table[Video memory text], B980)), ""))</f>
        <v>12GB,2GB</v>
      </c>
    </row>
    <row r="981" spans="1:9" hidden="1" x14ac:dyDescent="0.35">
      <c r="A981" t="s">
        <v>782</v>
      </c>
      <c r="B981" t="s">
        <v>802</v>
      </c>
      <c r="C981">
        <v>9590000</v>
      </c>
      <c r="D981">
        <v>9590000</v>
      </c>
      <c r="E981" t="s">
        <v>803</v>
      </c>
      <c r="F981" t="s">
        <v>1051</v>
      </c>
      <c r="G981" t="str">
        <f>_xlfn.TEXTJOIN(",",TRUE,_xlfn._xlws.FILTER(GPU_brand[GPU brand], (GPU_brand[GPU brand text]&lt;&gt;"") * ISNUMBER(SEARCH(GPU_brand[GPU brand text], B981)), ""))</f>
        <v>ASUS</v>
      </c>
      <c r="H981" t="str">
        <f>_xlfn.TEXTJOIN(",",TRUE,_xlfn._xlws.FILTER(Chipset_Table[Chipset], (Chipset_Table[Chipset text]&lt;&gt;"") * ISNUMBER(SEARCH(Chipset_Table[Chipset text], B981)), ""))</f>
        <v>GeForce RTX 5060</v>
      </c>
      <c r="I981" t="str">
        <f>_xlfn.TEXTJOIN(",",TRUE,_xlfn._xlws.FILTER(VRAM_table[Video memory], (VRAM_table[Video memory text]&lt;&gt;"") * ISNUMBER(SEARCH(VRAM_table[Video memory text], B981)), ""))</f>
        <v>8GB,8GB</v>
      </c>
    </row>
    <row r="982" spans="1:9" hidden="1" x14ac:dyDescent="0.35">
      <c r="A982" t="s">
        <v>782</v>
      </c>
      <c r="B982" t="s">
        <v>846</v>
      </c>
      <c r="C982">
        <v>5490000</v>
      </c>
      <c r="D982">
        <v>5490000</v>
      </c>
      <c r="E982" t="s">
        <v>847</v>
      </c>
      <c r="F982" t="s">
        <v>1051</v>
      </c>
      <c r="G982" t="str">
        <f>_xlfn.TEXTJOIN(",",TRUE,_xlfn._xlws.FILTER(GPU_brand[GPU brand], (GPU_brand[GPU brand text]&lt;&gt;"") * ISNUMBER(SEARCH(GPU_brand[GPU brand text], B982)), ""))</f>
        <v>MSI</v>
      </c>
      <c r="H982" t="str">
        <f>_xlfn.TEXTJOIN(",",TRUE,_xlfn._xlws.FILTER(Chipset_Table[Chipset], (Chipset_Table[Chipset text]&lt;&gt;"") * ISNUMBER(SEARCH(Chipset_Table[Chipset text], B982)), ""))</f>
        <v>GeForce RTX 3050</v>
      </c>
      <c r="I982" t="str">
        <f>_xlfn.TEXTJOIN(",",TRUE,_xlfn._xlws.FILTER(VRAM_table[Video memory], (VRAM_table[Video memory text]&lt;&gt;"") * ISNUMBER(SEARCH(VRAM_table[Video memory text], B982)), ""))</f>
        <v>6GB,6GB</v>
      </c>
    </row>
    <row r="983" spans="1:9" hidden="1" x14ac:dyDescent="0.35">
      <c r="A983" t="s">
        <v>782</v>
      </c>
      <c r="B983" t="s">
        <v>848</v>
      </c>
      <c r="C983">
        <v>9790000</v>
      </c>
      <c r="D983">
        <v>9790000</v>
      </c>
      <c r="E983" t="s">
        <v>849</v>
      </c>
      <c r="F983" t="s">
        <v>1051</v>
      </c>
      <c r="G983" t="str">
        <f>_xlfn.TEXTJOIN(",",TRUE,_xlfn._xlws.FILTER(GPU_brand[GPU brand], (GPU_brand[GPU brand text]&lt;&gt;"") * ISNUMBER(SEARCH(GPU_brand[GPU brand text], B983)), ""))</f>
        <v>Gigabyte</v>
      </c>
      <c r="H983" t="str">
        <f>_xlfn.TEXTJOIN(",",TRUE,_xlfn._xlws.FILTER(Chipset_Table[Chipset], (Chipset_Table[Chipset text]&lt;&gt;"") * ISNUMBER(SEARCH(Chipset_Table[Chipset text], B983)), ""))</f>
        <v>GeForce RTX 5060</v>
      </c>
      <c r="I983" t="str">
        <f>_xlfn.TEXTJOIN(",",TRUE,_xlfn._xlws.FILTER(VRAM_table[Video memory], (VRAM_table[Video memory text]&lt;&gt;"") * ISNUMBER(SEARCH(VRAM_table[Video memory text], B983)), ""))</f>
        <v>8GB,8GB</v>
      </c>
    </row>
    <row r="984" spans="1:9" hidden="1" x14ac:dyDescent="0.35">
      <c r="A984" t="s">
        <v>782</v>
      </c>
      <c r="B984" t="s">
        <v>840</v>
      </c>
      <c r="C984">
        <v>5030000</v>
      </c>
      <c r="D984">
        <v>5030000</v>
      </c>
      <c r="E984" t="s">
        <v>841</v>
      </c>
      <c r="F984" t="s">
        <v>1051</v>
      </c>
      <c r="G984" t="str">
        <f>_xlfn.TEXTJOIN(",",TRUE,_xlfn._xlws.FILTER(GPU_brand[GPU brand], (GPU_brand[GPU brand text]&lt;&gt;"") * ISNUMBER(SEARCH(GPU_brand[GPU brand text], B984)), ""))</f>
        <v>Unika</v>
      </c>
      <c r="H984" t="str">
        <f>_xlfn.TEXTJOIN(",",TRUE,_xlfn._xlws.FILTER(Chipset_Table[Chipset], (Chipset_Table[Chipset text]&lt;&gt;"") * ISNUMBER(SEARCH(Chipset_Table[Chipset text], B984)), ""))</f>
        <v>GeForce RTX 2060,RTX 2060</v>
      </c>
      <c r="I984" t="str">
        <f>_xlfn.TEXTJOIN(",",TRUE,_xlfn._xlws.FILTER(VRAM_table[Video memory], (VRAM_table[Video memory text]&lt;&gt;"") * ISNUMBER(SEARCH(VRAM_table[Video memory text], B984)), ""))</f>
        <v>6GB,6GB</v>
      </c>
    </row>
    <row r="985" spans="1:9" hidden="1" x14ac:dyDescent="0.35">
      <c r="A985" t="s">
        <v>782</v>
      </c>
      <c r="B985" t="s">
        <v>842</v>
      </c>
      <c r="C985">
        <v>26190000</v>
      </c>
      <c r="D985">
        <v>26190000</v>
      </c>
      <c r="E985" t="s">
        <v>843</v>
      </c>
      <c r="F985" t="s">
        <v>1051</v>
      </c>
      <c r="G985" t="str">
        <f>_xlfn.TEXTJOIN(",",TRUE,_xlfn._xlws.FILTER(GPU_brand[GPU brand], (GPU_brand[GPU brand text]&lt;&gt;"") * ISNUMBER(SEARCH(GPU_brand[GPU brand text], B985)), ""))</f>
        <v>Colorful</v>
      </c>
      <c r="H985" t="str">
        <f>_xlfn.TEXTJOIN(",",TRUE,_xlfn._xlws.FILTER(Chipset_Table[Chipset], (Chipset_Table[Chipset text]&lt;&gt;"") * ISNUMBER(SEARCH(Chipset_Table[Chipset text], B985)), ""))</f>
        <v>GeForce RTX 5070,GeForce RTX 5070 Ti,RTX 5070</v>
      </c>
      <c r="I985" t="str">
        <f>_xlfn.TEXTJOIN(",",TRUE,_xlfn._xlws.FILTER(VRAM_table[Video memory], (VRAM_table[Video memory text]&lt;&gt;"") * ISNUMBER(SEARCH(VRAM_table[Video memory text], B985)), ""))</f>
        <v>16GB,16GB,6GB,6GB</v>
      </c>
    </row>
    <row r="986" spans="1:9" hidden="1" x14ac:dyDescent="0.35">
      <c r="A986" t="s">
        <v>782</v>
      </c>
      <c r="B986" t="s">
        <v>828</v>
      </c>
      <c r="C986">
        <v>2090000</v>
      </c>
      <c r="D986">
        <v>2090000</v>
      </c>
      <c r="E986" t="s">
        <v>829</v>
      </c>
      <c r="F986" t="s">
        <v>1051</v>
      </c>
      <c r="G986" t="str">
        <f>_xlfn.TEXTJOIN(",",TRUE,_xlfn._xlws.FILTER(GPU_brand[GPU brand], (GPU_brand[GPU brand text]&lt;&gt;"") * ISNUMBER(SEARCH(GPU_brand[GPU brand text], B986)), ""))</f>
        <v>ARK</v>
      </c>
      <c r="H986" t="str">
        <f>_xlfn.TEXTJOIN(",",TRUE,_xlfn._xlws.FILTER(Chipset_Table[Chipset], (Chipset_Table[Chipset text]&lt;&gt;"") * ISNUMBER(SEARCH(Chipset_Table[Chipset text], B986)), ""))</f>
        <v>RX 550</v>
      </c>
      <c r="I986" t="str">
        <f>_xlfn.TEXTJOIN(",",TRUE,_xlfn._xlws.FILTER(VRAM_table[Video memory], (VRAM_table[Video memory text]&lt;&gt;"") * ISNUMBER(SEARCH(VRAM_table[Video memory text], B986)), ""))</f>
        <v>4GB,4GB</v>
      </c>
    </row>
    <row r="987" spans="1:9" hidden="1" x14ac:dyDescent="0.35">
      <c r="A987" t="s">
        <v>782</v>
      </c>
      <c r="B987" t="s">
        <v>862</v>
      </c>
      <c r="C987">
        <v>11190000</v>
      </c>
      <c r="D987">
        <v>11190000</v>
      </c>
      <c r="E987" t="s">
        <v>863</v>
      </c>
      <c r="F987" t="s">
        <v>1051</v>
      </c>
      <c r="G987" t="str">
        <f>_xlfn.TEXTJOIN(",",TRUE,_xlfn._xlws.FILTER(GPU_brand[GPU brand], (GPU_brand[GPU brand text]&lt;&gt;"") * ISNUMBER(SEARCH(GPU_brand[GPU brand text], B987)), ""))</f>
        <v>Palit</v>
      </c>
      <c r="H987" t="str">
        <f>_xlfn.TEXTJOIN(",",TRUE,_xlfn._xlws.FILTER(Chipset_Table[Chipset], (Chipset_Table[Chipset text]&lt;&gt;"") * ISNUMBER(SEARCH(Chipset_Table[Chipset text], B987)), ""))</f>
        <v>GeForce RTX 5060,GeForce RTX 5060 Ti,RTX 5060 Ti</v>
      </c>
      <c r="I987" t="str">
        <f>_xlfn.TEXTJOIN(",",TRUE,_xlfn._xlws.FILTER(VRAM_table[Video memory], (VRAM_table[Video memory text]&lt;&gt;"") * ISNUMBER(SEARCH(VRAM_table[Video memory text], B987)), ""))</f>
        <v>8GB,8GB</v>
      </c>
    </row>
    <row r="988" spans="1:9" hidden="1" x14ac:dyDescent="0.35">
      <c r="A988" t="s">
        <v>782</v>
      </c>
      <c r="B988" t="s">
        <v>864</v>
      </c>
      <c r="C988">
        <v>12790000</v>
      </c>
      <c r="D988">
        <v>12790000</v>
      </c>
      <c r="E988" t="s">
        <v>865</v>
      </c>
      <c r="F988" t="s">
        <v>1051</v>
      </c>
      <c r="G988" t="str">
        <f>_xlfn.TEXTJOIN(",",TRUE,_xlfn._xlws.FILTER(GPU_brand[GPU brand], (GPU_brand[GPU brand text]&lt;&gt;"") * ISNUMBER(SEARCH(GPU_brand[GPU brand text], B988)), ""))</f>
        <v>ASUS</v>
      </c>
      <c r="H988" t="str">
        <f>_xlfn.TEXTJOIN(",",TRUE,_xlfn._xlws.FILTER(Chipset_Table[Chipset], (Chipset_Table[Chipset text]&lt;&gt;"") * ISNUMBER(SEARCH(Chipset_Table[Chipset text], B988)), ""))</f>
        <v>RX 9060XT</v>
      </c>
      <c r="I988" t="str">
        <f>_xlfn.TEXTJOIN(",",TRUE,_xlfn._xlws.FILTER(VRAM_table[Video memory], (VRAM_table[Video memory text]&lt;&gt;"") * ISNUMBER(SEARCH(VRAM_table[Video memory text], B988)), ""))</f>
        <v>16GB,16GB,6GB,6GB</v>
      </c>
    </row>
    <row r="989" spans="1:9" hidden="1" x14ac:dyDescent="0.35">
      <c r="A989" t="s">
        <v>782</v>
      </c>
      <c r="B989" t="s">
        <v>860</v>
      </c>
      <c r="C989">
        <v>6590000</v>
      </c>
      <c r="D989">
        <v>6590000</v>
      </c>
      <c r="E989" t="s">
        <v>861</v>
      </c>
      <c r="F989" t="s">
        <v>1051</v>
      </c>
      <c r="G989" t="str">
        <f>_xlfn.TEXTJOIN(",",TRUE,_xlfn._xlws.FILTER(GPU_brand[GPU brand], (GPU_brand[GPU brand text]&lt;&gt;"") * ISNUMBER(SEARCH(GPU_brand[GPU brand text], B989)), ""))</f>
        <v>Unika</v>
      </c>
      <c r="H989" t="str">
        <f>_xlfn.TEXTJOIN(",",TRUE,_xlfn._xlws.FILTER(Chipset_Table[Chipset], (Chipset_Table[Chipset text]&lt;&gt;"") * ISNUMBER(SEARCH(Chipset_Table[Chipset text], B989)), ""))</f>
        <v>RX 7600</v>
      </c>
      <c r="I989" t="str">
        <f>_xlfn.TEXTJOIN(",",TRUE,_xlfn._xlws.FILTER(VRAM_table[Video memory], (VRAM_table[Video memory text]&lt;&gt;"") * ISNUMBER(SEARCH(VRAM_table[Video memory text], B989)), ""))</f>
        <v>8GB,8GB</v>
      </c>
    </row>
    <row r="990" spans="1:9" hidden="1" x14ac:dyDescent="0.35">
      <c r="A990" t="s">
        <v>782</v>
      </c>
      <c r="B990" t="s">
        <v>866</v>
      </c>
      <c r="C990">
        <v>9690000</v>
      </c>
      <c r="D990">
        <v>9690000</v>
      </c>
      <c r="E990" t="s">
        <v>867</v>
      </c>
      <c r="F990" t="s">
        <v>1051</v>
      </c>
      <c r="G990" t="str">
        <f>_xlfn.TEXTJOIN(",",TRUE,_xlfn._xlws.FILTER(GPU_brand[GPU brand], (GPU_brand[GPU brand text]&lt;&gt;"") * ISNUMBER(SEARCH(GPU_brand[GPU brand text], B990)), ""))</f>
        <v>Gigabyte</v>
      </c>
      <c r="H990" t="str">
        <f>_xlfn.TEXTJOIN(",",TRUE,_xlfn._xlws.FILTER(Chipset_Table[Chipset], (Chipset_Table[Chipset text]&lt;&gt;"") * ISNUMBER(SEARCH(Chipset_Table[Chipset text], B990)), ""))</f>
        <v>RX 9060 XT</v>
      </c>
      <c r="I990" t="str">
        <f>_xlfn.TEXTJOIN(",",TRUE,_xlfn._xlws.FILTER(VRAM_table[Video memory], (VRAM_table[Video memory text]&lt;&gt;"") * ISNUMBER(SEARCH(VRAM_table[Video memory text], B990)), ""))</f>
        <v>8GB,8GB</v>
      </c>
    </row>
    <row r="991" spans="1:9" hidden="1" x14ac:dyDescent="0.35">
      <c r="A991" t="s">
        <v>782</v>
      </c>
      <c r="B991" t="s">
        <v>850</v>
      </c>
      <c r="C991">
        <v>17090000</v>
      </c>
      <c r="D991">
        <v>17090000</v>
      </c>
      <c r="E991" t="s">
        <v>851</v>
      </c>
      <c r="F991" t="s">
        <v>1051</v>
      </c>
      <c r="G991" t="str">
        <f>_xlfn.TEXTJOIN(",",TRUE,_xlfn._xlws.FILTER(GPU_brand[GPU brand], (GPU_brand[GPU brand text]&lt;&gt;"") * ISNUMBER(SEARCH(GPU_brand[GPU brand text], B991)), ""))</f>
        <v>ASUS</v>
      </c>
      <c r="H991" t="str">
        <f>_xlfn.TEXTJOIN(",",TRUE,_xlfn._xlws.FILTER(Chipset_Table[Chipset], (Chipset_Table[Chipset text]&lt;&gt;"") * ISNUMBER(SEARCH(Chipset_Table[Chipset text], B991)), ""))</f>
        <v>GeForce RTX 5060,GeForce RTX 5060 Ti,RTX 5060 Ti</v>
      </c>
      <c r="I991" t="str">
        <f>_xlfn.TEXTJOIN(",",TRUE,_xlfn._xlws.FILTER(VRAM_table[Video memory], (VRAM_table[Video memory text]&lt;&gt;"") * ISNUMBER(SEARCH(VRAM_table[Video memory text], B991)), ""))</f>
        <v>16GB,16GB,6GB,6GB</v>
      </c>
    </row>
    <row r="992" spans="1:9" hidden="1" x14ac:dyDescent="0.35">
      <c r="A992" t="s">
        <v>782</v>
      </c>
      <c r="B992" t="s">
        <v>854</v>
      </c>
      <c r="C992">
        <v>2300000</v>
      </c>
      <c r="D992">
        <v>2300000</v>
      </c>
      <c r="E992" t="s">
        <v>855</v>
      </c>
      <c r="F992" t="s">
        <v>1051</v>
      </c>
      <c r="G992" t="str">
        <f>_xlfn.TEXTJOIN(",",TRUE,_xlfn._xlws.FILTER(GPU_brand[GPU brand], (GPU_brand[GPU brand text]&lt;&gt;"") * ISNUMBER(SEARCH(GPU_brand[GPU brand text], B992)), ""))</f>
        <v>T-WOLF</v>
      </c>
      <c r="H992" t="str">
        <f>_xlfn.TEXTJOIN(",",TRUE,_xlfn._xlws.FILTER(Chipset_Table[Chipset], (Chipset_Table[Chipset text]&lt;&gt;"") * ISNUMBER(SEARCH(Chipset_Table[Chipset text], B992)), ""))</f>
        <v>RX 560</v>
      </c>
      <c r="I992" t="str">
        <f>_xlfn.TEXTJOIN(",",TRUE,_xlfn._xlws.FILTER(VRAM_table[Video memory], (VRAM_table[Video memory text]&lt;&gt;"") * ISNUMBER(SEARCH(VRAM_table[Video memory text], B992)), ""))</f>
        <v>4GB,4GB</v>
      </c>
    </row>
    <row r="993" spans="1:9" hidden="1" x14ac:dyDescent="0.35">
      <c r="A993" t="s">
        <v>782</v>
      </c>
      <c r="B993" t="s">
        <v>856</v>
      </c>
      <c r="C993">
        <v>11790000</v>
      </c>
      <c r="D993">
        <v>11790000</v>
      </c>
      <c r="E993" t="s">
        <v>857</v>
      </c>
      <c r="F993" t="s">
        <v>1051</v>
      </c>
      <c r="G993" t="str">
        <f>_xlfn.TEXTJOIN(",",TRUE,_xlfn._xlws.FILTER(GPU_brand[GPU brand], (GPU_brand[GPU brand text]&lt;&gt;"") * ISNUMBER(SEARCH(GPU_brand[GPU brand text], B993)), ""))</f>
        <v>MSI</v>
      </c>
      <c r="H993" t="str">
        <f>_xlfn.TEXTJOIN(",",TRUE,_xlfn._xlws.FILTER(Chipset_Table[Chipset], (Chipset_Table[Chipset text]&lt;&gt;"") * ISNUMBER(SEARCH(Chipset_Table[Chipset text], B993)), ""))</f>
        <v>GeForce RTX 5060,GeForce RTX 5060 Ti,RTX 5060 Ti</v>
      </c>
      <c r="I993" t="str">
        <f>_xlfn.TEXTJOIN(",",TRUE,_xlfn._xlws.FILTER(VRAM_table[Video memory], (VRAM_table[Video memory text]&lt;&gt;"") * ISNUMBER(SEARCH(VRAM_table[Video memory text], B993)), ""))</f>
        <v>8GB,8GB</v>
      </c>
    </row>
    <row r="994" spans="1:9" hidden="1" x14ac:dyDescent="0.35">
      <c r="A994" t="s">
        <v>782</v>
      </c>
      <c r="B994" t="s">
        <v>876</v>
      </c>
      <c r="C994">
        <v>20290000</v>
      </c>
      <c r="D994">
        <v>20290000</v>
      </c>
      <c r="E994" t="s">
        <v>877</v>
      </c>
      <c r="F994" t="s">
        <v>1051</v>
      </c>
      <c r="G994" t="str">
        <f>_xlfn.TEXTJOIN(",",TRUE,_xlfn._xlws.FILTER(GPU_brand[GPU brand], (GPU_brand[GPU brand text]&lt;&gt;"") * ISNUMBER(SEARCH(GPU_brand[GPU brand text], B994)), ""))</f>
        <v>ASRock</v>
      </c>
      <c r="H994" t="str">
        <f>_xlfn.TEXTJOIN(",",TRUE,_xlfn._xlws.FILTER(Chipset_Table[Chipset], (Chipset_Table[Chipset text]&lt;&gt;"") * ISNUMBER(SEARCH(Chipset_Table[Chipset text], B994)), ""))</f>
        <v>RX 9070</v>
      </c>
      <c r="I994" t="str">
        <f>_xlfn.TEXTJOIN(",",TRUE,_xlfn._xlws.FILTER(VRAM_table[Video memory], (VRAM_table[Video memory text]&lt;&gt;"") * ISNUMBER(SEARCH(VRAM_table[Video memory text], B994)), ""))</f>
        <v>16GB,16GB,6GB,6GB</v>
      </c>
    </row>
    <row r="995" spans="1:9" hidden="1" x14ac:dyDescent="0.35">
      <c r="A995" t="s">
        <v>782</v>
      </c>
      <c r="B995" t="s">
        <v>868</v>
      </c>
      <c r="C995">
        <v>26490000</v>
      </c>
      <c r="D995">
        <v>26490000</v>
      </c>
      <c r="E995" t="s">
        <v>869</v>
      </c>
      <c r="F995" t="s">
        <v>1051</v>
      </c>
      <c r="G995" t="str">
        <f>_xlfn.TEXTJOIN(",",TRUE,_xlfn._xlws.FILTER(GPU_brand[GPU brand], (GPU_brand[GPU brand text]&lt;&gt;"") * ISNUMBER(SEARCH(GPU_brand[GPU brand text], B995)), ""))</f>
        <v>Palit</v>
      </c>
      <c r="H995" t="str">
        <f>_xlfn.TEXTJOIN(",",TRUE,_xlfn._xlws.FILTER(Chipset_Table[Chipset], (Chipset_Table[Chipset text]&lt;&gt;"") * ISNUMBER(SEARCH(Chipset_Table[Chipset text], B995)), ""))</f>
        <v>GeForce RTX 5070,GeForce RTX 5070 Ti,RTX 5070</v>
      </c>
      <c r="I995" t="str">
        <f>_xlfn.TEXTJOIN(",",TRUE,_xlfn._xlws.FILTER(VRAM_table[Video memory], (VRAM_table[Video memory text]&lt;&gt;"") * ISNUMBER(SEARCH(VRAM_table[Video memory text], B995)), ""))</f>
        <v>16GB,16GB,6GB,6GB</v>
      </c>
    </row>
    <row r="996" spans="1:9" hidden="1" x14ac:dyDescent="0.35">
      <c r="A996" t="s">
        <v>782</v>
      </c>
      <c r="B996" t="s">
        <v>858</v>
      </c>
      <c r="C996">
        <v>12490000</v>
      </c>
      <c r="D996">
        <v>12490000</v>
      </c>
      <c r="E996" t="s">
        <v>859</v>
      </c>
      <c r="F996" t="s">
        <v>1051</v>
      </c>
      <c r="G996" t="str">
        <f>_xlfn.TEXTJOIN(",",TRUE,_xlfn._xlws.FILTER(GPU_brand[GPU brand], (GPU_brand[GPU brand text]&lt;&gt;"") * ISNUMBER(SEARCH(GPU_brand[GPU brand text], B996)), ""))</f>
        <v>Gigabyte</v>
      </c>
      <c r="H996" t="str">
        <f>_xlfn.TEXTJOIN(",",TRUE,_xlfn._xlws.FILTER(Chipset_Table[Chipset], (Chipset_Table[Chipset text]&lt;&gt;"") * ISNUMBER(SEARCH(Chipset_Table[Chipset text], B996)), ""))</f>
        <v>RX 9060 XT</v>
      </c>
      <c r="I996" t="str">
        <f>_xlfn.TEXTJOIN(",",TRUE,_xlfn._xlws.FILTER(VRAM_table[Video memory], (VRAM_table[Video memory text]&lt;&gt;"") * ISNUMBER(SEARCH(VRAM_table[Video memory text], B996)), ""))</f>
        <v>16GB,16GB,6GB,6GB</v>
      </c>
    </row>
    <row r="997" spans="1:9" hidden="1" x14ac:dyDescent="0.35">
      <c r="A997" t="s">
        <v>782</v>
      </c>
      <c r="B997" t="s">
        <v>872</v>
      </c>
      <c r="C997">
        <v>18790000</v>
      </c>
      <c r="D997">
        <v>18790000</v>
      </c>
      <c r="E997" t="s">
        <v>873</v>
      </c>
      <c r="F997" t="s">
        <v>1051</v>
      </c>
      <c r="G997" t="str">
        <f>_xlfn.TEXTJOIN(",",TRUE,_xlfn._xlws.FILTER(GPU_brand[GPU brand], (GPU_brand[GPU brand text]&lt;&gt;"") * ISNUMBER(SEARCH(GPU_brand[GPU brand text], B997)), ""))</f>
        <v>Palit</v>
      </c>
      <c r="H997" t="str">
        <f>_xlfn.TEXTJOIN(",",TRUE,_xlfn._xlws.FILTER(Chipset_Table[Chipset], (Chipset_Table[Chipset text]&lt;&gt;"") * ISNUMBER(SEARCH(Chipset_Table[Chipset text], B997)), ""))</f>
        <v>GeForce RTX 5070,RTX 5070</v>
      </c>
      <c r="I997" t="str">
        <f>_xlfn.TEXTJOIN(",",TRUE,_xlfn._xlws.FILTER(VRAM_table[Video memory], (VRAM_table[Video memory text]&lt;&gt;"") * ISNUMBER(SEARCH(VRAM_table[Video memory text], B997)), ""))</f>
        <v>12GB,2GB</v>
      </c>
    </row>
    <row r="998" spans="1:9" hidden="1" x14ac:dyDescent="0.35">
      <c r="A998" t="s">
        <v>782</v>
      </c>
      <c r="B998" t="s">
        <v>852</v>
      </c>
      <c r="C998">
        <v>9390000</v>
      </c>
      <c r="D998">
        <v>9390000</v>
      </c>
      <c r="E998" t="s">
        <v>853</v>
      </c>
      <c r="F998" t="s">
        <v>1051</v>
      </c>
      <c r="G998" t="str">
        <f>_xlfn.TEXTJOIN(",",TRUE,_xlfn._xlws.FILTER(GPU_brand[GPU brand], (GPU_brand[GPU brand text]&lt;&gt;"") * ISNUMBER(SEARCH(GPU_brand[GPU brand text], B998)), ""))</f>
        <v>Colorful</v>
      </c>
      <c r="H998" t="str">
        <f>_xlfn.TEXTJOIN(",",TRUE,_xlfn._xlws.FILTER(Chipset_Table[Chipset], (Chipset_Table[Chipset text]&lt;&gt;"") * ISNUMBER(SEARCH(Chipset_Table[Chipset text], B998)), ""))</f>
        <v>GeForce RTX 5060</v>
      </c>
      <c r="I998" t="str">
        <f>_xlfn.TEXTJOIN(",",TRUE,_xlfn._xlws.FILTER(VRAM_table[Video memory], (VRAM_table[Video memory text]&lt;&gt;"") * ISNUMBER(SEARCH(VRAM_table[Video memory text], B998)), ""))</f>
        <v>8GB,8GB</v>
      </c>
    </row>
    <row r="999" spans="1:9" hidden="1" x14ac:dyDescent="0.35">
      <c r="A999" t="s">
        <v>782</v>
      </c>
      <c r="B999" t="s">
        <v>874</v>
      </c>
      <c r="C999">
        <v>6990000</v>
      </c>
      <c r="D999">
        <v>6990000</v>
      </c>
      <c r="E999" t="s">
        <v>875</v>
      </c>
      <c r="F999" t="s">
        <v>1051</v>
      </c>
      <c r="G999" t="str">
        <f>_xlfn.TEXTJOIN(",",TRUE,_xlfn._xlws.FILTER(GPU_brand[GPU brand], (GPU_brand[GPU brand text]&lt;&gt;"") * ISNUMBER(SEARCH(GPU_brand[GPU brand text], B999)), ""))</f>
        <v>MSI</v>
      </c>
      <c r="H999" t="str">
        <f>_xlfn.TEXTJOIN(",",TRUE,_xlfn._xlws.FILTER(Chipset_Table[Chipset], (Chipset_Table[Chipset text]&lt;&gt;"") * ISNUMBER(SEARCH(Chipset_Table[Chipset text], B999)), ""))</f>
        <v>GeForce RTX 3050</v>
      </c>
      <c r="I999" t="str">
        <f>_xlfn.TEXTJOIN(",",TRUE,_xlfn._xlws.FILTER(VRAM_table[Video memory], (VRAM_table[Video memory text]&lt;&gt;"") * ISNUMBER(SEARCH(VRAM_table[Video memory text], B999)), ""))</f>
        <v>8GB,8GB</v>
      </c>
    </row>
    <row r="1000" spans="1:9" hidden="1" x14ac:dyDescent="0.35">
      <c r="A1000" t="s">
        <v>782</v>
      </c>
      <c r="B1000" t="s">
        <v>886</v>
      </c>
      <c r="C1000">
        <v>3390000</v>
      </c>
      <c r="D1000">
        <v>3390000</v>
      </c>
      <c r="E1000" t="s">
        <v>887</v>
      </c>
      <c r="F1000" t="s">
        <v>1051</v>
      </c>
      <c r="G1000" t="str">
        <f>_xlfn.TEXTJOIN(",",TRUE,_xlfn._xlws.FILTER(GPU_brand[GPU brand], (GPU_brand[GPU brand text]&lt;&gt;"") * ISNUMBER(SEARCH(GPU_brand[GPU brand text], B1000)), ""))</f>
        <v>T-WOLF</v>
      </c>
      <c r="H1000" t="str">
        <f>_xlfn.TEXTJOIN(",",TRUE,_xlfn._xlws.FILTER(Chipset_Table[Chipset], (Chipset_Table[Chipset text]&lt;&gt;"") * ISNUMBER(SEARCH(Chipset_Table[Chipset text], B1000)), ""))</f>
        <v>RX 580</v>
      </c>
      <c r="I1000" t="str">
        <f>_xlfn.TEXTJOIN(",",TRUE,_xlfn._xlws.FILTER(VRAM_table[Video memory], (VRAM_table[Video memory text]&lt;&gt;"") * ISNUMBER(SEARCH(VRAM_table[Video memory text], B1000)), ""))</f>
        <v>8GB,8GB</v>
      </c>
    </row>
    <row r="1001" spans="1:9" hidden="1" x14ac:dyDescent="0.35">
      <c r="A1001" t="s">
        <v>782</v>
      </c>
      <c r="B1001" t="s">
        <v>844</v>
      </c>
      <c r="C1001">
        <v>15790000</v>
      </c>
      <c r="D1001">
        <v>15790000</v>
      </c>
      <c r="E1001" t="s">
        <v>845</v>
      </c>
      <c r="F1001" t="s">
        <v>1051</v>
      </c>
      <c r="G1001" t="str">
        <f>_xlfn.TEXTJOIN(",",TRUE,_xlfn._xlws.FILTER(GPU_brand[GPU brand], (GPU_brand[GPU brand text]&lt;&gt;"") * ISNUMBER(SEARCH(GPU_brand[GPU brand text], B1001)), ""))</f>
        <v>ZOTAC</v>
      </c>
      <c r="H1001" t="str">
        <f>_xlfn.TEXTJOIN(",",TRUE,_xlfn._xlws.FILTER(Chipset_Table[Chipset], (Chipset_Table[Chipset text]&lt;&gt;"") * ISNUMBER(SEARCH(Chipset_Table[Chipset text], B1001)), ""))</f>
        <v>GeForce RTX 5060,GeForce RTX 5060 Ti,RTX 5060 Ti</v>
      </c>
      <c r="I1001" t="str">
        <f>_xlfn.TEXTJOIN(",",TRUE,_xlfn._xlws.FILTER(VRAM_table[Video memory], (VRAM_table[Video memory text]&lt;&gt;"") * ISNUMBER(SEARCH(VRAM_table[Video memory text], B1001)), ""))</f>
        <v>16GB,16GB,6GB,6GB</v>
      </c>
    </row>
    <row r="1002" spans="1:9" hidden="1" x14ac:dyDescent="0.35">
      <c r="A1002" t="s">
        <v>782</v>
      </c>
      <c r="B1002" t="s">
        <v>880</v>
      </c>
      <c r="C1002">
        <v>8890000</v>
      </c>
      <c r="D1002">
        <v>8890000</v>
      </c>
      <c r="E1002" t="s">
        <v>881</v>
      </c>
      <c r="F1002" t="s">
        <v>1051</v>
      </c>
      <c r="G1002" t="str">
        <f>_xlfn.TEXTJOIN(",",TRUE,_xlfn._xlws.FILTER(GPU_brand[GPU brand], (GPU_brand[GPU brand text]&lt;&gt;"") * ISNUMBER(SEARCH(GPU_brand[GPU brand text], B1002)), ""))</f>
        <v>MSI</v>
      </c>
      <c r="H1002" t="str">
        <f>_xlfn.TEXTJOIN(",",TRUE,_xlfn._xlws.FILTER(Chipset_Table[Chipset], (Chipset_Table[Chipset text]&lt;&gt;"") * ISNUMBER(SEARCH(Chipset_Table[Chipset text], B1002)), ""))</f>
        <v>GEFORCE RTX 5050,RTX 5050</v>
      </c>
      <c r="I1002" t="str">
        <f>_xlfn.TEXTJOIN(",",TRUE,_xlfn._xlws.FILTER(VRAM_table[Video memory], (VRAM_table[Video memory text]&lt;&gt;"") * ISNUMBER(SEARCH(VRAM_table[Video memory text], B1002)), ""))</f>
        <v>8GB,8GB</v>
      </c>
    </row>
    <row r="1003" spans="1:9" hidden="1" x14ac:dyDescent="0.35">
      <c r="A1003" t="s">
        <v>782</v>
      </c>
      <c r="B1003" t="s">
        <v>878</v>
      </c>
      <c r="C1003">
        <v>19190000</v>
      </c>
      <c r="D1003">
        <v>19190000</v>
      </c>
      <c r="E1003" t="s">
        <v>879</v>
      </c>
      <c r="F1003" t="s">
        <v>1051</v>
      </c>
      <c r="G1003" t="str">
        <f>_xlfn.TEXTJOIN(",",TRUE,_xlfn._xlws.FILTER(GPU_brand[GPU brand], (GPU_brand[GPU brand text]&lt;&gt;"") * ISNUMBER(SEARCH(GPU_brand[GPU brand text], B1003)), ""))</f>
        <v>Palit</v>
      </c>
      <c r="H1003" t="str">
        <f>_xlfn.TEXTJOIN(",",TRUE,_xlfn._xlws.FILTER(Chipset_Table[Chipset], (Chipset_Table[Chipset text]&lt;&gt;"") * ISNUMBER(SEARCH(Chipset_Table[Chipset text], B1003)), ""))</f>
        <v>GeForce RTX 5070,RTX 5070</v>
      </c>
      <c r="I1003" t="str">
        <f>_xlfn.TEXTJOIN(",",TRUE,_xlfn._xlws.FILTER(VRAM_table[Video memory], (VRAM_table[Video memory text]&lt;&gt;"") * ISNUMBER(SEARCH(VRAM_table[Video memory text], B1003)), ""))</f>
        <v>12GB,2GB</v>
      </c>
    </row>
    <row r="1004" spans="1:9" hidden="1" x14ac:dyDescent="0.35">
      <c r="A1004" t="s">
        <v>782</v>
      </c>
      <c r="B1004" t="s">
        <v>834</v>
      </c>
      <c r="C1004">
        <v>7290000</v>
      </c>
      <c r="D1004">
        <v>7290000</v>
      </c>
      <c r="E1004" t="s">
        <v>835</v>
      </c>
      <c r="F1004" t="s">
        <v>1051</v>
      </c>
      <c r="G1004" t="str">
        <f>_xlfn.TEXTJOIN(",",TRUE,_xlfn._xlws.FILTER(GPU_brand[GPU brand], (GPU_brand[GPU brand text]&lt;&gt;"") * ISNUMBER(SEARCH(GPU_brand[GPU brand text], B1004)), ""))</f>
        <v>ZOTAC</v>
      </c>
      <c r="H1004" t="str">
        <f>_xlfn.TEXTJOIN(",",TRUE,_xlfn._xlws.FILTER(Chipset_Table[Chipset], (Chipset_Table[Chipset text]&lt;&gt;"") * ISNUMBER(SEARCH(Chipset_Table[Chipset text], B1004)), ""))</f>
        <v>GEFORCE RTX 5050,RTX 5050</v>
      </c>
      <c r="I1004" t="str">
        <f>_xlfn.TEXTJOIN(",",TRUE,_xlfn._xlws.FILTER(VRAM_table[Video memory], (VRAM_table[Video memory text]&lt;&gt;"") * ISNUMBER(SEARCH(VRAM_table[Video memory text], B1004)), ""))</f>
        <v>8GB,8GB</v>
      </c>
    </row>
    <row r="1005" spans="1:9" hidden="1" x14ac:dyDescent="0.35">
      <c r="A1005" t="s">
        <v>782</v>
      </c>
      <c r="B1005" t="s">
        <v>892</v>
      </c>
      <c r="C1005">
        <v>12050000</v>
      </c>
      <c r="D1005">
        <v>12050000</v>
      </c>
      <c r="E1005" t="s">
        <v>893</v>
      </c>
      <c r="F1005" t="s">
        <v>1051</v>
      </c>
      <c r="G1005" t="str">
        <f>_xlfn.TEXTJOIN(",",TRUE,_xlfn._xlws.FILTER(GPU_brand[GPU brand], (GPU_brand[GPU brand text]&lt;&gt;"") * ISNUMBER(SEARCH(GPU_brand[GPU brand text], B1005)), ""))</f>
        <v>MSI</v>
      </c>
      <c r="H1005" t="str">
        <f>_xlfn.TEXTJOIN(",",TRUE,_xlfn._xlws.FILTER(Chipset_Table[Chipset], (Chipset_Table[Chipset text]&lt;&gt;"") * ISNUMBER(SEARCH(Chipset_Table[Chipset text], B1005)), ""))</f>
        <v>RTX 5060 Ti</v>
      </c>
      <c r="I1005" t="str">
        <f>_xlfn.TEXTJOIN(",",TRUE,_xlfn._xlws.FILTER(VRAM_table[Video memory], (VRAM_table[Video memory text]&lt;&gt;"") * ISNUMBER(SEARCH(VRAM_table[Video memory text], B1005)), ""))</f>
        <v>8GB,8GB</v>
      </c>
    </row>
    <row r="1006" spans="1:9" hidden="1" x14ac:dyDescent="0.35">
      <c r="A1006" t="s">
        <v>782</v>
      </c>
      <c r="B1006" t="s">
        <v>1058</v>
      </c>
      <c r="C1006">
        <v>3290000</v>
      </c>
      <c r="D1006">
        <v>3290000</v>
      </c>
      <c r="E1006" t="s">
        <v>1059</v>
      </c>
      <c r="F1006" t="s">
        <v>1051</v>
      </c>
      <c r="G1006" t="str">
        <f>_xlfn.TEXTJOIN(",",TRUE,_xlfn._xlws.FILTER(GPU_brand[GPU brand], (GPU_brand[GPU brand text]&lt;&gt;"") * ISNUMBER(SEARCH(GPU_brand[GPU brand text], B1006)), ""))</f>
        <v>T-WOLF</v>
      </c>
      <c r="H1006" t="str">
        <f>_xlfn.TEXTJOIN(",",TRUE,_xlfn._xlws.FILTER(Chipset_Table[Chipset], (Chipset_Table[Chipset text]&lt;&gt;"") * ISNUMBER(SEARCH(Chipset_Table[Chipset text], B1006)), ""))</f>
        <v>GeForce GTX 1050</v>
      </c>
      <c r="I1006" t="str">
        <f>_xlfn.TEXTJOIN(",",TRUE,_xlfn._xlws.FILTER(VRAM_table[Video memory], (VRAM_table[Video memory text]&lt;&gt;"") * ISNUMBER(SEARCH(VRAM_table[Video memory text], B1006)), ""))</f>
        <v>4GB,4GB</v>
      </c>
    </row>
    <row r="1007" spans="1:9" hidden="1" x14ac:dyDescent="0.35">
      <c r="A1007" t="s">
        <v>782</v>
      </c>
      <c r="B1007" t="s">
        <v>888</v>
      </c>
      <c r="C1007">
        <v>2790000</v>
      </c>
      <c r="D1007">
        <v>2790000</v>
      </c>
      <c r="E1007" t="s">
        <v>889</v>
      </c>
      <c r="F1007" t="s">
        <v>1051</v>
      </c>
      <c r="G1007" t="str">
        <f>_xlfn.TEXTJOIN(",",TRUE,_xlfn._xlws.FILTER(GPU_brand[GPU brand], (GPU_brand[GPU brand text]&lt;&gt;"") * ISNUMBER(SEARCH(GPU_brand[GPU brand text], B1007)), ""))</f>
        <v>ARK</v>
      </c>
      <c r="H1007" t="str">
        <f>_xlfn.TEXTJOIN(",",TRUE,_xlfn._xlws.FILTER(Chipset_Table[Chipset], (Chipset_Table[Chipset text]&lt;&gt;"") * ISNUMBER(SEARCH(Chipset_Table[Chipset text], B1007)), ""))</f>
        <v>RX 550</v>
      </c>
      <c r="I1007" t="str">
        <f>_xlfn.TEXTJOIN(",",TRUE,_xlfn._xlws.FILTER(VRAM_table[Video memory], (VRAM_table[Video memory text]&lt;&gt;"") * ISNUMBER(SEARCH(VRAM_table[Video memory text], B1007)), ""))</f>
        <v>8GB,8GB</v>
      </c>
    </row>
    <row r="1008" spans="1:9" hidden="1" x14ac:dyDescent="0.35">
      <c r="A1008" t="s">
        <v>782</v>
      </c>
      <c r="B1008" t="s">
        <v>942</v>
      </c>
      <c r="C1008">
        <v>2990000</v>
      </c>
      <c r="D1008">
        <v>2990000</v>
      </c>
      <c r="E1008" t="s">
        <v>943</v>
      </c>
      <c r="F1008" t="s">
        <v>1051</v>
      </c>
      <c r="G1008" t="str">
        <f>_xlfn.TEXTJOIN(",",TRUE,_xlfn._xlws.FILTER(GPU_brand[GPU brand], (GPU_brand[GPU brand text]&lt;&gt;"") * ISNUMBER(SEARCH(GPU_brand[GPU brand text], B1008)), ""))</f>
        <v>T-WOLF</v>
      </c>
      <c r="H1008" t="str">
        <f>_xlfn.TEXTJOIN(",",TRUE,_xlfn._xlws.FILTER(Chipset_Table[Chipset], (Chipset_Table[Chipset text]&lt;&gt;"") * ISNUMBER(SEARCH(Chipset_Table[Chipset text], B1008)), ""))</f>
        <v>GeForce GTX 1060</v>
      </c>
      <c r="I1008" t="str">
        <f>_xlfn.TEXTJOIN(",",TRUE,_xlfn._xlws.FILTER(VRAM_table[Video memory], (VRAM_table[Video memory text]&lt;&gt;"") * ISNUMBER(SEARCH(VRAM_table[Video memory text], B1008)), ""))</f>
        <v>3GB</v>
      </c>
    </row>
    <row r="1009" spans="1:9" hidden="1" x14ac:dyDescent="0.35">
      <c r="A1009" t="s">
        <v>782</v>
      </c>
      <c r="B1009" t="s">
        <v>882</v>
      </c>
      <c r="C1009">
        <v>32690000</v>
      </c>
      <c r="D1009">
        <v>32690000</v>
      </c>
      <c r="E1009" t="s">
        <v>883</v>
      </c>
      <c r="F1009" t="s">
        <v>1051</v>
      </c>
      <c r="G1009" t="str">
        <f>_xlfn.TEXTJOIN(",",TRUE,_xlfn._xlws.FILTER(GPU_brand[GPU brand], (GPU_brand[GPU brand text]&lt;&gt;"") * ISNUMBER(SEARCH(GPU_brand[GPU brand text], B1009)), ""))</f>
        <v>ZOTAC</v>
      </c>
      <c r="H1009" t="str">
        <f>_xlfn.TEXTJOIN(",",TRUE,_xlfn._xlws.FILTER(Chipset_Table[Chipset], (Chipset_Table[Chipset text]&lt;&gt;"") * ISNUMBER(SEARCH(Chipset_Table[Chipset text], B1009)), ""))</f>
        <v>GeForce RTX 5080,RTX 5080</v>
      </c>
      <c r="I1009" t="str">
        <f>_xlfn.TEXTJOIN(",",TRUE,_xlfn._xlws.FILTER(VRAM_table[Video memory], (VRAM_table[Video memory text]&lt;&gt;"") * ISNUMBER(SEARCH(VRAM_table[Video memory text], B1009)), ""))</f>
        <v>16GB,16GB,6GB,6GB</v>
      </c>
    </row>
    <row r="1010" spans="1:9" hidden="1" x14ac:dyDescent="0.35">
      <c r="A1010" t="s">
        <v>782</v>
      </c>
      <c r="B1010" t="s">
        <v>896</v>
      </c>
      <c r="C1010">
        <v>16090000</v>
      </c>
      <c r="D1010">
        <v>16090000</v>
      </c>
      <c r="E1010" t="s">
        <v>897</v>
      </c>
      <c r="F1010" t="s">
        <v>1051</v>
      </c>
      <c r="G1010" t="str">
        <f>_xlfn.TEXTJOIN(",",TRUE,_xlfn._xlws.FILTER(GPU_brand[GPU brand], (GPU_brand[GPU brand text]&lt;&gt;"") * ISNUMBER(SEARCH(GPU_brand[GPU brand text], B1010)), ""))</f>
        <v>INNO3D</v>
      </c>
      <c r="H1010" t="str">
        <f>_xlfn.TEXTJOIN(",",TRUE,_xlfn._xlws.FILTER(Chipset_Table[Chipset], (Chipset_Table[Chipset text]&lt;&gt;"") * ISNUMBER(SEARCH(Chipset_Table[Chipset text], B1010)), ""))</f>
        <v>GeForce RTX 5060,GeForce RTX 5060 Ti,RTX 5060 Ti</v>
      </c>
      <c r="I1010" t="str">
        <f>_xlfn.TEXTJOIN(",",TRUE,_xlfn._xlws.FILTER(VRAM_table[Video memory], (VRAM_table[Video memory text]&lt;&gt;"") * ISNUMBER(SEARCH(VRAM_table[Video memory text], B1010)), ""))</f>
        <v>16GB,16GB,6GB,6GB</v>
      </c>
    </row>
    <row r="1011" spans="1:9" hidden="1" x14ac:dyDescent="0.35">
      <c r="A1011" t="s">
        <v>782</v>
      </c>
      <c r="B1011" t="s">
        <v>894</v>
      </c>
      <c r="C1011">
        <v>4790000</v>
      </c>
      <c r="D1011">
        <v>4790000</v>
      </c>
      <c r="E1011" t="s">
        <v>895</v>
      </c>
      <c r="F1011" t="s">
        <v>1051</v>
      </c>
      <c r="G1011" t="str">
        <f>_xlfn.TEXTJOIN(",",TRUE,_xlfn._xlws.FILTER(GPU_brand[GPU brand], (GPU_brand[GPU brand text]&lt;&gt;"") * ISNUMBER(SEARCH(GPU_brand[GPU brand text], B1011)), ""))</f>
        <v>ARK</v>
      </c>
      <c r="H1011" t="str">
        <f>_xlfn.TEXTJOIN(",",TRUE,_xlfn._xlws.FILTER(Chipset_Table[Chipset], (Chipset_Table[Chipset text]&lt;&gt;"") * ISNUMBER(SEARCH(Chipset_Table[Chipset text], B1011)), ""))</f>
        <v xml:space="preserve"> GTX 1660 Super</v>
      </c>
      <c r="I1011" t="str">
        <f>_xlfn.TEXTJOIN(",",TRUE,_xlfn._xlws.FILTER(VRAM_table[Video memory], (VRAM_table[Video memory text]&lt;&gt;"") * ISNUMBER(SEARCH(VRAM_table[Video memory text], B1011)), ""))</f>
        <v>6GB,6GB</v>
      </c>
    </row>
    <row r="1012" spans="1:9" hidden="1" x14ac:dyDescent="0.35">
      <c r="A1012" t="s">
        <v>782</v>
      </c>
      <c r="B1012" t="s">
        <v>908</v>
      </c>
      <c r="C1012">
        <v>13690000</v>
      </c>
      <c r="D1012">
        <v>13690000</v>
      </c>
      <c r="E1012" t="s">
        <v>909</v>
      </c>
      <c r="F1012" t="s">
        <v>1051</v>
      </c>
      <c r="G1012" t="str">
        <f>_xlfn.TEXTJOIN(",",TRUE,_xlfn._xlws.FILTER(GPU_brand[GPU brand], (GPU_brand[GPU brand text]&lt;&gt;"") * ISNUMBER(SEARCH(GPU_brand[GPU brand text], B1012)), ""))</f>
        <v>Leadtek</v>
      </c>
      <c r="H1012" t="str">
        <f>_xlfn.TEXTJOIN(",",TRUE,_xlfn._xlws.FILTER(Chipset_Table[Chipset], (Chipset_Table[Chipset text]&lt;&gt;"") * ISNUMBER(SEARCH(Chipset_Table[Chipset text], B1012)), ""))</f>
        <v>RTX A1000</v>
      </c>
      <c r="I1012" t="str">
        <f>_xlfn.TEXTJOIN(",",TRUE,_xlfn._xlws.FILTER(VRAM_table[Video memory], (VRAM_table[Video memory text]&lt;&gt;"") * ISNUMBER(SEARCH(VRAM_table[Video memory text], B1012)), ""))</f>
        <v>8GB,8GB</v>
      </c>
    </row>
    <row r="1013" spans="1:9" hidden="1" x14ac:dyDescent="0.35">
      <c r="A1013" t="s">
        <v>782</v>
      </c>
      <c r="B1013" t="s">
        <v>997</v>
      </c>
      <c r="C1013">
        <v>5290000</v>
      </c>
      <c r="D1013">
        <v>5290000</v>
      </c>
      <c r="E1013" t="s">
        <v>998</v>
      </c>
      <c r="F1013" t="s">
        <v>1051</v>
      </c>
      <c r="G1013" t="str">
        <f>_xlfn.TEXTJOIN(",",TRUE,_xlfn._xlws.FILTER(GPU_brand[GPU brand], (GPU_brand[GPU brand text]&lt;&gt;"") * ISNUMBER(SEARCH(GPU_brand[GPU brand text], B1013)), ""))</f>
        <v>Leadtek</v>
      </c>
      <c r="H1013" t="str">
        <f>_xlfn.TEXTJOIN(",",TRUE,_xlfn._xlws.FILTER(Chipset_Table[Chipset], (Chipset_Table[Chipset text]&lt;&gt;"") * ISNUMBER(SEARCH(Chipset_Table[Chipset text], B1013)), ""))</f>
        <v>RTX A400</v>
      </c>
      <c r="I1013" t="str">
        <f>_xlfn.TEXTJOIN(",",TRUE,_xlfn._xlws.FILTER(VRAM_table[Video memory], (VRAM_table[Video memory text]&lt;&gt;"") * ISNUMBER(SEARCH(VRAM_table[Video memory text], B1013)), ""))</f>
        <v>4GB,4GB</v>
      </c>
    </row>
    <row r="1014" spans="1:9" hidden="1" x14ac:dyDescent="0.35">
      <c r="A1014" t="s">
        <v>782</v>
      </c>
      <c r="B1014" t="s">
        <v>900</v>
      </c>
      <c r="C1014">
        <v>13790000</v>
      </c>
      <c r="D1014">
        <v>13790000</v>
      </c>
      <c r="E1014" t="s">
        <v>901</v>
      </c>
      <c r="F1014" t="s">
        <v>1051</v>
      </c>
      <c r="G1014" t="str">
        <f>_xlfn.TEXTJOIN(",",TRUE,_xlfn._xlws.FILTER(GPU_brand[GPU brand], (GPU_brand[GPU brand text]&lt;&gt;"") * ISNUMBER(SEARCH(GPU_brand[GPU brand text], B1014)), ""))</f>
        <v>ASUS</v>
      </c>
      <c r="H1014" t="str">
        <f>_xlfn.TEXTJOIN(",",TRUE,_xlfn._xlws.FILTER(Chipset_Table[Chipset], (Chipset_Table[Chipset text]&lt;&gt;"") * ISNUMBER(SEARCH(Chipset_Table[Chipset text], B1014)), ""))</f>
        <v>RX 9060 XT</v>
      </c>
      <c r="I1014" t="str">
        <f>_xlfn.TEXTJOIN(",",TRUE,_xlfn._xlws.FILTER(VRAM_table[Video memory], (VRAM_table[Video memory text]&lt;&gt;"") * ISNUMBER(SEARCH(VRAM_table[Video memory text], B1014)), ""))</f>
        <v>16GB,16GB,6GB,6GB</v>
      </c>
    </row>
    <row r="1015" spans="1:9" hidden="1" x14ac:dyDescent="0.35">
      <c r="A1015" t="s">
        <v>782</v>
      </c>
      <c r="B1015" t="s">
        <v>914</v>
      </c>
      <c r="C1015">
        <v>17290000</v>
      </c>
      <c r="D1015">
        <v>17290000</v>
      </c>
      <c r="E1015" t="s">
        <v>915</v>
      </c>
      <c r="F1015" t="s">
        <v>1051</v>
      </c>
      <c r="G1015" t="str">
        <f>_xlfn.TEXTJOIN(",",TRUE,_xlfn._xlws.FILTER(GPU_brand[GPU brand], (GPU_brand[GPU brand text]&lt;&gt;"") * ISNUMBER(SEARCH(GPU_brand[GPU brand text], B1015)), ""))</f>
        <v>Colorful</v>
      </c>
      <c r="H1015" t="str">
        <f>_xlfn.TEXTJOIN(",",TRUE,_xlfn._xlws.FILTER(Chipset_Table[Chipset], (Chipset_Table[Chipset text]&lt;&gt;"") * ISNUMBER(SEARCH(Chipset_Table[Chipset text], B1015)), ""))</f>
        <v>GeForce RTX 5060,GeForce RTX 5060 Ti,RTX 5060 Ti</v>
      </c>
      <c r="I1015" t="str">
        <f>_xlfn.TEXTJOIN(",",TRUE,_xlfn._xlws.FILTER(VRAM_table[Video memory], (VRAM_table[Video memory text]&lt;&gt;"") * ISNUMBER(SEARCH(VRAM_table[Video memory text], B1015)), ""))</f>
        <v>16GB,16GB,6GB,6GB</v>
      </c>
    </row>
    <row r="1016" spans="1:9" hidden="1" x14ac:dyDescent="0.35">
      <c r="A1016" t="s">
        <v>782</v>
      </c>
      <c r="B1016" t="s">
        <v>920</v>
      </c>
      <c r="C1016">
        <v>36990000</v>
      </c>
      <c r="D1016">
        <v>36990000</v>
      </c>
      <c r="E1016" t="s">
        <v>921</v>
      </c>
      <c r="F1016" t="s">
        <v>1051</v>
      </c>
      <c r="G1016" t="str">
        <f>_xlfn.TEXTJOIN(",",TRUE,_xlfn._xlws.FILTER(GPU_brand[GPU brand], (GPU_brand[GPU brand text]&lt;&gt;"") * ISNUMBER(SEARCH(GPU_brand[GPU brand text], B1016)), ""))</f>
        <v>INNO3D</v>
      </c>
      <c r="H1016" t="str">
        <f>_xlfn.TEXTJOIN(",",TRUE,_xlfn._xlws.FILTER(Chipset_Table[Chipset], (Chipset_Table[Chipset text]&lt;&gt;"") * ISNUMBER(SEARCH(Chipset_Table[Chipset text], B1016)), ""))</f>
        <v>RTX 5080</v>
      </c>
      <c r="I1016" t="str">
        <f>_xlfn.TEXTJOIN(",",TRUE,_xlfn._xlws.FILTER(VRAM_table[Video memory], (VRAM_table[Video memory text]&lt;&gt;"") * ISNUMBER(SEARCH(VRAM_table[Video memory text], B1016)), ""))</f>
        <v>16GB</v>
      </c>
    </row>
    <row r="1017" spans="1:9" hidden="1" x14ac:dyDescent="0.35">
      <c r="A1017" t="s">
        <v>782</v>
      </c>
      <c r="B1017" t="s">
        <v>916</v>
      </c>
      <c r="C1017">
        <v>10990000</v>
      </c>
      <c r="D1017">
        <v>10990000</v>
      </c>
      <c r="E1017" t="s">
        <v>917</v>
      </c>
      <c r="F1017" t="s">
        <v>1051</v>
      </c>
      <c r="G1017" t="str">
        <f>_xlfn.TEXTJOIN(",",TRUE,_xlfn._xlws.FILTER(GPU_brand[GPU brand], (GPU_brand[GPU brand text]&lt;&gt;"") * ISNUMBER(SEARCH(GPU_brand[GPU brand text], B1017)), ""))</f>
        <v>Gigabyte</v>
      </c>
      <c r="H1017" t="str">
        <f>_xlfn.TEXTJOIN(",",TRUE,_xlfn._xlws.FILTER(Chipset_Table[Chipset], (Chipset_Table[Chipset text]&lt;&gt;"") * ISNUMBER(SEARCH(Chipset_Table[Chipset text], B1017)), ""))</f>
        <v>GeForce RTX 5060,GeForce RTX 5060 Ti,RTX 5060 Ti</v>
      </c>
      <c r="I1017" t="str">
        <f>_xlfn.TEXTJOIN(",",TRUE,_xlfn._xlws.FILTER(VRAM_table[Video memory], (VRAM_table[Video memory text]&lt;&gt;"") * ISNUMBER(SEARCH(VRAM_table[Video memory text], B1017)), ""))</f>
        <v>8GB,8GB</v>
      </c>
    </row>
    <row r="1018" spans="1:9" hidden="1" x14ac:dyDescent="0.35">
      <c r="A1018" t="s">
        <v>782</v>
      </c>
      <c r="B1018" t="s">
        <v>904</v>
      </c>
      <c r="C1018">
        <v>15990000</v>
      </c>
      <c r="D1018">
        <v>15990000</v>
      </c>
      <c r="E1018" t="s">
        <v>905</v>
      </c>
      <c r="F1018" t="s">
        <v>1051</v>
      </c>
      <c r="G1018" t="str">
        <f>_xlfn.TEXTJOIN(",",TRUE,_xlfn._xlws.FILTER(GPU_brand[GPU brand], (GPU_brand[GPU brand text]&lt;&gt;"") * ISNUMBER(SEARCH(GPU_brand[GPU brand text], B1018)), ""))</f>
        <v>Colorful</v>
      </c>
      <c r="H1018" t="str">
        <f>_xlfn.TEXTJOIN(",",TRUE,_xlfn._xlws.FILTER(Chipset_Table[Chipset], (Chipset_Table[Chipset text]&lt;&gt;"") * ISNUMBER(SEARCH(Chipset_Table[Chipset text], B1018)), ""))</f>
        <v>GeForce RTX 5060,GeForce RTX 5060 Ti,RTX 5060 Ti</v>
      </c>
      <c r="I1018" t="str">
        <f>_xlfn.TEXTJOIN(",",TRUE,_xlfn._xlws.FILTER(VRAM_table[Video memory], (VRAM_table[Video memory text]&lt;&gt;"") * ISNUMBER(SEARCH(VRAM_table[Video memory text], B1018)), ""))</f>
        <v>16GB,16GB,6GB,6GB</v>
      </c>
    </row>
    <row r="1019" spans="1:9" hidden="1" x14ac:dyDescent="0.35">
      <c r="A1019" t="s">
        <v>782</v>
      </c>
      <c r="B1019" t="s">
        <v>890</v>
      </c>
      <c r="C1019">
        <v>1090000</v>
      </c>
      <c r="D1019">
        <v>1090000</v>
      </c>
      <c r="E1019" t="s">
        <v>891</v>
      </c>
      <c r="F1019" t="s">
        <v>1051</v>
      </c>
      <c r="G1019" t="str">
        <f>_xlfn.TEXTJOIN(",",TRUE,_xlfn._xlws.FILTER(GPU_brand[GPU brand], (GPU_brand[GPU brand text]&lt;&gt;"") * ISNUMBER(SEARCH(GPU_brand[GPU brand text], B1019)), ""))</f>
        <v>ASUS</v>
      </c>
      <c r="H1019" t="str">
        <f>_xlfn.TEXTJOIN(",",TRUE,_xlfn._xlws.FILTER(Chipset_Table[Chipset], (Chipset_Table[Chipset text]&lt;&gt;"") * ISNUMBER(SEARCH(Chipset_Table[Chipset text], B1019)), ""))</f>
        <v>GeForce GT 710</v>
      </c>
      <c r="I1019" t="str">
        <f>_xlfn.TEXTJOIN(",",TRUE,_xlfn._xlws.FILTER(VRAM_table[Video memory], (VRAM_table[Video memory text]&lt;&gt;"") * ISNUMBER(SEARCH(VRAM_table[Video memory text], B1019)), ""))</f>
        <v>2GB</v>
      </c>
    </row>
    <row r="1020" spans="1:9" hidden="1" x14ac:dyDescent="0.35">
      <c r="A1020" t="s">
        <v>782</v>
      </c>
      <c r="B1020" t="s">
        <v>906</v>
      </c>
      <c r="C1020">
        <v>10590000</v>
      </c>
      <c r="D1020">
        <v>10590000</v>
      </c>
      <c r="E1020" t="s">
        <v>907</v>
      </c>
      <c r="F1020" t="s">
        <v>1051</v>
      </c>
      <c r="G1020" t="str">
        <f>_xlfn.TEXTJOIN(",",TRUE,_xlfn._xlws.FILTER(GPU_brand[GPU brand], (GPU_brand[GPU brand text]&lt;&gt;"") * ISNUMBER(SEARCH(GPU_brand[GPU brand text], B1020)), ""))</f>
        <v>MSI</v>
      </c>
      <c r="H1020" t="str">
        <f>_xlfn.TEXTJOIN(",",TRUE,_xlfn._xlws.FILTER(Chipset_Table[Chipset], (Chipset_Table[Chipset text]&lt;&gt;"") * ISNUMBER(SEARCH(Chipset_Table[Chipset text], B1020)), ""))</f>
        <v>GeForce RTX 5060</v>
      </c>
      <c r="I1020" t="str">
        <f>_xlfn.TEXTJOIN(",",TRUE,_xlfn._xlws.FILTER(VRAM_table[Video memory], (VRAM_table[Video memory text]&lt;&gt;"") * ISNUMBER(SEARCH(VRAM_table[Video memory text], B1020)), ""))</f>
        <v>8GB,8GB</v>
      </c>
    </row>
    <row r="1021" spans="1:9" hidden="1" x14ac:dyDescent="0.35">
      <c r="A1021" t="s">
        <v>782</v>
      </c>
      <c r="B1021" t="s">
        <v>884</v>
      </c>
      <c r="C1021">
        <v>17849000</v>
      </c>
      <c r="D1021">
        <v>17849000</v>
      </c>
      <c r="E1021" t="s">
        <v>885</v>
      </c>
      <c r="F1021" t="s">
        <v>1051</v>
      </c>
      <c r="G1021" t="str">
        <f>_xlfn.TEXTJOIN(",",TRUE,_xlfn._xlws.FILTER(GPU_brand[GPU brand], (GPU_brand[GPU brand text]&lt;&gt;"") * ISNUMBER(SEARCH(GPU_brand[GPU brand text], B1021)), ""))</f>
        <v>Gigabyte</v>
      </c>
      <c r="H1021" t="str">
        <f>_xlfn.TEXTJOIN(",",TRUE,_xlfn._xlws.FILTER(Chipset_Table[Chipset], (Chipset_Table[Chipset text]&lt;&gt;"") * ISNUMBER(SEARCH(Chipset_Table[Chipset text], B1021)), ""))</f>
        <v>RTX 5070</v>
      </c>
      <c r="I1021" t="str">
        <f>_xlfn.TEXTJOIN(",",TRUE,_xlfn._xlws.FILTER(VRAM_table[Video memory], (VRAM_table[Video memory text]&lt;&gt;"") * ISNUMBER(SEARCH(VRAM_table[Video memory text], B1021)), ""))</f>
        <v>12GB,2GB</v>
      </c>
    </row>
    <row r="1022" spans="1:9" hidden="1" x14ac:dyDescent="0.35">
      <c r="A1022" t="s">
        <v>782</v>
      </c>
      <c r="B1022" t="s">
        <v>910</v>
      </c>
      <c r="C1022">
        <v>37990000</v>
      </c>
      <c r="D1022">
        <v>37990000</v>
      </c>
      <c r="E1022" t="s">
        <v>911</v>
      </c>
      <c r="F1022" t="s">
        <v>1051</v>
      </c>
      <c r="G1022" t="str">
        <f>_xlfn.TEXTJOIN(",",TRUE,_xlfn._xlws.FILTER(GPU_brand[GPU brand], (GPU_brand[GPU brand text]&lt;&gt;"") * ISNUMBER(SEARCH(GPU_brand[GPU brand text], B1022)), ""))</f>
        <v>Gigabyte</v>
      </c>
      <c r="H1022" t="str">
        <f>_xlfn.TEXTJOIN(",",TRUE,_xlfn._xlws.FILTER(Chipset_Table[Chipset], (Chipset_Table[Chipset text]&lt;&gt;"") * ISNUMBER(SEARCH(Chipset_Table[Chipset text], B1022)), ""))</f>
        <v>GeForce RTX 5080,RTX 5080</v>
      </c>
      <c r="I1022" t="str">
        <f>_xlfn.TEXTJOIN(",",TRUE,_xlfn._xlws.FILTER(VRAM_table[Video memory], (VRAM_table[Video memory text]&lt;&gt;"") * ISNUMBER(SEARCH(VRAM_table[Video memory text], B1022)), ""))</f>
        <v>16GB,16GB,6GB,6GB</v>
      </c>
    </row>
    <row r="1023" spans="1:9" hidden="1" x14ac:dyDescent="0.35">
      <c r="A1023" t="s">
        <v>782</v>
      </c>
      <c r="B1023" t="s">
        <v>922</v>
      </c>
      <c r="C1023">
        <v>21990000</v>
      </c>
      <c r="D1023">
        <v>21990000</v>
      </c>
      <c r="E1023" t="s">
        <v>923</v>
      </c>
      <c r="F1023" t="s">
        <v>1051</v>
      </c>
      <c r="G1023" t="str">
        <f>_xlfn.TEXTJOIN(",",TRUE,_xlfn._xlws.FILTER(GPU_brand[GPU brand], (GPU_brand[GPU brand text]&lt;&gt;"") * ISNUMBER(SEARCH(GPU_brand[GPU brand text], B1023)), ""))</f>
        <v>ASUS</v>
      </c>
      <c r="H1023" t="str">
        <f>_xlfn.TEXTJOIN(",",TRUE,_xlfn._xlws.FILTER(Chipset_Table[Chipset], (Chipset_Table[Chipset text]&lt;&gt;"") * ISNUMBER(SEARCH(Chipset_Table[Chipset text], B1023)), ""))</f>
        <v>RX 6900 XT</v>
      </c>
      <c r="I1023" t="str">
        <f>_xlfn.TEXTJOIN(",",TRUE,_xlfn._xlws.FILTER(VRAM_table[Video memory], (VRAM_table[Video memory text]&lt;&gt;"") * ISNUMBER(SEARCH(VRAM_table[Video memory text], B1023)), ""))</f>
        <v>16GB,16GB,6GB,6GB</v>
      </c>
    </row>
    <row r="1024" spans="1:9" hidden="1" x14ac:dyDescent="0.35">
      <c r="A1024" t="s">
        <v>782</v>
      </c>
      <c r="B1024" t="s">
        <v>930</v>
      </c>
      <c r="C1024">
        <v>28990000</v>
      </c>
      <c r="D1024">
        <v>28990000</v>
      </c>
      <c r="E1024" t="s">
        <v>931</v>
      </c>
      <c r="F1024" t="s">
        <v>1051</v>
      </c>
      <c r="G1024" t="str">
        <f>_xlfn.TEXTJOIN(",",TRUE,_xlfn._xlws.FILTER(GPU_brand[GPU brand], (GPU_brand[GPU brand text]&lt;&gt;"") * ISNUMBER(SEARCH(GPU_brand[GPU brand text], B1024)), ""))</f>
        <v>Gigabyte</v>
      </c>
      <c r="H1024" t="str">
        <f>_xlfn.TEXTJOIN(",",TRUE,_xlfn._xlws.FILTER(Chipset_Table[Chipset], (Chipset_Table[Chipset text]&lt;&gt;"") * ISNUMBER(SEARCH(Chipset_Table[Chipset text], B1024)), ""))</f>
        <v>GeForce RTX 5070,GeForce RTX 5070 Ti,RTX 5070</v>
      </c>
      <c r="I1024" t="str">
        <f>_xlfn.TEXTJOIN(",",TRUE,_xlfn._xlws.FILTER(VRAM_table[Video memory], (VRAM_table[Video memory text]&lt;&gt;"") * ISNUMBER(SEARCH(VRAM_table[Video memory text], B1024)), ""))</f>
        <v>16GB,16GB,6GB,6GB</v>
      </c>
    </row>
    <row r="1025" spans="1:9" hidden="1" x14ac:dyDescent="0.35">
      <c r="A1025" t="s">
        <v>782</v>
      </c>
      <c r="B1025" t="s">
        <v>918</v>
      </c>
      <c r="C1025">
        <v>12790000</v>
      </c>
      <c r="D1025">
        <v>12790000</v>
      </c>
      <c r="E1025" t="s">
        <v>919</v>
      </c>
      <c r="F1025" t="s">
        <v>1051</v>
      </c>
      <c r="G1025" t="str">
        <f>_xlfn.TEXTJOIN(",",TRUE,_xlfn._xlws.FILTER(GPU_brand[GPU brand], (GPU_brand[GPU brand text]&lt;&gt;"") * ISNUMBER(SEARCH(GPU_brand[GPU brand text], B1025)), ""))</f>
        <v>MSI</v>
      </c>
      <c r="H1025" t="str">
        <f>_xlfn.TEXTJOIN(",",TRUE,_xlfn._xlws.FILTER(Chipset_Table[Chipset], (Chipset_Table[Chipset text]&lt;&gt;"") * ISNUMBER(SEARCH(Chipset_Table[Chipset text], B1025)), ""))</f>
        <v>GeForce RTX 5060,GeForce RTX 5060 Ti,RTX 5060 Ti</v>
      </c>
      <c r="I1025" t="str">
        <f>_xlfn.TEXTJOIN(",",TRUE,_xlfn._xlws.FILTER(VRAM_table[Video memory], (VRAM_table[Video memory text]&lt;&gt;"") * ISNUMBER(SEARCH(VRAM_table[Video memory text], B1025)), ""))</f>
        <v>8GB,8GB</v>
      </c>
    </row>
    <row r="1026" spans="1:9" hidden="1" x14ac:dyDescent="0.35">
      <c r="A1026" t="s">
        <v>782</v>
      </c>
      <c r="B1026" t="s">
        <v>938</v>
      </c>
      <c r="C1026">
        <v>13990000</v>
      </c>
      <c r="D1026">
        <v>13990000</v>
      </c>
      <c r="E1026" t="s">
        <v>939</v>
      </c>
      <c r="F1026" t="s">
        <v>1051</v>
      </c>
      <c r="G1026" t="str">
        <f>_xlfn.TEXTJOIN(",",TRUE,_xlfn._xlws.FILTER(GPU_brand[GPU brand], (GPU_brand[GPU brand text]&lt;&gt;"") * ISNUMBER(SEARCH(GPU_brand[GPU brand text], B1026)), ""))</f>
        <v>Colorful</v>
      </c>
      <c r="H1026" t="str">
        <f>_xlfn.TEXTJOIN(",",TRUE,_xlfn._xlws.FILTER(Chipset_Table[Chipset], (Chipset_Table[Chipset text]&lt;&gt;"") * ISNUMBER(SEARCH(Chipset_Table[Chipset text], B1026)), ""))</f>
        <v>GeForce RTX 5060,GeForce RTX 5060 Ti,RTX 5060 Ti</v>
      </c>
      <c r="I1026" t="str">
        <f>_xlfn.TEXTJOIN(",",TRUE,_xlfn._xlws.FILTER(VRAM_table[Video memory], (VRAM_table[Video memory text]&lt;&gt;"") * ISNUMBER(SEARCH(VRAM_table[Video memory text], B1026)), ""))</f>
        <v>8GB,8GB</v>
      </c>
    </row>
    <row r="1027" spans="1:9" hidden="1" x14ac:dyDescent="0.35">
      <c r="A1027" t="s">
        <v>782</v>
      </c>
      <c r="B1027" t="s">
        <v>924</v>
      </c>
      <c r="C1027">
        <v>25690000</v>
      </c>
      <c r="D1027">
        <v>25690000</v>
      </c>
      <c r="E1027" t="s">
        <v>925</v>
      </c>
      <c r="F1027" t="s">
        <v>1051</v>
      </c>
      <c r="G1027" t="str">
        <f>_xlfn.TEXTJOIN(",",TRUE,_xlfn._xlws.FILTER(GPU_brand[GPU brand], (GPU_brand[GPU brand text]&lt;&gt;"") * ISNUMBER(SEARCH(GPU_brand[GPU brand text], B1027)), ""))</f>
        <v>Sapphire</v>
      </c>
      <c r="H1027" t="str">
        <f>_xlfn.TEXTJOIN(",",TRUE,_xlfn._xlws.FILTER(Chipset_Table[Chipset], (Chipset_Table[Chipset text]&lt;&gt;"") * ISNUMBER(SEARCH(Chipset_Table[Chipset text], B1027)), ""))</f>
        <v>RX 7900XTX</v>
      </c>
      <c r="I1027" t="str">
        <f>_xlfn.TEXTJOIN(",",TRUE,_xlfn._xlws.FILTER(VRAM_table[Video memory], (VRAM_table[Video memory text]&lt;&gt;"") * ISNUMBER(SEARCH(VRAM_table[Video memory text], B1027)), ""))</f>
        <v>24GB,4GB</v>
      </c>
    </row>
    <row r="1028" spans="1:9" hidden="1" x14ac:dyDescent="0.35">
      <c r="A1028" t="s">
        <v>782</v>
      </c>
      <c r="B1028" t="s">
        <v>934</v>
      </c>
      <c r="C1028">
        <v>23990000</v>
      </c>
      <c r="D1028">
        <v>23990000</v>
      </c>
      <c r="E1028" t="s">
        <v>935</v>
      </c>
      <c r="F1028" t="s">
        <v>1051</v>
      </c>
      <c r="G1028" t="str">
        <f>_xlfn.TEXTJOIN(",",TRUE,_xlfn._xlws.FILTER(GPU_brand[GPU brand], (GPU_brand[GPU brand text]&lt;&gt;"") * ISNUMBER(SEARCH(GPU_brand[GPU brand text], B1028)), ""))</f>
        <v>Gigabyte</v>
      </c>
      <c r="H1028" t="str">
        <f>_xlfn.TEXTJOIN(",",TRUE,_xlfn._xlws.FILTER(Chipset_Table[Chipset], (Chipset_Table[Chipset text]&lt;&gt;"") * ISNUMBER(SEARCH(Chipset_Table[Chipset text], B1028)), ""))</f>
        <v>GeForce RTX 5070,RTX 5070</v>
      </c>
      <c r="I1028" t="str">
        <f>_xlfn.TEXTJOIN(",",TRUE,_xlfn._xlws.FILTER(VRAM_table[Video memory], (VRAM_table[Video memory text]&lt;&gt;"") * ISNUMBER(SEARCH(VRAM_table[Video memory text], B1028)), ""))</f>
        <v>12GB,2GB</v>
      </c>
    </row>
    <row r="1029" spans="1:9" hidden="1" x14ac:dyDescent="0.35">
      <c r="A1029" t="s">
        <v>782</v>
      </c>
      <c r="B1029" t="s">
        <v>928</v>
      </c>
      <c r="C1029">
        <v>20990000</v>
      </c>
      <c r="D1029">
        <v>20990000</v>
      </c>
      <c r="E1029" t="s">
        <v>929</v>
      </c>
      <c r="F1029" t="s">
        <v>1051</v>
      </c>
      <c r="G1029" t="str">
        <f>_xlfn.TEXTJOIN(",",TRUE,_xlfn._xlws.FILTER(GPU_brand[GPU brand], (GPU_brand[GPU brand text]&lt;&gt;"") * ISNUMBER(SEARCH(GPU_brand[GPU brand text], B1029)), ""))</f>
        <v>Colorful</v>
      </c>
      <c r="H1029" t="str">
        <f>_xlfn.TEXTJOIN(",",TRUE,_xlfn._xlws.FILTER(Chipset_Table[Chipset], (Chipset_Table[Chipset text]&lt;&gt;"") * ISNUMBER(SEARCH(Chipset_Table[Chipset text], B1029)), ""))</f>
        <v>GeForce RTX 5070,RTX 5070</v>
      </c>
      <c r="I1029" t="str">
        <f>_xlfn.TEXTJOIN(",",TRUE,_xlfn._xlws.FILTER(VRAM_table[Video memory], (VRAM_table[Video memory text]&lt;&gt;"") * ISNUMBER(SEARCH(VRAM_table[Video memory text], B1029)), ""))</f>
        <v>12GB,2GB</v>
      </c>
    </row>
    <row r="1030" spans="1:9" hidden="1" x14ac:dyDescent="0.35">
      <c r="A1030" t="s">
        <v>782</v>
      </c>
      <c r="B1030" t="s">
        <v>926</v>
      </c>
      <c r="C1030">
        <v>21390000</v>
      </c>
      <c r="D1030">
        <v>21390000</v>
      </c>
      <c r="E1030" t="s">
        <v>927</v>
      </c>
      <c r="F1030" t="s">
        <v>1051</v>
      </c>
      <c r="G1030" t="str">
        <f>_xlfn.TEXTJOIN(",",TRUE,_xlfn._xlws.FILTER(GPU_brand[GPU brand], (GPU_brand[GPU brand text]&lt;&gt;"") * ISNUMBER(SEARCH(GPU_brand[GPU brand text], B1030)), ""))</f>
        <v>ASUS</v>
      </c>
      <c r="H1030" t="str">
        <f>_xlfn.TEXTJOIN(",",TRUE,_xlfn._xlws.FILTER(Chipset_Table[Chipset], (Chipset_Table[Chipset text]&lt;&gt;"") * ISNUMBER(SEARCH(Chipset_Table[Chipset text], B1030)), ""))</f>
        <v>RX 9070</v>
      </c>
      <c r="I1030" t="str">
        <f>_xlfn.TEXTJOIN(",",TRUE,_xlfn._xlws.FILTER(VRAM_table[Video memory], (VRAM_table[Video memory text]&lt;&gt;"") * ISNUMBER(SEARCH(VRAM_table[Video memory text], B1030)), ""))</f>
        <v>16GB,16GB,6GB,6GB</v>
      </c>
    </row>
    <row r="1031" spans="1:9" hidden="1" x14ac:dyDescent="0.35">
      <c r="A1031" t="s">
        <v>782</v>
      </c>
      <c r="B1031" t="s">
        <v>1060</v>
      </c>
      <c r="C1031">
        <v>11190000</v>
      </c>
      <c r="D1031">
        <v>11190000</v>
      </c>
      <c r="E1031" t="s">
        <v>1061</v>
      </c>
      <c r="F1031" t="s">
        <v>1051</v>
      </c>
      <c r="G1031" t="str">
        <f>_xlfn.TEXTJOIN(",",TRUE,_xlfn._xlws.FILTER(GPU_brand[GPU brand], (GPU_brand[GPU brand text]&lt;&gt;"") * ISNUMBER(SEARCH(GPU_brand[GPU brand text], B1031)), ""))</f>
        <v>Gigabyte</v>
      </c>
      <c r="H1031" t="str">
        <f>_xlfn.TEXTJOIN(",",TRUE,_xlfn._xlws.FILTER(Chipset_Table[Chipset], (Chipset_Table[Chipset text]&lt;&gt;"") * ISNUMBER(SEARCH(Chipset_Table[Chipset text], B1031)), ""))</f>
        <v>GeForce RTX 5060,GeForce RTX 5060 Ti,RTX 5060 Ti</v>
      </c>
      <c r="I1031" t="str">
        <f>_xlfn.TEXTJOIN(",",TRUE,_xlfn._xlws.FILTER(VRAM_table[Video memory], (VRAM_table[Video memory text]&lt;&gt;"") * ISNUMBER(SEARCH(VRAM_table[Video memory text], B1031)), ""))</f>
        <v>8GB,8GB</v>
      </c>
    </row>
    <row r="1032" spans="1:9" hidden="1" x14ac:dyDescent="0.35">
      <c r="A1032" t="s">
        <v>782</v>
      </c>
      <c r="B1032" t="s">
        <v>958</v>
      </c>
      <c r="C1032">
        <v>32990000</v>
      </c>
      <c r="D1032">
        <v>32990000</v>
      </c>
      <c r="E1032" t="s">
        <v>959</v>
      </c>
      <c r="F1032" t="s">
        <v>1051</v>
      </c>
      <c r="G1032" t="str">
        <f>_xlfn.TEXTJOIN(",",TRUE,_xlfn._xlws.FILTER(GPU_brand[GPU brand], (GPU_brand[GPU brand text]&lt;&gt;"") * ISNUMBER(SEARCH(GPU_brand[GPU brand text], B1032)), ""))</f>
        <v>INNO3D</v>
      </c>
      <c r="H1032" t="str">
        <f>_xlfn.TEXTJOIN(",",TRUE,_xlfn._xlws.FILTER(Chipset_Table[Chipset], (Chipset_Table[Chipset text]&lt;&gt;"") * ISNUMBER(SEARCH(Chipset_Table[Chipset text], B1032)), ""))</f>
        <v>GeForce RTX 5080,RTX 5080</v>
      </c>
      <c r="I1032" t="str">
        <f>_xlfn.TEXTJOIN(",",TRUE,_xlfn._xlws.FILTER(VRAM_table[Video memory], (VRAM_table[Video memory text]&lt;&gt;"") * ISNUMBER(SEARCH(VRAM_table[Video memory text], B1032)), ""))</f>
        <v>16GB,16GB,6GB,6GB</v>
      </c>
    </row>
    <row r="1033" spans="1:9" hidden="1" x14ac:dyDescent="0.35">
      <c r="A1033" t="s">
        <v>782</v>
      </c>
      <c r="B1033" t="s">
        <v>956</v>
      </c>
      <c r="C1033">
        <v>22290000</v>
      </c>
      <c r="D1033">
        <v>22290000</v>
      </c>
      <c r="E1033" t="s">
        <v>957</v>
      </c>
      <c r="F1033" t="s">
        <v>1051</v>
      </c>
      <c r="G1033" t="str">
        <f>_xlfn.TEXTJOIN(",",TRUE,_xlfn._xlws.FILTER(GPU_brand[GPU brand], (GPU_brand[GPU brand text]&lt;&gt;"") * ISNUMBER(SEARCH(GPU_brand[GPU brand text], B1033)), ""))</f>
        <v>ZOTAC</v>
      </c>
      <c r="H1033" t="str">
        <f>_xlfn.TEXTJOIN(",",TRUE,_xlfn._xlws.FILTER(Chipset_Table[Chipset], (Chipset_Table[Chipset text]&lt;&gt;"") * ISNUMBER(SEARCH(Chipset_Table[Chipset text], B1033)), ""))</f>
        <v>GeForce RTX 5070,RTX 5070</v>
      </c>
      <c r="I1033" t="str">
        <f>_xlfn.TEXTJOIN(",",TRUE,_xlfn._xlws.FILTER(VRAM_table[Video memory], (VRAM_table[Video memory text]&lt;&gt;"") * ISNUMBER(SEARCH(VRAM_table[Video memory text], B1033)), ""))</f>
        <v>12GB,2GB</v>
      </c>
    </row>
    <row r="1034" spans="1:9" hidden="1" x14ac:dyDescent="0.35">
      <c r="A1034" t="s">
        <v>782</v>
      </c>
      <c r="B1034" t="s">
        <v>954</v>
      </c>
      <c r="C1034">
        <v>19890000</v>
      </c>
      <c r="D1034">
        <v>19890000</v>
      </c>
      <c r="E1034" t="s">
        <v>955</v>
      </c>
      <c r="F1034" t="s">
        <v>1051</v>
      </c>
      <c r="G1034" t="str">
        <f>_xlfn.TEXTJOIN(",",TRUE,_xlfn._xlws.FILTER(GPU_brand[GPU brand], (GPU_brand[GPU brand text]&lt;&gt;"") * ISNUMBER(SEARCH(GPU_brand[GPU brand text], B1034)), ""))</f>
        <v>ASUS</v>
      </c>
      <c r="H1034" t="str">
        <f>_xlfn.TEXTJOIN(",",TRUE,_xlfn._xlws.FILTER(Chipset_Table[Chipset], (Chipset_Table[Chipset text]&lt;&gt;"") * ISNUMBER(SEARCH(Chipset_Table[Chipset text], B1034)), ""))</f>
        <v>RX 9070</v>
      </c>
      <c r="I1034" t="str">
        <f>_xlfn.TEXTJOIN(",",TRUE,_xlfn._xlws.FILTER(VRAM_table[Video memory], (VRAM_table[Video memory text]&lt;&gt;"") * ISNUMBER(SEARCH(VRAM_table[Video memory text], B1034)), ""))</f>
        <v>16GB,16GB,6GB,6GB</v>
      </c>
    </row>
    <row r="1035" spans="1:9" hidden="1" x14ac:dyDescent="0.35">
      <c r="A1035" t="s">
        <v>782</v>
      </c>
      <c r="B1035" t="s">
        <v>968</v>
      </c>
      <c r="C1035">
        <v>11190000</v>
      </c>
      <c r="D1035">
        <v>11190000</v>
      </c>
      <c r="E1035" t="s">
        <v>969</v>
      </c>
      <c r="F1035" t="s">
        <v>1051</v>
      </c>
      <c r="G1035" t="str">
        <f>_xlfn.TEXTJOIN(",",TRUE,_xlfn._xlws.FILTER(GPU_brand[GPU brand], (GPU_brand[GPU brand text]&lt;&gt;"") * ISNUMBER(SEARCH(GPU_brand[GPU brand text], B1035)), ""))</f>
        <v>MSI</v>
      </c>
      <c r="H1035" t="str">
        <f>_xlfn.TEXTJOIN(",",TRUE,_xlfn._xlws.FILTER(Chipset_Table[Chipset], (Chipset_Table[Chipset text]&lt;&gt;"") * ISNUMBER(SEARCH(Chipset_Table[Chipset text], B1035)), ""))</f>
        <v>GeForce RTX 5060</v>
      </c>
      <c r="I1035" t="str">
        <f>_xlfn.TEXTJOIN(",",TRUE,_xlfn._xlws.FILTER(VRAM_table[Video memory], (VRAM_table[Video memory text]&lt;&gt;"") * ISNUMBER(SEARCH(VRAM_table[Video memory text], B1035)), ""))</f>
        <v>8GB,8GB</v>
      </c>
    </row>
    <row r="1036" spans="1:9" hidden="1" x14ac:dyDescent="0.35">
      <c r="A1036" t="s">
        <v>782</v>
      </c>
      <c r="B1036" t="s">
        <v>950</v>
      </c>
      <c r="C1036">
        <v>41290000</v>
      </c>
      <c r="D1036">
        <v>41290000</v>
      </c>
      <c r="E1036" t="s">
        <v>951</v>
      </c>
      <c r="F1036" t="s">
        <v>1051</v>
      </c>
      <c r="G1036" t="str">
        <f>_xlfn.TEXTJOIN(",",TRUE,_xlfn._xlws.FILTER(GPU_brand[GPU brand], (GPU_brand[GPU brand text]&lt;&gt;"") * ISNUMBER(SEARCH(GPU_brand[GPU brand text], B1036)), ""))</f>
        <v>Leadtek</v>
      </c>
      <c r="H1036" t="str">
        <f>_xlfn.TEXTJOIN(",",TRUE,_xlfn._xlws.FILTER(Chipset_Table[Chipset], (Chipset_Table[Chipset text]&lt;&gt;"") * ISNUMBER(SEARCH(Chipset_Table[Chipset text], B1036)), ""))</f>
        <v>RTX 4000</v>
      </c>
      <c r="I1036" t="str">
        <f>_xlfn.TEXTJOIN(",",TRUE,_xlfn._xlws.FILTER(VRAM_table[Video memory], (VRAM_table[Video memory text]&lt;&gt;"") * ISNUMBER(SEARCH(VRAM_table[Video memory text], B1036)), ""))</f>
        <v>20GB</v>
      </c>
    </row>
    <row r="1037" spans="1:9" hidden="1" x14ac:dyDescent="0.35">
      <c r="A1037" t="s">
        <v>782</v>
      </c>
      <c r="B1037" t="s">
        <v>932</v>
      </c>
      <c r="C1037">
        <v>15990000</v>
      </c>
      <c r="D1037">
        <v>15990000</v>
      </c>
      <c r="E1037" t="s">
        <v>933</v>
      </c>
      <c r="F1037" t="s">
        <v>1051</v>
      </c>
      <c r="G1037" t="str">
        <f>_xlfn.TEXTJOIN(",",TRUE,_xlfn._xlws.FILTER(GPU_brand[GPU brand], (GPU_brand[GPU brand text]&lt;&gt;"") * ISNUMBER(SEARCH(GPU_brand[GPU brand text], B1037)), ""))</f>
        <v>Colorful</v>
      </c>
      <c r="H1037" t="str">
        <f>_xlfn.TEXTJOIN(",",TRUE,_xlfn._xlws.FILTER(Chipset_Table[Chipset], (Chipset_Table[Chipset text]&lt;&gt;"") * ISNUMBER(SEARCH(Chipset_Table[Chipset text], B1037)), ""))</f>
        <v>GeForce RTX 5060,GeForce RTX 5060 Ti,RTX 5060 Ti</v>
      </c>
      <c r="I1037" t="str">
        <f>_xlfn.TEXTJOIN(",",TRUE,_xlfn._xlws.FILTER(VRAM_table[Video memory], (VRAM_table[Video memory text]&lt;&gt;"") * ISNUMBER(SEARCH(VRAM_table[Video memory text], B1037)), ""))</f>
        <v>16GB,16GB,6GB,6GB</v>
      </c>
    </row>
    <row r="1038" spans="1:9" hidden="1" x14ac:dyDescent="0.35">
      <c r="A1038" t="s">
        <v>782</v>
      </c>
      <c r="B1038" t="s">
        <v>970</v>
      </c>
      <c r="C1038">
        <v>20990000</v>
      </c>
      <c r="D1038">
        <v>20990000</v>
      </c>
      <c r="E1038" t="s">
        <v>971</v>
      </c>
      <c r="F1038" t="s">
        <v>1051</v>
      </c>
      <c r="G1038" t="str">
        <f>_xlfn.TEXTJOIN(",",TRUE,_xlfn._xlws.FILTER(GPU_brand[GPU brand], (GPU_brand[GPU brand text]&lt;&gt;"") * ISNUMBER(SEARCH(GPU_brand[GPU brand text], B1038)), ""))</f>
        <v>ASUS</v>
      </c>
      <c r="H1038" t="str">
        <f>_xlfn.TEXTJOIN(",",TRUE,_xlfn._xlws.FILTER(Chipset_Table[Chipset], (Chipset_Table[Chipset text]&lt;&gt;"") * ISNUMBER(SEARCH(Chipset_Table[Chipset text], B1038)), ""))</f>
        <v>RX 6900 XT</v>
      </c>
      <c r="I1038" t="str">
        <f>_xlfn.TEXTJOIN(",",TRUE,_xlfn._xlws.FILTER(VRAM_table[Video memory], (VRAM_table[Video memory text]&lt;&gt;"") * ISNUMBER(SEARCH(VRAM_table[Video memory text], B1038)), ""))</f>
        <v>16GB,16GB,6GB,6GB</v>
      </c>
    </row>
    <row r="1039" spans="1:9" hidden="1" x14ac:dyDescent="0.35">
      <c r="A1039" t="s">
        <v>782</v>
      </c>
      <c r="B1039" t="s">
        <v>964</v>
      </c>
      <c r="C1039">
        <v>6990000</v>
      </c>
      <c r="D1039">
        <v>6990000</v>
      </c>
      <c r="E1039" t="s">
        <v>965</v>
      </c>
      <c r="F1039" t="s">
        <v>1051</v>
      </c>
      <c r="G1039" t="str">
        <f>_xlfn.TEXTJOIN(",",TRUE,_xlfn._xlws.FILTER(GPU_brand[GPU brand], (GPU_brand[GPU brand text]&lt;&gt;"") * ISNUMBER(SEARCH(GPU_brand[GPU brand text], B1039)), ""))</f>
        <v>Sapphire</v>
      </c>
      <c r="H1039" t="str">
        <f>_xlfn.TEXTJOIN(",",TRUE,_xlfn._xlws.FILTER(Chipset_Table[Chipset], (Chipset_Table[Chipset text]&lt;&gt;"") * ISNUMBER(SEARCH(Chipset_Table[Chipset text], B1039)), ""))</f>
        <v>RX 7600</v>
      </c>
      <c r="I1039" t="str">
        <f>_xlfn.TEXTJOIN(",",TRUE,_xlfn._xlws.FILTER(VRAM_table[Video memory], (VRAM_table[Video memory text]&lt;&gt;"") * ISNUMBER(SEARCH(VRAM_table[Video memory text], B1039)), ""))</f>
        <v>8GB,8GB</v>
      </c>
    </row>
    <row r="1040" spans="1:9" hidden="1" x14ac:dyDescent="0.35">
      <c r="A1040" t="s">
        <v>782</v>
      </c>
      <c r="B1040" t="s">
        <v>952</v>
      </c>
      <c r="C1040">
        <v>14790000</v>
      </c>
      <c r="D1040">
        <v>14790000</v>
      </c>
      <c r="E1040" t="s">
        <v>953</v>
      </c>
      <c r="F1040" t="s">
        <v>1051</v>
      </c>
      <c r="G1040" t="str">
        <f>_xlfn.TEXTJOIN(",",TRUE,_xlfn._xlws.FILTER(GPU_brand[GPU brand], (GPU_brand[GPU brand text]&lt;&gt;"") * ISNUMBER(SEARCH(GPU_brand[GPU brand text], B1040)), ""))</f>
        <v>Sapphire</v>
      </c>
      <c r="H1040" t="str">
        <f>_xlfn.TEXTJOIN(",",TRUE,_xlfn._xlws.FILTER(Chipset_Table[Chipset], (Chipset_Table[Chipset text]&lt;&gt;"") * ISNUMBER(SEARCH(Chipset_Table[Chipset text], B1040)), ""))</f>
        <v>RX 9060 XT</v>
      </c>
      <c r="I1040" t="str">
        <f>_xlfn.TEXTJOIN(",",TRUE,_xlfn._xlws.FILTER(VRAM_table[Video memory], (VRAM_table[Video memory text]&lt;&gt;"") * ISNUMBER(SEARCH(VRAM_table[Video memory text], B1040)), ""))</f>
        <v>16GB,16GB,6GB,6GB</v>
      </c>
    </row>
    <row r="1041" spans="1:9" hidden="1" x14ac:dyDescent="0.35">
      <c r="A1041" t="s">
        <v>782</v>
      </c>
      <c r="B1041" t="s">
        <v>982</v>
      </c>
      <c r="C1041">
        <v>9590000</v>
      </c>
      <c r="D1041">
        <v>9590000</v>
      </c>
      <c r="E1041" t="s">
        <v>983</v>
      </c>
      <c r="F1041" t="s">
        <v>1051</v>
      </c>
      <c r="G1041" t="str">
        <f>_xlfn.TEXTJOIN(",",TRUE,_xlfn._xlws.FILTER(GPU_brand[GPU brand], (GPU_brand[GPU brand text]&lt;&gt;"") * ISNUMBER(SEARCH(GPU_brand[GPU brand text], B1041)), ""))</f>
        <v>INNO3D</v>
      </c>
      <c r="H1041" t="str">
        <f>_xlfn.TEXTJOIN(",",TRUE,_xlfn._xlws.FILTER(Chipset_Table[Chipset], (Chipset_Table[Chipset text]&lt;&gt;"") * ISNUMBER(SEARCH(Chipset_Table[Chipset text], B1041)), ""))</f>
        <v>GeForce RTX 5060</v>
      </c>
      <c r="I1041" t="str">
        <f>_xlfn.TEXTJOIN(",",TRUE,_xlfn._xlws.FILTER(VRAM_table[Video memory], (VRAM_table[Video memory text]&lt;&gt;"") * ISNUMBER(SEARCH(VRAM_table[Video memory text], B1041)), ""))</f>
        <v>8GB,8GB</v>
      </c>
    </row>
    <row r="1042" spans="1:9" hidden="1" x14ac:dyDescent="0.35">
      <c r="A1042" t="s">
        <v>782</v>
      </c>
      <c r="B1042" t="s">
        <v>1062</v>
      </c>
      <c r="C1042">
        <v>20390000</v>
      </c>
      <c r="D1042">
        <v>20390000</v>
      </c>
      <c r="E1042" t="s">
        <v>1063</v>
      </c>
      <c r="F1042" t="s">
        <v>1051</v>
      </c>
      <c r="G1042" t="str">
        <f>_xlfn.TEXTJOIN(",",TRUE,_xlfn._xlws.FILTER(GPU_brand[GPU brand], (GPU_brand[GPU brand text]&lt;&gt;"") * ISNUMBER(SEARCH(GPU_brand[GPU brand text], B1042)), ""))</f>
        <v>MSI</v>
      </c>
      <c r="H1042" t="str">
        <f>_xlfn.TEXTJOIN(",",TRUE,_xlfn._xlws.FILTER(Chipset_Table[Chipset], (Chipset_Table[Chipset text]&lt;&gt;"") * ISNUMBER(SEARCH(Chipset_Table[Chipset text], B1042)), ""))</f>
        <v>GeForce RTX 5070,RTX 5070</v>
      </c>
      <c r="I1042" t="str">
        <f>_xlfn.TEXTJOIN(",",TRUE,_xlfn._xlws.FILTER(VRAM_table[Video memory], (VRAM_table[Video memory text]&lt;&gt;"") * ISNUMBER(SEARCH(VRAM_table[Video memory text], B1042)), ""))</f>
        <v>12GB,2GB</v>
      </c>
    </row>
    <row r="1043" spans="1:9" hidden="1" x14ac:dyDescent="0.35">
      <c r="A1043" t="s">
        <v>782</v>
      </c>
      <c r="B1043" t="s">
        <v>962</v>
      </c>
      <c r="C1043">
        <v>32990000</v>
      </c>
      <c r="D1043">
        <v>32990000</v>
      </c>
      <c r="E1043" t="s">
        <v>963</v>
      </c>
      <c r="F1043" t="s">
        <v>1051</v>
      </c>
      <c r="G1043" t="str">
        <f>_xlfn.TEXTJOIN(",",TRUE,_xlfn._xlws.FILTER(GPU_brand[GPU brand], (GPU_brand[GPU brand text]&lt;&gt;"") * ISNUMBER(SEARCH(GPU_brand[GPU brand text], B1043)), ""))</f>
        <v>ASUS</v>
      </c>
      <c r="H1043" t="str">
        <f>_xlfn.TEXTJOIN(",",TRUE,_xlfn._xlws.FILTER(Chipset_Table[Chipset], (Chipset_Table[Chipset text]&lt;&gt;"") * ISNUMBER(SEARCH(Chipset_Table[Chipset text], B1043)), ""))</f>
        <v>GeForce RTX 5070,GeForce RTX 5070 Ti,RTX 5070</v>
      </c>
      <c r="I1043" t="str">
        <f>_xlfn.TEXTJOIN(",",TRUE,_xlfn._xlws.FILTER(VRAM_table[Video memory], (VRAM_table[Video memory text]&lt;&gt;"") * ISNUMBER(SEARCH(VRAM_table[Video memory text], B1043)), ""))</f>
        <v>16GB,16GB,6GB,6GB</v>
      </c>
    </row>
    <row r="1044" spans="1:9" hidden="1" x14ac:dyDescent="0.35">
      <c r="A1044" t="s">
        <v>782</v>
      </c>
      <c r="B1044" t="s">
        <v>976</v>
      </c>
      <c r="C1044">
        <v>18190000</v>
      </c>
      <c r="D1044">
        <v>18190000</v>
      </c>
      <c r="E1044" t="s">
        <v>977</v>
      </c>
      <c r="F1044" t="s">
        <v>1051</v>
      </c>
      <c r="G1044" t="str">
        <f>_xlfn.TEXTJOIN(",",TRUE,_xlfn._xlws.FILTER(GPU_brand[GPU brand], (GPU_brand[GPU brand text]&lt;&gt;"") * ISNUMBER(SEARCH(GPU_brand[GPU brand text], B1044)), ""))</f>
        <v>INNO3D</v>
      </c>
      <c r="H1044" t="str">
        <f>_xlfn.TEXTJOIN(",",TRUE,_xlfn._xlws.FILTER(Chipset_Table[Chipset], (Chipset_Table[Chipset text]&lt;&gt;"") * ISNUMBER(SEARCH(Chipset_Table[Chipset text], B1044)), ""))</f>
        <v>GeForce RTX 5070,RTX 5070</v>
      </c>
      <c r="I1044" t="str">
        <f>_xlfn.TEXTJOIN(",",TRUE,_xlfn._xlws.FILTER(VRAM_table[Video memory], (VRAM_table[Video memory text]&lt;&gt;"") * ISNUMBER(SEARCH(VRAM_table[Video memory text], B1044)), ""))</f>
        <v>12GB,2GB</v>
      </c>
    </row>
    <row r="1045" spans="1:9" hidden="1" x14ac:dyDescent="0.35">
      <c r="A1045" t="s">
        <v>782</v>
      </c>
      <c r="B1045" t="s">
        <v>986</v>
      </c>
      <c r="C1045">
        <v>17490000</v>
      </c>
      <c r="D1045">
        <v>17490000</v>
      </c>
      <c r="E1045" t="s">
        <v>987</v>
      </c>
      <c r="F1045" t="s">
        <v>1051</v>
      </c>
      <c r="G1045" t="str">
        <f>_xlfn.TEXTJOIN(",",TRUE,_xlfn._xlws.FILTER(GPU_brand[GPU brand], (GPU_brand[GPU brand text]&lt;&gt;"") * ISNUMBER(SEARCH(GPU_brand[GPU brand text], B1045)), ""))</f>
        <v>PNY</v>
      </c>
      <c r="H1045" t="str">
        <f>_xlfn.TEXTJOIN(",",TRUE,_xlfn._xlws.FILTER(Chipset_Table[Chipset], (Chipset_Table[Chipset text]&lt;&gt;"") * ISNUMBER(SEARCH(Chipset_Table[Chipset text], B1045)), ""))</f>
        <v>GeForce RTX 5060,GeForce RTX 5060 Ti,RTX 5060 Ti</v>
      </c>
      <c r="I1045" t="str">
        <f>_xlfn.TEXTJOIN(",",TRUE,_xlfn._xlws.FILTER(VRAM_table[Video memory], (VRAM_table[Video memory text]&lt;&gt;"") * ISNUMBER(SEARCH(VRAM_table[Video memory text], B1045)), ""))</f>
        <v>16GB</v>
      </c>
    </row>
    <row r="1046" spans="1:9" hidden="1" x14ac:dyDescent="0.35">
      <c r="A1046" t="s">
        <v>782</v>
      </c>
      <c r="B1046" t="s">
        <v>960</v>
      </c>
      <c r="C1046">
        <v>44990000</v>
      </c>
      <c r="D1046">
        <v>44990000</v>
      </c>
      <c r="E1046" t="s">
        <v>961</v>
      </c>
      <c r="F1046" t="s">
        <v>1051</v>
      </c>
      <c r="G1046" t="str">
        <f>_xlfn.TEXTJOIN(",",TRUE,_xlfn._xlws.FILTER(GPU_brand[GPU brand], (GPU_brand[GPU brand text]&lt;&gt;"") * ISNUMBER(SEARCH(GPU_brand[GPU brand text], B1046)), ""))</f>
        <v>ASUS</v>
      </c>
      <c r="H1046" t="str">
        <f>_xlfn.TEXTJOIN(",",TRUE,_xlfn._xlws.FILTER(Chipset_Table[Chipset], (Chipset_Table[Chipset text]&lt;&gt;"") * ISNUMBER(SEARCH(Chipset_Table[Chipset text], B1046)), ""))</f>
        <v>GeForce RTX 5080,RTX 5080</v>
      </c>
      <c r="I1046" t="str">
        <f>_xlfn.TEXTJOIN(",",TRUE,_xlfn._xlws.FILTER(VRAM_table[Video memory], (VRAM_table[Video memory text]&lt;&gt;"") * ISNUMBER(SEARCH(VRAM_table[Video memory text], B1046)), ""))</f>
        <v>16GB,16GB,6GB,6GB</v>
      </c>
    </row>
    <row r="1047" spans="1:9" hidden="1" x14ac:dyDescent="0.35">
      <c r="A1047" t="s">
        <v>782</v>
      </c>
      <c r="B1047" t="s">
        <v>988</v>
      </c>
      <c r="C1047">
        <v>13490000</v>
      </c>
      <c r="D1047">
        <v>13490000</v>
      </c>
      <c r="E1047" t="s">
        <v>989</v>
      </c>
      <c r="F1047" t="s">
        <v>1051</v>
      </c>
      <c r="G1047" t="str">
        <f>_xlfn.TEXTJOIN(",",TRUE,_xlfn._xlws.FILTER(GPU_brand[GPU brand], (GPU_brand[GPU brand text]&lt;&gt;"") * ISNUMBER(SEARCH(GPU_brand[GPU brand text], B1047)), ""))</f>
        <v>Colorful</v>
      </c>
      <c r="H1047" t="str">
        <f>_xlfn.TEXTJOIN(",",TRUE,_xlfn._xlws.FILTER(Chipset_Table[Chipset], (Chipset_Table[Chipset text]&lt;&gt;"") * ISNUMBER(SEARCH(Chipset_Table[Chipset text], B1047)), ""))</f>
        <v>GeForce RTX 5060,GeForce RTX 5060 Ti,RTX 5060 Ti</v>
      </c>
      <c r="I1047" t="str">
        <f>_xlfn.TEXTJOIN(",",TRUE,_xlfn._xlws.FILTER(VRAM_table[Video memory], (VRAM_table[Video memory text]&lt;&gt;"") * ISNUMBER(SEARCH(VRAM_table[Video memory text], B1047)), ""))</f>
        <v>8GB,8GB</v>
      </c>
    </row>
    <row r="1048" spans="1:9" hidden="1" x14ac:dyDescent="0.35">
      <c r="A1048" t="s">
        <v>782</v>
      </c>
      <c r="B1048" t="s">
        <v>974</v>
      </c>
      <c r="C1048">
        <v>12690000</v>
      </c>
      <c r="D1048">
        <v>12690000</v>
      </c>
      <c r="E1048" t="s">
        <v>975</v>
      </c>
      <c r="F1048" t="s">
        <v>1051</v>
      </c>
      <c r="G1048" t="str">
        <f>_xlfn.TEXTJOIN(",",TRUE,_xlfn._xlws.FILTER(GPU_brand[GPU brand], (GPU_brand[GPU brand text]&lt;&gt;"") * ISNUMBER(SEARCH(GPU_brand[GPU brand text], B1048)), ""))</f>
        <v>ASRock</v>
      </c>
      <c r="H1048" t="str">
        <f>_xlfn.TEXTJOIN(",",TRUE,_xlfn._xlws.FILTER(Chipset_Table[Chipset], (Chipset_Table[Chipset text]&lt;&gt;"") * ISNUMBER(SEARCH(Chipset_Table[Chipset text], B1048)), ""))</f>
        <v>RX 9060 XT</v>
      </c>
      <c r="I1048" t="str">
        <f>_xlfn.TEXTJOIN(",",TRUE,_xlfn._xlws.FILTER(VRAM_table[Video memory], (VRAM_table[Video memory text]&lt;&gt;"") * ISNUMBER(SEARCH(VRAM_table[Video memory text], B1048)), ""))</f>
        <v>16GB,16GB,6GB,6GB</v>
      </c>
    </row>
    <row r="1049" spans="1:9" hidden="1" x14ac:dyDescent="0.35">
      <c r="A1049" t="s">
        <v>782</v>
      </c>
      <c r="B1049" t="s">
        <v>898</v>
      </c>
      <c r="C1049">
        <v>31990000</v>
      </c>
      <c r="D1049">
        <v>31990000</v>
      </c>
      <c r="E1049" t="s">
        <v>899</v>
      </c>
      <c r="F1049" t="s">
        <v>1051</v>
      </c>
      <c r="G1049" t="str">
        <f>_xlfn.TEXTJOIN(",",TRUE,_xlfn._xlws.FILTER(GPU_brand[GPU brand], (GPU_brand[GPU brand text]&lt;&gt;"") * ISNUMBER(SEARCH(GPU_brand[GPU brand text], B1049)), ""))</f>
        <v>ZOTAC</v>
      </c>
      <c r="H1049" t="str">
        <f>_xlfn.TEXTJOIN(",",TRUE,_xlfn._xlws.FILTER(Chipset_Table[Chipset], (Chipset_Table[Chipset text]&lt;&gt;"") * ISNUMBER(SEARCH(Chipset_Table[Chipset text], B1049)), ""))</f>
        <v>GeForce RTX 5080,RTX 5080</v>
      </c>
      <c r="I1049" t="str">
        <f>_xlfn.TEXTJOIN(",",TRUE,_xlfn._xlws.FILTER(VRAM_table[Video memory], (VRAM_table[Video memory text]&lt;&gt;"") * ISNUMBER(SEARCH(VRAM_table[Video memory text], B1049)), ""))</f>
        <v>16GB,16GB,6GB,6GB</v>
      </c>
    </row>
    <row r="1050" spans="1:9" hidden="1" x14ac:dyDescent="0.35">
      <c r="A1050" t="s">
        <v>782</v>
      </c>
      <c r="B1050" t="s">
        <v>1011</v>
      </c>
      <c r="C1050">
        <v>11790000</v>
      </c>
      <c r="D1050">
        <v>11790000</v>
      </c>
      <c r="E1050" t="s">
        <v>1012</v>
      </c>
      <c r="F1050" t="s">
        <v>1051</v>
      </c>
      <c r="G1050" t="str">
        <f>_xlfn.TEXTJOIN(",",TRUE,_xlfn._xlws.FILTER(GPU_brand[GPU brand], (GPU_brand[GPU brand text]&lt;&gt;"") * ISNUMBER(SEARCH(GPU_brand[GPU brand text], B1050)), ""))</f>
        <v>MSI</v>
      </c>
      <c r="H1050" t="str">
        <f>_xlfn.TEXTJOIN(",",TRUE,_xlfn._xlws.FILTER(Chipset_Table[Chipset], (Chipset_Table[Chipset text]&lt;&gt;"") * ISNUMBER(SEARCH(Chipset_Table[Chipset text], B1050)), ""))</f>
        <v>GeForce RTX 5060</v>
      </c>
      <c r="I1050" t="str">
        <f>_xlfn.TEXTJOIN(",",TRUE,_xlfn._xlws.FILTER(VRAM_table[Video memory], (VRAM_table[Video memory text]&lt;&gt;"") * ISNUMBER(SEARCH(VRAM_table[Video memory text], B1050)), ""))</f>
        <v>8GB</v>
      </c>
    </row>
    <row r="1051" spans="1:9" hidden="1" x14ac:dyDescent="0.35">
      <c r="A1051" t="s">
        <v>782</v>
      </c>
      <c r="B1051" t="s">
        <v>999</v>
      </c>
      <c r="C1051">
        <v>21590000</v>
      </c>
      <c r="D1051">
        <v>21590000</v>
      </c>
      <c r="E1051" t="s">
        <v>1000</v>
      </c>
      <c r="F1051" t="s">
        <v>1051</v>
      </c>
      <c r="G1051" t="str">
        <f>_xlfn.TEXTJOIN(",",TRUE,_xlfn._xlws.FILTER(GPU_brand[GPU brand], (GPU_brand[GPU brand text]&lt;&gt;"") * ISNUMBER(SEARCH(GPU_brand[GPU brand text], B1051)), ""))</f>
        <v>MSI</v>
      </c>
      <c r="H1051" t="str">
        <f>_xlfn.TEXTJOIN(",",TRUE,_xlfn._xlws.FILTER(Chipset_Table[Chipset], (Chipset_Table[Chipset text]&lt;&gt;"") * ISNUMBER(SEARCH(Chipset_Table[Chipset text], B1051)), ""))</f>
        <v>GeForce RTX 5070,RTX 5070</v>
      </c>
      <c r="I1051" t="str">
        <f>_xlfn.TEXTJOIN(",",TRUE,_xlfn._xlws.FILTER(VRAM_table[Video memory], (VRAM_table[Video memory text]&lt;&gt;"") * ISNUMBER(SEARCH(VRAM_table[Video memory text], B1051)), ""))</f>
        <v>12GB,2GB</v>
      </c>
    </row>
    <row r="1052" spans="1:9" hidden="1" x14ac:dyDescent="0.35">
      <c r="A1052" t="s">
        <v>782</v>
      </c>
      <c r="B1052" t="s">
        <v>972</v>
      </c>
      <c r="C1052">
        <v>37890000</v>
      </c>
      <c r="D1052">
        <v>37890000</v>
      </c>
      <c r="E1052" t="s">
        <v>973</v>
      </c>
      <c r="F1052" t="s">
        <v>1051</v>
      </c>
      <c r="G1052" t="str">
        <f>_xlfn.TEXTJOIN(",",TRUE,_xlfn._xlws.FILTER(GPU_brand[GPU brand], (GPU_brand[GPU brand text]&lt;&gt;"") * ISNUMBER(SEARCH(GPU_brand[GPU brand text], B1052)), ""))</f>
        <v>MSI</v>
      </c>
      <c r="H1052" t="str">
        <f>_xlfn.TEXTJOIN(",",TRUE,_xlfn._xlws.FILTER(Chipset_Table[Chipset], (Chipset_Table[Chipset text]&lt;&gt;"") * ISNUMBER(SEARCH(Chipset_Table[Chipset text], B1052)), ""))</f>
        <v>RTX 5080</v>
      </c>
      <c r="I1052" t="str">
        <f>_xlfn.TEXTJOIN(",",TRUE,_xlfn._xlws.FILTER(VRAM_table[Video memory], (VRAM_table[Video memory text]&lt;&gt;"") * ISNUMBER(SEARCH(VRAM_table[Video memory text], B1052)), ""))</f>
        <v>16GB,6GB</v>
      </c>
    </row>
    <row r="1053" spans="1:9" hidden="1" x14ac:dyDescent="0.35">
      <c r="A1053" t="s">
        <v>782</v>
      </c>
      <c r="B1053" t="s">
        <v>995</v>
      </c>
      <c r="C1053">
        <v>21990000</v>
      </c>
      <c r="D1053">
        <v>21990000</v>
      </c>
      <c r="E1053" t="s">
        <v>996</v>
      </c>
      <c r="F1053" t="s">
        <v>1051</v>
      </c>
      <c r="G1053" t="str">
        <f>_xlfn.TEXTJOIN(",",TRUE,_xlfn._xlws.FILTER(GPU_brand[GPU brand], (GPU_brand[GPU brand text]&lt;&gt;"") * ISNUMBER(SEARCH(GPU_brand[GPU brand text], B1053)), ""))</f>
        <v>ASRock</v>
      </c>
      <c r="H1053" t="str">
        <f>_xlfn.TEXTJOIN(",",TRUE,_xlfn._xlws.FILTER(Chipset_Table[Chipset], (Chipset_Table[Chipset text]&lt;&gt;"") * ISNUMBER(SEARCH(Chipset_Table[Chipset text], B1053)), ""))</f>
        <v>RX 9070</v>
      </c>
      <c r="I1053" t="str">
        <f>_xlfn.TEXTJOIN(",",TRUE,_xlfn._xlws.FILTER(VRAM_table[Video memory], (VRAM_table[Video memory text]&lt;&gt;"") * ISNUMBER(SEARCH(VRAM_table[Video memory text], B1053)), ""))</f>
        <v>16GB,16GB,6GB,6GB</v>
      </c>
    </row>
    <row r="1054" spans="1:9" hidden="1" x14ac:dyDescent="0.35">
      <c r="A1054" t="s">
        <v>782</v>
      </c>
      <c r="B1054" t="s">
        <v>990</v>
      </c>
      <c r="C1054">
        <v>8890000</v>
      </c>
      <c r="D1054">
        <v>8890000</v>
      </c>
      <c r="E1054" t="s">
        <v>991</v>
      </c>
      <c r="F1054" t="s">
        <v>1051</v>
      </c>
      <c r="G1054" t="str">
        <f>_xlfn.TEXTJOIN(",",TRUE,_xlfn._xlws.FILTER(GPU_brand[GPU brand], (GPU_brand[GPU brand text]&lt;&gt;"") * ISNUMBER(SEARCH(GPU_brand[GPU brand text], B1054)), ""))</f>
        <v/>
      </c>
      <c r="H1054" t="str">
        <f>_xlfn.TEXTJOIN(",",TRUE,_xlfn._xlws.FILTER(Chipset_Table[Chipset], (Chipset_Table[Chipset text]&lt;&gt;"") * ISNUMBER(SEARCH(Chipset_Table[Chipset text], B1054)), ""))</f>
        <v>NVIDIA T1000</v>
      </c>
      <c r="I1054" t="str">
        <f>_xlfn.TEXTJOIN(",",TRUE,_xlfn._xlws.FILTER(VRAM_table[Video memory], (VRAM_table[Video memory text]&lt;&gt;"") * ISNUMBER(SEARCH(VRAM_table[Video memory text], B1054)), ""))</f>
        <v>4GB,4GB</v>
      </c>
    </row>
    <row r="1055" spans="1:9" hidden="1" x14ac:dyDescent="0.35">
      <c r="A1055" t="s">
        <v>782</v>
      </c>
      <c r="B1055" t="s">
        <v>978</v>
      </c>
      <c r="C1055">
        <v>35090000</v>
      </c>
      <c r="D1055">
        <v>35090000</v>
      </c>
      <c r="E1055" t="s">
        <v>979</v>
      </c>
      <c r="F1055" t="s">
        <v>1051</v>
      </c>
      <c r="G1055" t="str">
        <f>_xlfn.TEXTJOIN(",",TRUE,_xlfn._xlws.FILTER(GPU_brand[GPU brand], (GPU_brand[GPU brand text]&lt;&gt;"") * ISNUMBER(SEARCH(GPU_brand[GPU brand text], B1055)), ""))</f>
        <v>PNY</v>
      </c>
      <c r="H1055" t="str">
        <f>_xlfn.TEXTJOIN(",",TRUE,_xlfn._xlws.FILTER(Chipset_Table[Chipset], (Chipset_Table[Chipset text]&lt;&gt;"") * ISNUMBER(SEARCH(Chipset_Table[Chipset text], B1055)), ""))</f>
        <v>GeForce RTX 5080,RTX 5080</v>
      </c>
      <c r="I1055" t="str">
        <f>_xlfn.TEXTJOIN(",",TRUE,_xlfn._xlws.FILTER(VRAM_table[Video memory], (VRAM_table[Video memory text]&lt;&gt;"") * ISNUMBER(SEARCH(VRAM_table[Video memory text], B1055)), ""))</f>
        <v>16GB,16GB,6GB,6GB</v>
      </c>
    </row>
    <row r="1056" spans="1:9" hidden="1" x14ac:dyDescent="0.35">
      <c r="A1056" t="s">
        <v>782</v>
      </c>
      <c r="B1056" t="s">
        <v>1005</v>
      </c>
      <c r="C1056">
        <v>37990000</v>
      </c>
      <c r="D1056">
        <v>37990000</v>
      </c>
      <c r="E1056" t="s">
        <v>1006</v>
      </c>
      <c r="F1056" t="s">
        <v>1051</v>
      </c>
      <c r="G1056" t="str">
        <f>_xlfn.TEXTJOIN(",",TRUE,_xlfn._xlws.FILTER(GPU_brand[GPU brand], (GPU_brand[GPU brand text]&lt;&gt;"") * ISNUMBER(SEARCH(GPU_brand[GPU brand text], B1056)), ""))</f>
        <v>ASUS</v>
      </c>
      <c r="H1056" t="str">
        <f>_xlfn.TEXTJOIN(",",TRUE,_xlfn._xlws.FILTER(Chipset_Table[Chipset], (Chipset_Table[Chipset text]&lt;&gt;"") * ISNUMBER(SEARCH(Chipset_Table[Chipset text], B1056)), ""))</f>
        <v>RTX 5080</v>
      </c>
      <c r="I1056" t="str">
        <f>_xlfn.TEXTJOIN(",",TRUE,_xlfn._xlws.FILTER(VRAM_table[Video memory], (VRAM_table[Video memory text]&lt;&gt;"") * ISNUMBER(SEARCH(VRAM_table[Video memory text], B1056)), ""))</f>
        <v>16GB,16GB,6GB,6GB</v>
      </c>
    </row>
    <row r="1057" spans="1:9" hidden="1" x14ac:dyDescent="0.35">
      <c r="A1057" t="s">
        <v>782</v>
      </c>
      <c r="B1057" t="s">
        <v>944</v>
      </c>
      <c r="C1057">
        <v>9190000</v>
      </c>
      <c r="D1057">
        <v>9190000</v>
      </c>
      <c r="E1057" t="s">
        <v>945</v>
      </c>
      <c r="F1057" t="s">
        <v>1051</v>
      </c>
      <c r="G1057" t="str">
        <f>_xlfn.TEXTJOIN(",",TRUE,_xlfn._xlws.FILTER(GPU_brand[GPU brand], (GPU_brand[GPU brand text]&lt;&gt;"") * ISNUMBER(SEARCH(GPU_brand[GPU brand text], B1057)), ""))</f>
        <v>ZOTAC</v>
      </c>
      <c r="H1057" t="str">
        <f>_xlfn.TEXTJOIN(",",TRUE,_xlfn._xlws.FILTER(Chipset_Table[Chipset], (Chipset_Table[Chipset text]&lt;&gt;"") * ISNUMBER(SEARCH(Chipset_Table[Chipset text], B1057)), ""))</f>
        <v>GeForce RTX 5060</v>
      </c>
      <c r="I1057" t="str">
        <f>_xlfn.TEXTJOIN(",",TRUE,_xlfn._xlws.FILTER(VRAM_table[Video memory], (VRAM_table[Video memory text]&lt;&gt;"") * ISNUMBER(SEARCH(VRAM_table[Video memory text], B1057)), ""))</f>
        <v>8GB,8GB</v>
      </c>
    </row>
    <row r="1058" spans="1:9" hidden="1" x14ac:dyDescent="0.35">
      <c r="A1058" t="s">
        <v>782</v>
      </c>
      <c r="B1058" t="s">
        <v>948</v>
      </c>
      <c r="C1058">
        <v>17990000</v>
      </c>
      <c r="D1058">
        <v>17990000</v>
      </c>
      <c r="E1058" t="s">
        <v>949</v>
      </c>
      <c r="F1058" t="s">
        <v>1051</v>
      </c>
      <c r="G1058" t="str">
        <f>_xlfn.TEXTJOIN(",",TRUE,_xlfn._xlws.FILTER(GPU_brand[GPU brand], (GPU_brand[GPU brand text]&lt;&gt;"") * ISNUMBER(SEARCH(GPU_brand[GPU brand text], B1058)), ""))</f>
        <v>Gigabyte</v>
      </c>
      <c r="H1058" t="str">
        <f>_xlfn.TEXTJOIN(",",TRUE,_xlfn._xlws.FILTER(Chipset_Table[Chipset], (Chipset_Table[Chipset text]&lt;&gt;"") * ISNUMBER(SEARCH(Chipset_Table[Chipset text], B1058)), ""))</f>
        <v>GeForce RTX 5060,GeForce RTX 5060 Ti,RTX 5060 Ti</v>
      </c>
      <c r="I1058" t="str">
        <f>_xlfn.TEXTJOIN(",",TRUE,_xlfn._xlws.FILTER(VRAM_table[Video memory], (VRAM_table[Video memory text]&lt;&gt;"") * ISNUMBER(SEARCH(VRAM_table[Video memory text], B1058)), ""))</f>
        <v>16GB,16GB,6GB,6GB</v>
      </c>
    </row>
    <row r="1059" spans="1:9" hidden="1" x14ac:dyDescent="0.35">
      <c r="A1059" t="s">
        <v>782</v>
      </c>
      <c r="B1059" t="s">
        <v>946</v>
      </c>
      <c r="C1059">
        <v>9990000</v>
      </c>
      <c r="D1059">
        <v>9990000</v>
      </c>
      <c r="E1059" t="s">
        <v>947</v>
      </c>
      <c r="F1059" t="s">
        <v>1051</v>
      </c>
      <c r="G1059" t="str">
        <f>_xlfn.TEXTJOIN(",",TRUE,_xlfn._xlws.FILTER(GPU_brand[GPU brand], (GPU_brand[GPU brand text]&lt;&gt;"") * ISNUMBER(SEARCH(GPU_brand[GPU brand text], B1059)), ""))</f>
        <v>MSI</v>
      </c>
      <c r="H1059" t="str">
        <f>_xlfn.TEXTJOIN(",",TRUE,_xlfn._xlws.FILTER(Chipset_Table[Chipset], (Chipset_Table[Chipset text]&lt;&gt;"") * ISNUMBER(SEARCH(Chipset_Table[Chipset text], B1059)), ""))</f>
        <v>GeForce RTX 5060</v>
      </c>
      <c r="I1059" t="str">
        <f>_xlfn.TEXTJOIN(",",TRUE,_xlfn._xlws.FILTER(VRAM_table[Video memory], (VRAM_table[Video memory text]&lt;&gt;"") * ISNUMBER(SEARCH(VRAM_table[Video memory text], B1059)), ""))</f>
        <v>8GB,8GB</v>
      </c>
    </row>
    <row r="1060" spans="1:9" hidden="1" x14ac:dyDescent="0.35">
      <c r="A1060" t="s">
        <v>782</v>
      </c>
      <c r="B1060" t="s">
        <v>980</v>
      </c>
      <c r="C1060">
        <v>46990000</v>
      </c>
      <c r="D1060">
        <v>46990000</v>
      </c>
      <c r="E1060" t="s">
        <v>981</v>
      </c>
      <c r="F1060" t="s">
        <v>1051</v>
      </c>
      <c r="G1060" t="str">
        <f>_xlfn.TEXTJOIN(",",TRUE,_xlfn._xlws.FILTER(GPU_brand[GPU brand], (GPU_brand[GPU brand text]&lt;&gt;"") * ISNUMBER(SEARCH(GPU_brand[GPU brand text], B1060)), ""))</f>
        <v>ASUS</v>
      </c>
      <c r="H1060" t="str">
        <f>_xlfn.TEXTJOIN(",",TRUE,_xlfn._xlws.FILTER(Chipset_Table[Chipset], (Chipset_Table[Chipset text]&lt;&gt;"") * ISNUMBER(SEARCH(Chipset_Table[Chipset text], B1060)), ""))</f>
        <v>GeForce RTX 5080,RTX 5080</v>
      </c>
      <c r="I1060" t="str">
        <f>_xlfn.TEXTJOIN(",",TRUE,_xlfn._xlws.FILTER(VRAM_table[Video memory], (VRAM_table[Video memory text]&lt;&gt;"") * ISNUMBER(SEARCH(VRAM_table[Video memory text], B1060)), ""))</f>
        <v>16GB,16GB,6GB,6GB</v>
      </c>
    </row>
    <row r="1061" spans="1:9" hidden="1" x14ac:dyDescent="0.35">
      <c r="A1061" t="s">
        <v>782</v>
      </c>
      <c r="B1061" t="s">
        <v>902</v>
      </c>
      <c r="C1061">
        <v>18490000</v>
      </c>
      <c r="D1061">
        <v>18490000</v>
      </c>
      <c r="E1061" t="s">
        <v>903</v>
      </c>
      <c r="F1061" t="s">
        <v>1051</v>
      </c>
      <c r="G1061" t="str">
        <f>_xlfn.TEXTJOIN(",",TRUE,_xlfn._xlws.FILTER(GPU_brand[GPU brand], (GPU_brand[GPU brand text]&lt;&gt;"") * ISNUMBER(SEARCH(GPU_brand[GPU brand text], B1061)), ""))</f>
        <v>ASUS</v>
      </c>
      <c r="H1061" t="str">
        <f>_xlfn.TEXTJOIN(",",TRUE,_xlfn._xlws.FILTER(Chipset_Table[Chipset], (Chipset_Table[Chipset text]&lt;&gt;"") * ISNUMBER(SEARCH(Chipset_Table[Chipset text], B1061)), ""))</f>
        <v>GeForce RTX 5070,RTX 5070</v>
      </c>
      <c r="I1061" t="str">
        <f>_xlfn.TEXTJOIN(",",TRUE,_xlfn._xlws.FILTER(VRAM_table[Video memory], (VRAM_table[Video memory text]&lt;&gt;"") * ISNUMBER(SEARCH(VRAM_table[Video memory text], B1061)), ""))</f>
        <v>12GB,2GB</v>
      </c>
    </row>
    <row r="1062" spans="1:9" hidden="1" x14ac:dyDescent="0.35">
      <c r="A1062" t="s">
        <v>782</v>
      </c>
      <c r="B1062" t="s">
        <v>1023</v>
      </c>
      <c r="C1062">
        <v>18390000</v>
      </c>
      <c r="D1062">
        <v>18390000</v>
      </c>
      <c r="E1062" t="s">
        <v>1024</v>
      </c>
      <c r="F1062" t="s">
        <v>1051</v>
      </c>
      <c r="G1062" t="str">
        <f>_xlfn.TEXTJOIN(",",TRUE,_xlfn._xlws.FILTER(GPU_brand[GPU brand], (GPU_brand[GPU brand text]&lt;&gt;"") * ISNUMBER(SEARCH(GPU_brand[GPU brand text], B1062)), ""))</f>
        <v>Colorful</v>
      </c>
      <c r="H1062" t="str">
        <f>_xlfn.TEXTJOIN(",",TRUE,_xlfn._xlws.FILTER(Chipset_Table[Chipset], (Chipset_Table[Chipset text]&lt;&gt;"") * ISNUMBER(SEARCH(Chipset_Table[Chipset text], B1062)), ""))</f>
        <v>GeForce RTX 4070</v>
      </c>
      <c r="I1062" t="str">
        <f>_xlfn.TEXTJOIN(",",TRUE,_xlfn._xlws.FILTER(VRAM_table[Video memory], (VRAM_table[Video memory text]&lt;&gt;"") * ISNUMBER(SEARCH(VRAM_table[Video memory text], B1062)), ""))</f>
        <v>12GB,2GB</v>
      </c>
    </row>
    <row r="1063" spans="1:9" hidden="1" x14ac:dyDescent="0.35">
      <c r="A1063" t="s">
        <v>782</v>
      </c>
      <c r="B1063" t="s">
        <v>1021</v>
      </c>
      <c r="C1063">
        <v>12790000</v>
      </c>
      <c r="D1063">
        <v>12790000</v>
      </c>
      <c r="E1063" t="s">
        <v>1022</v>
      </c>
      <c r="F1063" t="s">
        <v>1051</v>
      </c>
      <c r="G1063" t="str">
        <f>_xlfn.TEXTJOIN(",",TRUE,_xlfn._xlws.FILTER(GPU_brand[GPU brand], (GPU_brand[GPU brand text]&lt;&gt;"") * ISNUMBER(SEARCH(GPU_brand[GPU brand text], B1063)), ""))</f>
        <v>Colorful</v>
      </c>
      <c r="H1063" t="str">
        <f>_xlfn.TEXTJOIN(",",TRUE,_xlfn._xlws.FILTER(Chipset_Table[Chipset], (Chipset_Table[Chipset text]&lt;&gt;"") * ISNUMBER(SEARCH(Chipset_Table[Chipset text], B1063)), ""))</f>
        <v>GeForce RTX 5060,GeForce RTX 5060 Ti,RTX 5060 Ti</v>
      </c>
      <c r="I1063" t="str">
        <f>_xlfn.TEXTJOIN(",",TRUE,_xlfn._xlws.FILTER(VRAM_table[Video memory], (VRAM_table[Video memory text]&lt;&gt;"") * ISNUMBER(SEARCH(VRAM_table[Video memory text], B1063)), ""))</f>
        <v>8GB,8GB</v>
      </c>
    </row>
    <row r="1064" spans="1:9" hidden="1" x14ac:dyDescent="0.35">
      <c r="A1064" t="s">
        <v>782</v>
      </c>
      <c r="B1064" t="s">
        <v>1015</v>
      </c>
      <c r="C1064">
        <v>13890000</v>
      </c>
      <c r="D1064">
        <v>13890000</v>
      </c>
      <c r="E1064" t="s">
        <v>1016</v>
      </c>
      <c r="F1064" t="s">
        <v>1051</v>
      </c>
      <c r="G1064" t="str">
        <f>_xlfn.TEXTJOIN(",",TRUE,_xlfn._xlws.FILTER(GPU_brand[GPU brand], (GPU_brand[GPU brand text]&lt;&gt;"") * ISNUMBER(SEARCH(GPU_brand[GPU brand text], B1064)), ""))</f>
        <v>Colorful</v>
      </c>
      <c r="H1064" t="str">
        <f>_xlfn.TEXTJOIN(",",TRUE,_xlfn._xlws.FILTER(Chipset_Table[Chipset], (Chipset_Table[Chipset text]&lt;&gt;"") * ISNUMBER(SEARCH(Chipset_Table[Chipset text], B1064)), ""))</f>
        <v>GeForce RTX 5060,GeForce RTX 5060 Ti,RTX 5060 Ti</v>
      </c>
      <c r="I1064" t="str">
        <f>_xlfn.TEXTJOIN(",",TRUE,_xlfn._xlws.FILTER(VRAM_table[Video memory], (VRAM_table[Video memory text]&lt;&gt;"") * ISNUMBER(SEARCH(VRAM_table[Video memory text], B1064)), ""))</f>
        <v>8GB,8GB</v>
      </c>
    </row>
    <row r="1065" spans="1:9" hidden="1" x14ac:dyDescent="0.35">
      <c r="A1065" t="s">
        <v>782</v>
      </c>
      <c r="B1065" t="s">
        <v>1017</v>
      </c>
      <c r="C1065">
        <v>13390000</v>
      </c>
      <c r="D1065">
        <v>13390000</v>
      </c>
      <c r="E1065" t="s">
        <v>1018</v>
      </c>
      <c r="F1065" t="s">
        <v>1051</v>
      </c>
      <c r="G1065" t="str">
        <f>_xlfn.TEXTJOIN(",",TRUE,_xlfn._xlws.FILTER(GPU_brand[GPU brand], (GPU_brand[GPU brand text]&lt;&gt;"") * ISNUMBER(SEARCH(GPU_brand[GPU brand text], B1065)), ""))</f>
        <v>MSI</v>
      </c>
      <c r="H1065" t="str">
        <f>_xlfn.TEXTJOIN(",",TRUE,_xlfn._xlws.FILTER(Chipset_Table[Chipset], (Chipset_Table[Chipset text]&lt;&gt;"") * ISNUMBER(SEARCH(Chipset_Table[Chipset text], B1065)), ""))</f>
        <v>GeForce RTX 5060,GeForce RTX 5060 Ti,RTX 5060 Ti</v>
      </c>
      <c r="I1065" t="str">
        <f>_xlfn.TEXTJOIN(",",TRUE,_xlfn._xlws.FILTER(VRAM_table[Video memory], (VRAM_table[Video memory text]&lt;&gt;"") * ISNUMBER(SEARCH(VRAM_table[Video memory text], B1065)), ""))</f>
        <v>8GB,8GB</v>
      </c>
    </row>
    <row r="1066" spans="1:9" hidden="1" x14ac:dyDescent="0.35">
      <c r="A1066" t="s">
        <v>782</v>
      </c>
      <c r="B1066" t="s">
        <v>1027</v>
      </c>
      <c r="C1066">
        <v>11390000</v>
      </c>
      <c r="D1066">
        <v>11390000</v>
      </c>
      <c r="E1066" t="s">
        <v>1028</v>
      </c>
      <c r="F1066" t="s">
        <v>1051</v>
      </c>
      <c r="G1066" t="str">
        <f>_xlfn.TEXTJOIN(",",TRUE,_xlfn._xlws.FILTER(GPU_brand[GPU brand], (GPU_brand[GPU brand text]&lt;&gt;"") * ISNUMBER(SEARCH(GPU_brand[GPU brand text], B1066)), ""))</f>
        <v>ZOTAC</v>
      </c>
      <c r="H1066" t="str">
        <f>_xlfn.TEXTJOIN(",",TRUE,_xlfn._xlws.FILTER(Chipset_Table[Chipset], (Chipset_Table[Chipset text]&lt;&gt;"") * ISNUMBER(SEARCH(Chipset_Table[Chipset text], B1066)), ""))</f>
        <v>GeForce RTX 5060,GeForce RTX 5060 Ti,RTX 5060 Ti</v>
      </c>
      <c r="I1066" t="str">
        <f>_xlfn.TEXTJOIN(",",TRUE,_xlfn._xlws.FILTER(VRAM_table[Video memory], (VRAM_table[Video memory text]&lt;&gt;"") * ISNUMBER(SEARCH(VRAM_table[Video memory text], B1066)), ""))</f>
        <v>8GB,8GB</v>
      </c>
    </row>
    <row r="1067" spans="1:9" hidden="1" x14ac:dyDescent="0.35">
      <c r="A1067" t="s">
        <v>782</v>
      </c>
      <c r="B1067" t="s">
        <v>1013</v>
      </c>
      <c r="C1067">
        <v>22590000</v>
      </c>
      <c r="D1067">
        <v>22590000</v>
      </c>
      <c r="E1067" t="s">
        <v>1014</v>
      </c>
      <c r="F1067" t="s">
        <v>1051</v>
      </c>
      <c r="G1067" t="str">
        <f>_xlfn.TEXTJOIN(",",TRUE,_xlfn._xlws.FILTER(GPU_brand[GPU brand], (GPU_brand[GPU brand text]&lt;&gt;"") * ISNUMBER(SEARCH(GPU_brand[GPU brand text], B1067)), ""))</f>
        <v>ASRock</v>
      </c>
      <c r="H1067" t="str">
        <f>_xlfn.TEXTJOIN(",",TRUE,_xlfn._xlws.FILTER(Chipset_Table[Chipset], (Chipset_Table[Chipset text]&lt;&gt;"") * ISNUMBER(SEARCH(Chipset_Table[Chipset text], B1067)), ""))</f>
        <v>RX 9070</v>
      </c>
      <c r="I1067" t="str">
        <f>_xlfn.TEXTJOIN(",",TRUE,_xlfn._xlws.FILTER(VRAM_table[Video memory], (VRAM_table[Video memory text]&lt;&gt;"") * ISNUMBER(SEARCH(VRAM_table[Video memory text], B1067)), ""))</f>
        <v>16GB,16GB,6GB,6GB</v>
      </c>
    </row>
    <row r="1068" spans="1:9" hidden="1" x14ac:dyDescent="0.35">
      <c r="A1068" t="s">
        <v>782</v>
      </c>
      <c r="B1068" t="s">
        <v>1029</v>
      </c>
      <c r="C1068">
        <v>42490000</v>
      </c>
      <c r="D1068">
        <v>42490000</v>
      </c>
      <c r="E1068" t="s">
        <v>1030</v>
      </c>
      <c r="F1068" t="s">
        <v>1051</v>
      </c>
      <c r="G1068" t="str">
        <f>_xlfn.TEXTJOIN(",",TRUE,_xlfn._xlws.FILTER(GPU_brand[GPU brand], (GPU_brand[GPU brand text]&lt;&gt;"") * ISNUMBER(SEARCH(GPU_brand[GPU brand text], B1068)), ""))</f>
        <v>ASUS</v>
      </c>
      <c r="H1068" t="str">
        <f>_xlfn.TEXTJOIN(",",TRUE,_xlfn._xlws.FILTER(Chipset_Table[Chipset], (Chipset_Table[Chipset text]&lt;&gt;"") * ISNUMBER(SEARCH(Chipset_Table[Chipset text], B1068)), ""))</f>
        <v>GeForce RTX 5080,RTX 5080</v>
      </c>
      <c r="I1068" t="str">
        <f>_xlfn.TEXTJOIN(",",TRUE,_xlfn._xlws.FILTER(VRAM_table[Video memory], (VRAM_table[Video memory text]&lt;&gt;"") * ISNUMBER(SEARCH(VRAM_table[Video memory text], B1068)), ""))</f>
        <v>16GB,16GB,6GB,6GB</v>
      </c>
    </row>
    <row r="1069" spans="1:9" hidden="1" x14ac:dyDescent="0.35">
      <c r="A1069" t="s">
        <v>782</v>
      </c>
      <c r="B1069" t="s">
        <v>1041</v>
      </c>
      <c r="C1069">
        <v>26490000</v>
      </c>
      <c r="D1069">
        <v>26490000</v>
      </c>
      <c r="E1069" t="s">
        <v>1042</v>
      </c>
      <c r="F1069" t="s">
        <v>1051</v>
      </c>
      <c r="G1069" t="str">
        <f>_xlfn.TEXTJOIN(",",TRUE,_xlfn._xlws.FILTER(GPU_brand[GPU brand], (GPU_brand[GPU brand text]&lt;&gt;"") * ISNUMBER(SEARCH(GPU_brand[GPU brand text], B1069)), ""))</f>
        <v>Gigabyte</v>
      </c>
      <c r="H1069" t="str">
        <f>_xlfn.TEXTJOIN(",",TRUE,_xlfn._xlws.FILTER(Chipset_Table[Chipset], (Chipset_Table[Chipset text]&lt;&gt;"") * ISNUMBER(SEARCH(Chipset_Table[Chipset text], B1069)), ""))</f>
        <v>GeForce RTX 5070,GeForce RTX 5070 Ti,RTX 5070</v>
      </c>
      <c r="I1069" t="str">
        <f>_xlfn.TEXTJOIN(",",TRUE,_xlfn._xlws.FILTER(VRAM_table[Video memory], (VRAM_table[Video memory text]&lt;&gt;"") * ISNUMBER(SEARCH(VRAM_table[Video memory text], B1069)), ""))</f>
        <v>16GB,16GB,6GB,6GB</v>
      </c>
    </row>
    <row r="1070" spans="1:9" hidden="1" x14ac:dyDescent="0.35">
      <c r="A1070" t="s">
        <v>782</v>
      </c>
      <c r="B1070" t="s">
        <v>993</v>
      </c>
      <c r="C1070">
        <v>38290000</v>
      </c>
      <c r="D1070">
        <v>38290000</v>
      </c>
      <c r="E1070" t="s">
        <v>994</v>
      </c>
      <c r="F1070" t="s">
        <v>1051</v>
      </c>
      <c r="G1070" t="str">
        <f>_xlfn.TEXTJOIN(",",TRUE,_xlfn._xlws.FILTER(GPU_brand[GPU brand], (GPU_brand[GPU brand text]&lt;&gt;"") * ISNUMBER(SEARCH(GPU_brand[GPU brand text], B1070)), ""))</f>
        <v>MSI</v>
      </c>
      <c r="H1070" t="str">
        <f>_xlfn.TEXTJOIN(",",TRUE,_xlfn._xlws.FILTER(Chipset_Table[Chipset], (Chipset_Table[Chipset text]&lt;&gt;"") * ISNUMBER(SEARCH(Chipset_Table[Chipset text], B1070)), ""))</f>
        <v>RTX 5080</v>
      </c>
      <c r="I1070" t="str">
        <f>_xlfn.TEXTJOIN(",",TRUE,_xlfn._xlws.FILTER(VRAM_table[Video memory], (VRAM_table[Video memory text]&lt;&gt;"") * ISNUMBER(SEARCH(VRAM_table[Video memory text], B1070)), ""))</f>
        <v>16GB,6GB</v>
      </c>
    </row>
    <row r="1071" spans="1:9" hidden="1" x14ac:dyDescent="0.35">
      <c r="A1071" t="s">
        <v>782</v>
      </c>
      <c r="B1071" t="s">
        <v>1031</v>
      </c>
      <c r="C1071">
        <v>38290000</v>
      </c>
      <c r="D1071">
        <v>38290000</v>
      </c>
      <c r="E1071" t="s">
        <v>1032</v>
      </c>
      <c r="F1071" t="s">
        <v>1051</v>
      </c>
      <c r="G1071" t="str">
        <f>_xlfn.TEXTJOIN(",",TRUE,_xlfn._xlws.FILTER(GPU_brand[GPU brand], (GPU_brand[GPU brand text]&lt;&gt;"") * ISNUMBER(SEARCH(GPU_brand[GPU brand text], B1071)), ""))</f>
        <v>ZOTAC</v>
      </c>
      <c r="H1071" t="str">
        <f>_xlfn.TEXTJOIN(",",TRUE,_xlfn._xlws.FILTER(Chipset_Table[Chipset], (Chipset_Table[Chipset text]&lt;&gt;"") * ISNUMBER(SEARCH(Chipset_Table[Chipset text], B1071)), ""))</f>
        <v>GeForce RTX 5080,RTX 5080</v>
      </c>
      <c r="I1071" t="str">
        <f>_xlfn.TEXTJOIN(",",TRUE,_xlfn._xlws.FILTER(VRAM_table[Video memory], (VRAM_table[Video memory text]&lt;&gt;"") * ISNUMBER(SEARCH(VRAM_table[Video memory text], B1071)), ""))</f>
        <v>16GB,16GB,6GB,6GB</v>
      </c>
    </row>
    <row r="1072" spans="1:9" hidden="1" x14ac:dyDescent="0.35">
      <c r="A1072" t="s">
        <v>782</v>
      </c>
      <c r="B1072" t="s">
        <v>1019</v>
      </c>
      <c r="C1072">
        <v>19290000</v>
      </c>
      <c r="D1072">
        <v>19290000</v>
      </c>
      <c r="E1072" t="s">
        <v>1020</v>
      </c>
      <c r="F1072" t="s">
        <v>1051</v>
      </c>
      <c r="G1072" t="str">
        <f>_xlfn.TEXTJOIN(",",TRUE,_xlfn._xlws.FILTER(GPU_brand[GPU brand], (GPU_brand[GPU brand text]&lt;&gt;"") * ISNUMBER(SEARCH(GPU_brand[GPU brand text], B1072)), ""))</f>
        <v>Gigabyte</v>
      </c>
      <c r="H1072" t="str">
        <f>_xlfn.TEXTJOIN(",",TRUE,_xlfn._xlws.FILTER(Chipset_Table[Chipset], (Chipset_Table[Chipset text]&lt;&gt;"") * ISNUMBER(SEARCH(Chipset_Table[Chipset text], B1072)), ""))</f>
        <v>RX 9070</v>
      </c>
      <c r="I1072" t="str">
        <f>_xlfn.TEXTJOIN(",",TRUE,_xlfn._xlws.FILTER(VRAM_table[Video memory], (VRAM_table[Video memory text]&lt;&gt;"") * ISNUMBER(SEARCH(VRAM_table[Video memory text], B1072)), ""))</f>
        <v>16GB,16GB,6GB,6GB</v>
      </c>
    </row>
    <row r="1073" spans="1:9" hidden="1" x14ac:dyDescent="0.35">
      <c r="A1073" t="s">
        <v>782</v>
      </c>
      <c r="B1073" t="s">
        <v>1025</v>
      </c>
      <c r="C1073">
        <v>29990000</v>
      </c>
      <c r="D1073">
        <v>29990000</v>
      </c>
      <c r="E1073" t="s">
        <v>1026</v>
      </c>
      <c r="F1073" t="s">
        <v>1051</v>
      </c>
      <c r="G1073" t="str">
        <f>_xlfn.TEXTJOIN(",",TRUE,_xlfn._xlws.FILTER(GPU_brand[GPU brand], (GPU_brand[GPU brand text]&lt;&gt;"") * ISNUMBER(SEARCH(GPU_brand[GPU brand text], B1073)), ""))</f>
        <v>ZOTAC</v>
      </c>
      <c r="H1073" t="str">
        <f>_xlfn.TEXTJOIN(",",TRUE,_xlfn._xlws.FILTER(Chipset_Table[Chipset], (Chipset_Table[Chipset text]&lt;&gt;"") * ISNUMBER(SEARCH(Chipset_Table[Chipset text], B1073)), ""))</f>
        <v>GeForce RTX 5070,GeForce RTX 5070 Ti,RTX 5070</v>
      </c>
      <c r="I1073" t="str">
        <f>_xlfn.TEXTJOIN(",",TRUE,_xlfn._xlws.FILTER(VRAM_table[Video memory], (VRAM_table[Video memory text]&lt;&gt;"") * ISNUMBER(SEARCH(VRAM_table[Video memory text], B1073)), ""))</f>
        <v>16GB,16GB,6GB,6GB</v>
      </c>
    </row>
    <row r="1074" spans="1:9" hidden="1" x14ac:dyDescent="0.35">
      <c r="A1074" t="s">
        <v>782</v>
      </c>
      <c r="B1074" t="s">
        <v>940</v>
      </c>
      <c r="C1074">
        <v>11390000</v>
      </c>
      <c r="D1074">
        <v>11390000</v>
      </c>
      <c r="E1074" t="s">
        <v>941</v>
      </c>
      <c r="F1074" t="s">
        <v>1051</v>
      </c>
      <c r="G1074" t="str">
        <f>_xlfn.TEXTJOIN(",",TRUE,_xlfn._xlws.FILTER(GPU_brand[GPU brand], (GPU_brand[GPU brand text]&lt;&gt;"") * ISNUMBER(SEARCH(GPU_brand[GPU brand text], B1074)), ""))</f>
        <v>Colorful</v>
      </c>
      <c r="H1074" t="str">
        <f>_xlfn.TEXTJOIN(",",TRUE,_xlfn._xlws.FILTER(Chipset_Table[Chipset], (Chipset_Table[Chipset text]&lt;&gt;"") * ISNUMBER(SEARCH(Chipset_Table[Chipset text], B1074)), ""))</f>
        <v>GeForce RTX 5060</v>
      </c>
      <c r="I1074" t="str">
        <f>_xlfn.TEXTJOIN(",",TRUE,_xlfn._xlws.FILTER(VRAM_table[Video memory], (VRAM_table[Video memory text]&lt;&gt;"") * ISNUMBER(SEARCH(VRAM_table[Video memory text], B1074)), ""))</f>
        <v>8GB,8GB</v>
      </c>
    </row>
    <row r="1075" spans="1:9" hidden="1" x14ac:dyDescent="0.35">
      <c r="A1075" t="s">
        <v>782</v>
      </c>
      <c r="B1075" t="s">
        <v>870</v>
      </c>
      <c r="C1075">
        <v>9690000</v>
      </c>
      <c r="D1075">
        <v>9690000</v>
      </c>
      <c r="E1075" t="s">
        <v>871</v>
      </c>
      <c r="F1075" t="s">
        <v>1051</v>
      </c>
      <c r="G1075" t="str">
        <f>_xlfn.TEXTJOIN(",",TRUE,_xlfn._xlws.FILTER(GPU_brand[GPU brand], (GPU_brand[GPU brand text]&lt;&gt;"") * ISNUMBER(SEARCH(GPU_brand[GPU brand text], B1075)), ""))</f>
        <v>Gigabyte</v>
      </c>
      <c r="H1075" t="str">
        <f>_xlfn.TEXTJOIN(",",TRUE,_xlfn._xlws.FILTER(Chipset_Table[Chipset], (Chipset_Table[Chipset text]&lt;&gt;"") * ISNUMBER(SEARCH(Chipset_Table[Chipset text], B1075)), ""))</f>
        <v>GeForce RTX 5060</v>
      </c>
      <c r="I1075" t="str">
        <f>_xlfn.TEXTJOIN(",",TRUE,_xlfn._xlws.FILTER(VRAM_table[Video memory], (VRAM_table[Video memory text]&lt;&gt;"") * ISNUMBER(SEARCH(VRAM_table[Video memory text], B1075)), ""))</f>
        <v>8GB,8GB</v>
      </c>
    </row>
    <row r="1076" spans="1:9" hidden="1" x14ac:dyDescent="0.35">
      <c r="A1076" t="s">
        <v>782</v>
      </c>
      <c r="B1076" t="s">
        <v>1007</v>
      </c>
      <c r="C1076">
        <v>9190000</v>
      </c>
      <c r="D1076">
        <v>9190000</v>
      </c>
      <c r="E1076" t="s">
        <v>1008</v>
      </c>
      <c r="F1076" t="s">
        <v>1051</v>
      </c>
      <c r="G1076" t="str">
        <f>_xlfn.TEXTJOIN(",",TRUE,_xlfn._xlws.FILTER(GPU_brand[GPU brand], (GPU_brand[GPU brand text]&lt;&gt;"") * ISNUMBER(SEARCH(GPU_brand[GPU brand text], B1076)), ""))</f>
        <v>Gigabyte</v>
      </c>
      <c r="H1076" t="str">
        <f>_xlfn.TEXTJOIN(",",TRUE,_xlfn._xlws.FILTER(Chipset_Table[Chipset], (Chipset_Table[Chipset text]&lt;&gt;"") * ISNUMBER(SEARCH(Chipset_Table[Chipset text], B1076)), ""))</f>
        <v>GeForce RTX 5060</v>
      </c>
      <c r="I1076" t="str">
        <f>_xlfn.TEXTJOIN(",",TRUE,_xlfn._xlws.FILTER(VRAM_table[Video memory], (VRAM_table[Video memory text]&lt;&gt;"") * ISNUMBER(SEARCH(VRAM_table[Video memory text], B1076)), ""))</f>
        <v>8GB,8GB</v>
      </c>
    </row>
    <row r="1077" spans="1:9" hidden="1" x14ac:dyDescent="0.35">
      <c r="A1077" t="s">
        <v>782</v>
      </c>
      <c r="B1077" t="s">
        <v>1003</v>
      </c>
      <c r="C1077">
        <v>9590000</v>
      </c>
      <c r="D1077">
        <v>9590000</v>
      </c>
      <c r="E1077" t="s">
        <v>1004</v>
      </c>
      <c r="F1077" t="s">
        <v>1051</v>
      </c>
      <c r="G1077" t="str">
        <f>_xlfn.TEXTJOIN(",",TRUE,_xlfn._xlws.FILTER(GPU_brand[GPU brand], (GPU_brand[GPU brand text]&lt;&gt;"") * ISNUMBER(SEARCH(GPU_brand[GPU brand text], B1077)), ""))</f>
        <v>INNO3D</v>
      </c>
      <c r="H1077" t="str">
        <f>_xlfn.TEXTJOIN(",",TRUE,_xlfn._xlws.FILTER(Chipset_Table[Chipset], (Chipset_Table[Chipset text]&lt;&gt;"") * ISNUMBER(SEARCH(Chipset_Table[Chipset text], B1077)), ""))</f>
        <v>GeForce RTX 5060</v>
      </c>
      <c r="I1077" t="str">
        <f>_xlfn.TEXTJOIN(",",TRUE,_xlfn._xlws.FILTER(VRAM_table[Video memory], (VRAM_table[Video memory text]&lt;&gt;"") * ISNUMBER(SEARCH(VRAM_table[Video memory text], B1077)), ""))</f>
        <v>8GB,8GB</v>
      </c>
    </row>
    <row r="1078" spans="1:9" hidden="1" x14ac:dyDescent="0.35">
      <c r="A1078" t="s">
        <v>782</v>
      </c>
      <c r="B1078" t="s">
        <v>912</v>
      </c>
      <c r="C1078">
        <v>6190000</v>
      </c>
      <c r="D1078">
        <v>6190000</v>
      </c>
      <c r="E1078" t="s">
        <v>913</v>
      </c>
      <c r="F1078" t="s">
        <v>1051</v>
      </c>
      <c r="G1078" t="str">
        <f>_xlfn.TEXTJOIN(",",TRUE,_xlfn._xlws.FILTER(GPU_brand[GPU brand], (GPU_brand[GPU brand text]&lt;&gt;"") * ISNUMBER(SEARCH(GPU_brand[GPU brand text], B1078)), ""))</f>
        <v>T-WOLF</v>
      </c>
      <c r="H1078" t="str">
        <f>_xlfn.TEXTJOIN(",",TRUE,_xlfn._xlws.FILTER(Chipset_Table[Chipset], (Chipset_Table[Chipset text]&lt;&gt;"") * ISNUMBER(SEARCH(Chipset_Table[Chipset text], B1078)), ""))</f>
        <v>GeForce RTX 2060,RTX 2060</v>
      </c>
      <c r="I1078" t="str">
        <f>_xlfn.TEXTJOIN(",",TRUE,_xlfn._xlws.FILTER(VRAM_table[Video memory], (VRAM_table[Video memory text]&lt;&gt;"") * ISNUMBER(SEARCH(VRAM_table[Video memory text], B1078)), ""))</f>
        <v>8GB,8GB</v>
      </c>
    </row>
    <row r="1079" spans="1:9" hidden="1" x14ac:dyDescent="0.35">
      <c r="A1079" t="s">
        <v>782</v>
      </c>
      <c r="B1079" t="s">
        <v>1001</v>
      </c>
      <c r="C1079">
        <v>17090000</v>
      </c>
      <c r="D1079">
        <v>17090000</v>
      </c>
      <c r="E1079" t="s">
        <v>1002</v>
      </c>
      <c r="F1079" t="s">
        <v>1051</v>
      </c>
      <c r="G1079" t="str">
        <f>_xlfn.TEXTJOIN(",",TRUE,_xlfn._xlws.FILTER(GPU_brand[GPU brand], (GPU_brand[GPU brand text]&lt;&gt;"") * ISNUMBER(SEARCH(GPU_brand[GPU brand text], B1079)), ""))</f>
        <v>MSI</v>
      </c>
      <c r="H1079" t="str">
        <f>_xlfn.TEXTJOIN(",",TRUE,_xlfn._xlws.FILTER(Chipset_Table[Chipset], (Chipset_Table[Chipset text]&lt;&gt;"") * ISNUMBER(SEARCH(Chipset_Table[Chipset text], B1079)), ""))</f>
        <v>GeForce RTX 5060,GeForce RTX 5060 Ti,RTX 5060 Ti</v>
      </c>
      <c r="I1079" t="str">
        <f>_xlfn.TEXTJOIN(",",TRUE,_xlfn._xlws.FILTER(VRAM_table[Video memory], (VRAM_table[Video memory text]&lt;&gt;"") * ISNUMBER(SEARCH(VRAM_table[Video memory text], B1079)), ""))</f>
        <v>16GB,16GB,6GB,6GB</v>
      </c>
    </row>
    <row r="1080" spans="1:9" hidden="1" x14ac:dyDescent="0.35">
      <c r="A1080" t="s">
        <v>782</v>
      </c>
      <c r="B1080" t="s">
        <v>1049</v>
      </c>
      <c r="C1080">
        <v>1790000</v>
      </c>
      <c r="D1080">
        <v>1790000</v>
      </c>
      <c r="E1080" t="s">
        <v>1050</v>
      </c>
      <c r="F1080" t="s">
        <v>1051</v>
      </c>
      <c r="G1080" t="str">
        <f>_xlfn.TEXTJOIN(",",TRUE,_xlfn._xlws.FILTER(GPU_brand[GPU brand], (GPU_brand[GPU brand text]&lt;&gt;"") * ISNUMBER(SEARCH(GPU_brand[GPU brand text], B1080)), ""))</f>
        <v>T-WOLF</v>
      </c>
      <c r="H1080" t="str">
        <f>_xlfn.TEXTJOIN(",",TRUE,_xlfn._xlws.FILTER(Chipset_Table[Chipset], (Chipset_Table[Chipset text]&lt;&gt;"") * ISNUMBER(SEARCH(Chipset_Table[Chipset text], B1080)), ""))</f>
        <v>RX 550</v>
      </c>
      <c r="I1080" t="str">
        <f>_xlfn.TEXTJOIN(",",TRUE,_xlfn._xlws.FILTER(VRAM_table[Video memory], (VRAM_table[Video memory text]&lt;&gt;"") * ISNUMBER(SEARCH(VRAM_table[Video memory text], B1080)), ""))</f>
        <v>4GB,4GB</v>
      </c>
    </row>
    <row r="1081" spans="1:9" hidden="1" x14ac:dyDescent="0.35">
      <c r="A1081" t="s">
        <v>782</v>
      </c>
      <c r="B1081" t="s">
        <v>1043</v>
      </c>
      <c r="C1081">
        <v>33290000</v>
      </c>
      <c r="D1081">
        <v>33290000</v>
      </c>
      <c r="E1081" t="s">
        <v>1044</v>
      </c>
      <c r="F1081" t="s">
        <v>1051</v>
      </c>
      <c r="G1081" t="str">
        <f>_xlfn.TEXTJOIN(",",TRUE,_xlfn._xlws.FILTER(GPU_brand[GPU brand], (GPU_brand[GPU brand text]&lt;&gt;"") * ISNUMBER(SEARCH(GPU_brand[GPU brand text], B1081)), ""))</f>
        <v>ASUS</v>
      </c>
      <c r="H1081" t="str">
        <f>_xlfn.TEXTJOIN(",",TRUE,_xlfn._xlws.FILTER(Chipset_Table[Chipset], (Chipset_Table[Chipset text]&lt;&gt;"") * ISNUMBER(SEARCH(Chipset_Table[Chipset text], B1081)), ""))</f>
        <v>GeForce RTX 5070,GeForce RTX 5070 Ti,RTX 5070</v>
      </c>
      <c r="I1081" t="str">
        <f>_xlfn.TEXTJOIN(",",TRUE,_xlfn._xlws.FILTER(VRAM_table[Video memory], (VRAM_table[Video memory text]&lt;&gt;"") * ISNUMBER(SEARCH(VRAM_table[Video memory text], B1081)), ""))</f>
        <v>16GB,16GB,6GB,6GB</v>
      </c>
    </row>
    <row r="1082" spans="1:9" hidden="1" x14ac:dyDescent="0.35">
      <c r="A1082" t="s">
        <v>782</v>
      </c>
      <c r="B1082" t="s">
        <v>1047</v>
      </c>
      <c r="C1082">
        <v>8190000</v>
      </c>
      <c r="D1082">
        <v>8190000</v>
      </c>
      <c r="E1082" t="s">
        <v>1048</v>
      </c>
      <c r="F1082" t="s">
        <v>1051</v>
      </c>
      <c r="G1082" t="str">
        <f>_xlfn.TEXTJOIN(",",TRUE,_xlfn._xlws.FILTER(GPU_brand[GPU brand], (GPU_brand[GPU brand text]&lt;&gt;"") * ISNUMBER(SEARCH(GPU_brand[GPU brand text], B1082)), ""))</f>
        <v>SimorChip</v>
      </c>
      <c r="H1082" t="str">
        <f>_xlfn.TEXTJOIN(",",TRUE,_xlfn._xlws.FILTER(Chipset_Table[Chipset], (Chipset_Table[Chipset text]&lt;&gt;"") * ISNUMBER(SEARCH(Chipset_Table[Chipset text], B1082)), ""))</f>
        <v>GeForce RTX 3060,RTX 3060</v>
      </c>
      <c r="I1082" t="str">
        <f>_xlfn.TEXTJOIN(",",TRUE,_xlfn._xlws.FILTER(VRAM_table[Video memory], (VRAM_table[Video memory text]&lt;&gt;"") * ISNUMBER(SEARCH(VRAM_table[Video memory text], B1082)), ""))</f>
        <v>12GB,2GB</v>
      </c>
    </row>
    <row r="1083" spans="1:9" hidden="1" x14ac:dyDescent="0.35">
      <c r="A1083" t="s">
        <v>782</v>
      </c>
      <c r="B1083" t="s">
        <v>1045</v>
      </c>
      <c r="C1083">
        <v>4590000</v>
      </c>
      <c r="D1083">
        <v>4590000</v>
      </c>
      <c r="E1083" t="s">
        <v>1046</v>
      </c>
      <c r="F1083" t="s">
        <v>1051</v>
      </c>
      <c r="G1083" t="str">
        <f>_xlfn.TEXTJOIN(",",TRUE,_xlfn._xlws.FILTER(GPU_brand[GPU brand], (GPU_brand[GPU brand text]&lt;&gt;"") * ISNUMBER(SEARCH(GPU_brand[GPU brand text], B1083)), ""))</f>
        <v>Unika</v>
      </c>
      <c r="H1083" t="str">
        <f>_xlfn.TEXTJOIN(",",TRUE,_xlfn._xlws.FILTER(Chipset_Table[Chipset], (Chipset_Table[Chipset text]&lt;&gt;"") * ISNUMBER(SEARCH(Chipset_Table[Chipset text], B1083)), ""))</f>
        <v>GeForce GTX 1660 SUPER,GeForce GTX 1660, GTX 1660 Super</v>
      </c>
      <c r="I1083" t="str">
        <f>_xlfn.TEXTJOIN(",",TRUE,_xlfn._xlws.FILTER(VRAM_table[Video memory], (VRAM_table[Video memory text]&lt;&gt;"") * ISNUMBER(SEARCH(VRAM_table[Video memory text], B1083)), ""))</f>
        <v>6GB,6GB</v>
      </c>
    </row>
    <row r="1084" spans="1:9" hidden="1" x14ac:dyDescent="0.35">
      <c r="A1084" t="s">
        <v>782</v>
      </c>
      <c r="B1084" t="s">
        <v>1037</v>
      </c>
      <c r="C1084">
        <v>1950000</v>
      </c>
      <c r="D1084">
        <v>1950000</v>
      </c>
      <c r="E1084" t="s">
        <v>1038</v>
      </c>
      <c r="F1084" t="s">
        <v>1051</v>
      </c>
      <c r="G1084" t="str">
        <f>_xlfn.TEXTJOIN(",",TRUE,_xlfn._xlws.FILTER(GPU_brand[GPU brand], (GPU_brand[GPU brand text]&lt;&gt;"") * ISNUMBER(SEARCH(GPU_brand[GPU brand text], B1084)), ""))</f>
        <v>Unika</v>
      </c>
      <c r="H1084" t="str">
        <f>_xlfn.TEXTJOIN(",",TRUE,_xlfn._xlws.FILTER(Chipset_Table[Chipset], (Chipset_Table[Chipset text]&lt;&gt;"") * ISNUMBER(SEARCH(Chipset_Table[Chipset text], B1084)), ""))</f>
        <v>RX 560</v>
      </c>
      <c r="I1084" t="str">
        <f>_xlfn.TEXTJOIN(",",TRUE,_xlfn._xlws.FILTER(VRAM_table[Video memory], (VRAM_table[Video memory text]&lt;&gt;"") * ISNUMBER(SEARCH(VRAM_table[Video memory text], B1084)), ""))</f>
        <v>4GB,4GB</v>
      </c>
    </row>
    <row r="1085" spans="1:9" x14ac:dyDescent="0.35">
      <c r="A1085" t="s">
        <v>9</v>
      </c>
      <c r="B1085" t="s">
        <v>86</v>
      </c>
      <c r="C1085">
        <v>11990000</v>
      </c>
      <c r="D1085">
        <v>11590000</v>
      </c>
      <c r="E1085" t="s">
        <v>87</v>
      </c>
      <c r="F1085" t="s">
        <v>1064</v>
      </c>
      <c r="G1085" t="str">
        <f>_xlfn.TEXTJOIN(",",TRUE,_xlfn._xlws.FILTER(GPU_brand[GPU brand], (GPU_brand[GPU brand text]&lt;&gt;"") * ISNUMBER(SEARCH(GPU_brand[GPU brand text], B1085)), ""))</f>
        <v>ASUS</v>
      </c>
      <c r="H1085" t="str">
        <f>_xlfn.TEXTJOIN(",",TRUE,_xlfn._xlws.FILTER(Chipset_Table[Chipset], (Chipset_Table[Chipset text]&lt;&gt;"") * ISNUMBER(SEARCH(Chipset_Table[Chipset text], B1085)), ""))</f>
        <v>GeForce RTX 5060</v>
      </c>
      <c r="I1085" t="str">
        <f>_xlfn.TEXTJOIN(",",TRUE,_xlfn._xlws.FILTER(VRAM_table[Video memory], (VRAM_table[Video memory text]&lt;&gt;"") * ISNUMBER(SEARCH(VRAM_table[Video memory text], B1085)), ""))</f>
        <v>8GB,8GB</v>
      </c>
    </row>
    <row r="1086" spans="1:9" x14ac:dyDescent="0.35">
      <c r="A1086" t="s">
        <v>9</v>
      </c>
      <c r="B1086" t="s">
        <v>10</v>
      </c>
      <c r="C1086">
        <v>21990000</v>
      </c>
      <c r="D1086">
        <v>21490000</v>
      </c>
      <c r="E1086" t="s">
        <v>11</v>
      </c>
      <c r="F1086" t="s">
        <v>1064</v>
      </c>
      <c r="G1086" t="str">
        <f>_xlfn.TEXTJOIN(",",TRUE,_xlfn._xlws.FILTER(GPU_brand[GPU brand], (GPU_brand[GPU brand text]&lt;&gt;"") * ISNUMBER(SEARCH(GPU_brand[GPU brand text], B1086)), ""))</f>
        <v>ZOTAC</v>
      </c>
      <c r="H1086" t="str">
        <f>_xlfn.TEXTJOIN(",",TRUE,_xlfn._xlws.FILTER(Chipset_Table[Chipset], (Chipset_Table[Chipset text]&lt;&gt;"") * ISNUMBER(SEARCH(Chipset_Table[Chipset text], B1086)), ""))</f>
        <v>GeForce RTX 5070,RTX 5070</v>
      </c>
      <c r="I1086" t="str">
        <f>_xlfn.TEXTJOIN(",",TRUE,_xlfn._xlws.FILTER(VRAM_table[Video memory], (VRAM_table[Video memory text]&lt;&gt;"") * ISNUMBER(SEARCH(VRAM_table[Video memory text], B1086)), ""))</f>
        <v>12GB</v>
      </c>
    </row>
    <row r="1087" spans="1:9" x14ac:dyDescent="0.35">
      <c r="A1087" t="s">
        <v>9</v>
      </c>
      <c r="B1087" t="s">
        <v>1052</v>
      </c>
      <c r="C1087">
        <v>14490000</v>
      </c>
      <c r="D1087">
        <v>13890000</v>
      </c>
      <c r="E1087" t="s">
        <v>1053</v>
      </c>
      <c r="F1087" t="s">
        <v>1064</v>
      </c>
      <c r="G1087" t="str">
        <f>_xlfn.TEXTJOIN(",",TRUE,_xlfn._xlws.FILTER(GPU_brand[GPU brand], (GPU_brand[GPU brand text]&lt;&gt;"") * ISNUMBER(SEARCH(GPU_brand[GPU brand text], B1087)), ""))</f>
        <v>ZOTAC</v>
      </c>
      <c r="H1087" t="str">
        <f>_xlfn.TEXTJOIN(",",TRUE,_xlfn._xlws.FILTER(Chipset_Table[Chipset], (Chipset_Table[Chipset text]&lt;&gt;"") * ISNUMBER(SEARCH(Chipset_Table[Chipset text], B1087)), ""))</f>
        <v>GeForce RTX 5060,GeForce RTX 5060 Ti,RTX 5060 Ti</v>
      </c>
      <c r="I1087" t="str">
        <f>_xlfn.TEXTJOIN(",",TRUE,_xlfn._xlws.FILTER(VRAM_table[Video memory], (VRAM_table[Video memory text]&lt;&gt;"") * ISNUMBER(SEARCH(VRAM_table[Video memory text], B1087)), ""))</f>
        <v>8GB,8GB</v>
      </c>
    </row>
    <row r="1088" spans="1:9" x14ac:dyDescent="0.35">
      <c r="A1088" t="s">
        <v>9</v>
      </c>
      <c r="B1088" t="s">
        <v>18</v>
      </c>
      <c r="C1088">
        <v>209990000</v>
      </c>
      <c r="D1088">
        <v>199990000</v>
      </c>
      <c r="E1088" t="s">
        <v>19</v>
      </c>
      <c r="F1088" t="s">
        <v>1064</v>
      </c>
      <c r="G1088" t="str">
        <f>_xlfn.TEXTJOIN(",",TRUE,_xlfn._xlws.FILTER(GPU_brand[GPU brand], (GPU_brand[GPU brand text]&lt;&gt;"") * ISNUMBER(SEARCH(GPU_brand[GPU brand text], B1088)), ""))</f>
        <v>MSI</v>
      </c>
      <c r="H1088" t="str">
        <f>_xlfn.TEXTJOIN(",",TRUE,_xlfn._xlws.FILTER(Chipset_Table[Chipset], (Chipset_Table[Chipset text]&lt;&gt;"") * ISNUMBER(SEARCH(Chipset_Table[Chipset text], B1088)), ""))</f>
        <v>GeForce RTX 5090</v>
      </c>
      <c r="I1088" t="str">
        <f>_xlfn.TEXTJOIN(",",TRUE,_xlfn._xlws.FILTER(VRAM_table[Video memory], (VRAM_table[Video memory text]&lt;&gt;"") * ISNUMBER(SEARCH(VRAM_table[Video memory text], B1088)), ""))</f>
        <v>32GB,32GB,2GB</v>
      </c>
    </row>
    <row r="1089" spans="1:9" x14ac:dyDescent="0.35">
      <c r="A1089" t="s">
        <v>9</v>
      </c>
      <c r="B1089" t="s">
        <v>21</v>
      </c>
      <c r="C1089">
        <v>11990000</v>
      </c>
      <c r="D1089">
        <v>11490000</v>
      </c>
      <c r="E1089" t="s">
        <v>22</v>
      </c>
      <c r="F1089" t="s">
        <v>1064</v>
      </c>
      <c r="G1089" t="str">
        <f>_xlfn.TEXTJOIN(",",TRUE,_xlfn._xlws.FILTER(GPU_brand[GPU brand], (GPU_brand[GPU brand text]&lt;&gt;"") * ISNUMBER(SEARCH(GPU_brand[GPU brand text], B1089)), ""))</f>
        <v>Gigabyte</v>
      </c>
      <c r="H1089" t="str">
        <f>_xlfn.TEXTJOIN(",",TRUE,_xlfn._xlws.FILTER(Chipset_Table[Chipset], (Chipset_Table[Chipset text]&lt;&gt;"") * ISNUMBER(SEARCH(Chipset_Table[Chipset text], B1089)), ""))</f>
        <v>GeForce RTX 5060</v>
      </c>
      <c r="I1089" t="str">
        <f>_xlfn.TEXTJOIN(",",TRUE,_xlfn._xlws.FILTER(VRAM_table[Video memory], (VRAM_table[Video memory text]&lt;&gt;"") * ISNUMBER(SEARCH(VRAM_table[Video memory text], B1089)), ""))</f>
        <v>8GB,8GB</v>
      </c>
    </row>
    <row r="1090" spans="1:9" x14ac:dyDescent="0.35">
      <c r="A1090" t="s">
        <v>9</v>
      </c>
      <c r="B1090" t="s">
        <v>24</v>
      </c>
      <c r="C1090">
        <v>9490000</v>
      </c>
      <c r="D1090">
        <v>8990000</v>
      </c>
      <c r="E1090" t="s">
        <v>25</v>
      </c>
      <c r="F1090" t="s">
        <v>1064</v>
      </c>
      <c r="G1090" t="str">
        <f>_xlfn.TEXTJOIN(",",TRUE,_xlfn._xlws.FILTER(GPU_brand[GPU brand], (GPU_brand[GPU brand text]&lt;&gt;"") * ISNUMBER(SEARCH(GPU_brand[GPU brand text], B1090)), ""))</f>
        <v>ZOTAC</v>
      </c>
      <c r="H1090" t="str">
        <f>_xlfn.TEXTJOIN(",",TRUE,_xlfn._xlws.FILTER(Chipset_Table[Chipset], (Chipset_Table[Chipset text]&lt;&gt;"") * ISNUMBER(SEARCH(Chipset_Table[Chipset text], B1090)), ""))</f>
        <v>GEFORCE RTX 5050,RTX 5050</v>
      </c>
      <c r="I1090" t="str">
        <f>_xlfn.TEXTJOIN(",",TRUE,_xlfn._xlws.FILTER(VRAM_table[Video memory], (VRAM_table[Video memory text]&lt;&gt;"") * ISNUMBER(SEARCH(VRAM_table[Video memory text], B1090)), ""))</f>
        <v>8GB,8GB</v>
      </c>
    </row>
    <row r="1091" spans="1:9" x14ac:dyDescent="0.35">
      <c r="A1091" t="s">
        <v>9</v>
      </c>
      <c r="B1091" t="s">
        <v>62</v>
      </c>
      <c r="C1091">
        <v>13490000</v>
      </c>
      <c r="D1091">
        <v>12490000</v>
      </c>
      <c r="E1091" t="s">
        <v>63</v>
      </c>
      <c r="F1091" t="s">
        <v>1064</v>
      </c>
      <c r="G1091" t="str">
        <f>_xlfn.TEXTJOIN(",",TRUE,_xlfn._xlws.FILTER(GPU_brand[GPU brand], (GPU_brand[GPU brand text]&lt;&gt;"") * ISNUMBER(SEARCH(GPU_brand[GPU brand text], B1091)), ""))</f>
        <v>ZOTAC</v>
      </c>
      <c r="H1091" t="str">
        <f>_xlfn.TEXTJOIN(",",TRUE,_xlfn._xlws.FILTER(Chipset_Table[Chipset], (Chipset_Table[Chipset text]&lt;&gt;"") * ISNUMBER(SEARCH(Chipset_Table[Chipset text], B1091)), ""))</f>
        <v>GeForce RTX 5060,GeForce RTX 5060 Ti,RTX 5060 Ti</v>
      </c>
      <c r="I1091" t="str">
        <f>_xlfn.TEXTJOIN(",",TRUE,_xlfn._xlws.FILTER(VRAM_table[Video memory], (VRAM_table[Video memory text]&lt;&gt;"") * ISNUMBER(SEARCH(VRAM_table[Video memory text], B1091)), ""))</f>
        <v>8GB,8GB</v>
      </c>
    </row>
    <row r="1092" spans="1:9" x14ac:dyDescent="0.35">
      <c r="A1092" t="s">
        <v>9</v>
      </c>
      <c r="B1092" t="s">
        <v>27</v>
      </c>
      <c r="C1092">
        <v>33990000</v>
      </c>
      <c r="D1092">
        <v>32990000</v>
      </c>
      <c r="E1092" t="s">
        <v>28</v>
      </c>
      <c r="F1092" t="s">
        <v>1064</v>
      </c>
      <c r="G1092" t="str">
        <f>_xlfn.TEXTJOIN(",",TRUE,_xlfn._xlws.FILTER(GPU_brand[GPU brand], (GPU_brand[GPU brand text]&lt;&gt;"") * ISNUMBER(SEARCH(GPU_brand[GPU brand text], B1092)), ""))</f>
        <v>MSI</v>
      </c>
      <c r="H1092" t="str">
        <f>_xlfn.TEXTJOIN(",",TRUE,_xlfn._xlws.FILTER(Chipset_Table[Chipset], (Chipset_Table[Chipset text]&lt;&gt;"") * ISNUMBER(SEARCH(Chipset_Table[Chipset text], B1092)), ""))</f>
        <v>GeForce RTX 5070,GeForce RTX 5070 Ti,RTX 5070</v>
      </c>
      <c r="I1092" t="str">
        <f>_xlfn.TEXTJOIN(",",TRUE,_xlfn._xlws.FILTER(VRAM_table[Video memory], (VRAM_table[Video memory text]&lt;&gt;"") * ISNUMBER(SEARCH(VRAM_table[Video memory text], B1092)), ""))</f>
        <v>16GB,6GB</v>
      </c>
    </row>
    <row r="1093" spans="1:9" x14ac:dyDescent="0.35">
      <c r="A1093" t="s">
        <v>9</v>
      </c>
      <c r="B1093" t="s">
        <v>29</v>
      </c>
      <c r="C1093">
        <v>16990000</v>
      </c>
      <c r="D1093">
        <v>15990000</v>
      </c>
      <c r="E1093" t="s">
        <v>30</v>
      </c>
      <c r="F1093" t="s">
        <v>1064</v>
      </c>
      <c r="G1093" t="str">
        <f>_xlfn.TEXTJOIN(",",TRUE,_xlfn._xlws.FILTER(GPU_brand[GPU brand], (GPU_brand[GPU brand text]&lt;&gt;"") * ISNUMBER(SEARCH(GPU_brand[GPU brand text], B1093)), ""))</f>
        <v>ZOTAC</v>
      </c>
      <c r="H1093" t="str">
        <f>_xlfn.TEXTJOIN(",",TRUE,_xlfn._xlws.FILTER(Chipset_Table[Chipset], (Chipset_Table[Chipset text]&lt;&gt;"") * ISNUMBER(SEARCH(Chipset_Table[Chipset text], B1093)), ""))</f>
        <v>GeForce RTX 5060,GeForce RTX 5060 Ti,RTX 5060 Ti</v>
      </c>
      <c r="I1093" t="str">
        <f>_xlfn.TEXTJOIN(",",TRUE,_xlfn._xlws.FILTER(VRAM_table[Video memory], (VRAM_table[Video memory text]&lt;&gt;"") * ISNUMBER(SEARCH(VRAM_table[Video memory text], B1093)), ""))</f>
        <v>16GB,16GB,6GB,6GB</v>
      </c>
    </row>
    <row r="1094" spans="1:9" x14ac:dyDescent="0.35">
      <c r="A1094" t="s">
        <v>9</v>
      </c>
      <c r="B1094" t="s">
        <v>108</v>
      </c>
      <c r="C1094">
        <v>11990000</v>
      </c>
      <c r="D1094">
        <v>10990000</v>
      </c>
      <c r="E1094" t="s">
        <v>109</v>
      </c>
      <c r="F1094" t="s">
        <v>1064</v>
      </c>
      <c r="G1094" t="str">
        <f>_xlfn.TEXTJOIN(",",TRUE,_xlfn._xlws.FILTER(GPU_brand[GPU brand], (GPU_brand[GPU brand text]&lt;&gt;"") * ISNUMBER(SEARCH(GPU_brand[GPU brand text], B1094)), ""))</f>
        <v>MSI</v>
      </c>
      <c r="H1094" t="str">
        <f>_xlfn.TEXTJOIN(",",TRUE,_xlfn._xlws.FILTER(Chipset_Table[Chipset], (Chipset_Table[Chipset text]&lt;&gt;"") * ISNUMBER(SEARCH(Chipset_Table[Chipset text], B1094)), ""))</f>
        <v>GeForce RTX 5060</v>
      </c>
      <c r="I1094" t="str">
        <f>_xlfn.TEXTJOIN(",",TRUE,_xlfn._xlws.FILTER(VRAM_table[Video memory], (VRAM_table[Video memory text]&lt;&gt;"") * ISNUMBER(SEARCH(VRAM_table[Video memory text], B1094)), ""))</f>
        <v>8GB,8GB</v>
      </c>
    </row>
    <row r="1095" spans="1:9" x14ac:dyDescent="0.35">
      <c r="A1095" t="s">
        <v>9</v>
      </c>
      <c r="B1095" t="s">
        <v>32</v>
      </c>
      <c r="C1095">
        <v>11990000</v>
      </c>
      <c r="D1095">
        <v>11490000</v>
      </c>
      <c r="E1095" t="s">
        <v>33</v>
      </c>
      <c r="F1095" t="s">
        <v>1064</v>
      </c>
      <c r="G1095" t="str">
        <f>_xlfn.TEXTJOIN(",",TRUE,_xlfn._xlws.FILTER(GPU_brand[GPU brand], (GPU_brand[GPU brand text]&lt;&gt;"") * ISNUMBER(SEARCH(GPU_brand[GPU brand text], B1095)), ""))</f>
        <v>MSI</v>
      </c>
      <c r="H1095" t="str">
        <f>_xlfn.TEXTJOIN(",",TRUE,_xlfn._xlws.FILTER(Chipset_Table[Chipset], (Chipset_Table[Chipset text]&lt;&gt;"") * ISNUMBER(SEARCH(Chipset_Table[Chipset text], B1095)), ""))</f>
        <v>GeForce RTX 5060</v>
      </c>
      <c r="I1095" t="str">
        <f>_xlfn.TEXTJOIN(",",TRUE,_xlfn._xlws.FILTER(VRAM_table[Video memory], (VRAM_table[Video memory text]&lt;&gt;"") * ISNUMBER(SEARCH(VRAM_table[Video memory text], B1095)), ""))</f>
        <v>8GB,8GB</v>
      </c>
    </row>
    <row r="1096" spans="1:9" x14ac:dyDescent="0.35">
      <c r="A1096" t="s">
        <v>9</v>
      </c>
      <c r="B1096" t="s">
        <v>34</v>
      </c>
      <c r="C1096">
        <v>11690000</v>
      </c>
      <c r="D1096">
        <v>9990000</v>
      </c>
      <c r="E1096" t="s">
        <v>35</v>
      </c>
      <c r="F1096" t="s">
        <v>1064</v>
      </c>
      <c r="G1096" t="str">
        <f>_xlfn.TEXTJOIN(",",TRUE,_xlfn._xlws.FILTER(GPU_brand[GPU brand], (GPU_brand[GPU brand text]&lt;&gt;"") * ISNUMBER(SEARCH(GPU_brand[GPU brand text], B1096)), ""))</f>
        <v>Gigabyte</v>
      </c>
      <c r="H1096" t="str">
        <f>_xlfn.TEXTJOIN(",",TRUE,_xlfn._xlws.FILTER(Chipset_Table[Chipset], (Chipset_Table[Chipset text]&lt;&gt;"") * ISNUMBER(SEARCH(Chipset_Table[Chipset text], B1096)), ""))</f>
        <v>GeForce RTX 5060</v>
      </c>
      <c r="I1096" t="str">
        <f>_xlfn.TEXTJOIN(",",TRUE,_xlfn._xlws.FILTER(VRAM_table[Video memory], (VRAM_table[Video memory text]&lt;&gt;"") * ISNUMBER(SEARCH(VRAM_table[Video memory text], B1096)), ""))</f>
        <v>8GB,8GB</v>
      </c>
    </row>
    <row r="1097" spans="1:9" x14ac:dyDescent="0.35">
      <c r="A1097" t="s">
        <v>9</v>
      </c>
      <c r="B1097" t="s">
        <v>14</v>
      </c>
      <c r="C1097">
        <v>32990000</v>
      </c>
      <c r="D1097">
        <v>31990000</v>
      </c>
      <c r="E1097" t="s">
        <v>15</v>
      </c>
      <c r="F1097" t="s">
        <v>1064</v>
      </c>
      <c r="G1097" t="str">
        <f>_xlfn.TEXTJOIN(",",TRUE,_xlfn._xlws.FILTER(GPU_brand[GPU brand], (GPU_brand[GPU brand text]&lt;&gt;"") * ISNUMBER(SEARCH(GPU_brand[GPU brand text], B1097)), ""))</f>
        <v>MSI</v>
      </c>
      <c r="H1097" t="str">
        <f>_xlfn.TEXTJOIN(",",TRUE,_xlfn._xlws.FILTER(Chipset_Table[Chipset], (Chipset_Table[Chipset text]&lt;&gt;"") * ISNUMBER(SEARCH(Chipset_Table[Chipset text], B1097)), ""))</f>
        <v>GeForce RTX 5070,GeForce RTX 5070 Ti,RTX 5070</v>
      </c>
      <c r="I1097" t="str">
        <f>_xlfn.TEXTJOIN(",",TRUE,_xlfn._xlws.FILTER(VRAM_table[Video memory], (VRAM_table[Video memory text]&lt;&gt;"") * ISNUMBER(SEARCH(VRAM_table[Video memory text], B1097)), ""))</f>
        <v>16GB,16GB,6GB,6GB</v>
      </c>
    </row>
    <row r="1098" spans="1:9" x14ac:dyDescent="0.35">
      <c r="A1098" t="s">
        <v>9</v>
      </c>
      <c r="B1098" t="s">
        <v>36</v>
      </c>
      <c r="C1098">
        <v>21490000</v>
      </c>
      <c r="D1098">
        <v>19990000</v>
      </c>
      <c r="E1098" t="s">
        <v>37</v>
      </c>
      <c r="F1098" t="s">
        <v>1064</v>
      </c>
      <c r="G1098" t="str">
        <f>_xlfn.TEXTJOIN(",",TRUE,_xlfn._xlws.FILTER(GPU_brand[GPU brand], (GPU_brand[GPU brand text]&lt;&gt;"") * ISNUMBER(SEARCH(GPU_brand[GPU brand text], B1098)), ""))</f>
        <v>ASUS</v>
      </c>
      <c r="H1098" t="str">
        <f>_xlfn.TEXTJOIN(",",TRUE,_xlfn._xlws.FILTER(Chipset_Table[Chipset], (Chipset_Table[Chipset text]&lt;&gt;"") * ISNUMBER(SEARCH(Chipset_Table[Chipset text], B1098)), ""))</f>
        <v>GeForce RTX 5060,GeForce RTX 5060 Ti,RTX 5060 Ti</v>
      </c>
      <c r="I1098" t="str">
        <f>_xlfn.TEXTJOIN(",",TRUE,_xlfn._xlws.FILTER(VRAM_table[Video memory], (VRAM_table[Video memory text]&lt;&gt;"") * ISNUMBER(SEARCH(VRAM_table[Video memory text], B1098)), ""))</f>
        <v>16GB,16GB,6GB,6GB</v>
      </c>
    </row>
    <row r="1099" spans="1:9" x14ac:dyDescent="0.35">
      <c r="A1099" t="s">
        <v>9</v>
      </c>
      <c r="B1099" t="s">
        <v>194</v>
      </c>
      <c r="C1099">
        <v>118990000</v>
      </c>
      <c r="D1099">
        <v>114990000</v>
      </c>
      <c r="E1099" t="s">
        <v>195</v>
      </c>
      <c r="F1099" t="s">
        <v>1064</v>
      </c>
      <c r="G1099" t="str">
        <f>_xlfn.TEXTJOIN(",",TRUE,_xlfn._xlws.FILTER(GPU_brand[GPU brand], (GPU_brand[GPU brand text]&lt;&gt;"") * ISNUMBER(SEARCH(GPU_brand[GPU brand text], B1099)), ""))</f>
        <v>MSI</v>
      </c>
      <c r="H1099" t="str">
        <f>_xlfn.TEXTJOIN(",",TRUE,_xlfn._xlws.FILTER(Chipset_Table[Chipset], (Chipset_Table[Chipset text]&lt;&gt;"") * ISNUMBER(SEARCH(Chipset_Table[Chipset text], B1099)), ""))</f>
        <v>GeForce RTX 5090</v>
      </c>
      <c r="I1099" t="str">
        <f>_xlfn.TEXTJOIN(",",TRUE,_xlfn._xlws.FILTER(VRAM_table[Video memory], (VRAM_table[Video memory text]&lt;&gt;"") * ISNUMBER(SEARCH(VRAM_table[Video memory text], B1099)), ""))</f>
        <v>32GB,2GB</v>
      </c>
    </row>
    <row r="1100" spans="1:9" x14ac:dyDescent="0.35">
      <c r="A1100" t="s">
        <v>9</v>
      </c>
      <c r="B1100" t="s">
        <v>41</v>
      </c>
      <c r="C1100">
        <v>39990000</v>
      </c>
      <c r="D1100">
        <v>38990000</v>
      </c>
      <c r="E1100" t="s">
        <v>42</v>
      </c>
      <c r="F1100" t="s">
        <v>1064</v>
      </c>
      <c r="G1100" t="str">
        <f>_xlfn.TEXTJOIN(",",TRUE,_xlfn._xlws.FILTER(GPU_brand[GPU brand], (GPU_brand[GPU brand text]&lt;&gt;"") * ISNUMBER(SEARCH(GPU_brand[GPU brand text], B1100)), ""))</f>
        <v>MSI</v>
      </c>
      <c r="H1100" t="str">
        <f>_xlfn.TEXTJOIN(",",TRUE,_xlfn._xlws.FILTER(Chipset_Table[Chipset], (Chipset_Table[Chipset text]&lt;&gt;"") * ISNUMBER(SEARCH(Chipset_Table[Chipset text], B1100)), ""))</f>
        <v>GeForce RTX 5080,RTX 5080</v>
      </c>
      <c r="I1100" t="str">
        <f>_xlfn.TEXTJOIN(",",TRUE,_xlfn._xlws.FILTER(VRAM_table[Video memory], (VRAM_table[Video memory text]&lt;&gt;"") * ISNUMBER(SEARCH(VRAM_table[Video memory text], B1100)), ""))</f>
        <v>16GB,6GB</v>
      </c>
    </row>
    <row r="1101" spans="1:9" x14ac:dyDescent="0.35">
      <c r="A1101" t="s">
        <v>9</v>
      </c>
      <c r="B1101" t="s">
        <v>210</v>
      </c>
      <c r="C1101">
        <v>40990000</v>
      </c>
      <c r="D1101">
        <v>39990000</v>
      </c>
      <c r="E1101" t="s">
        <v>211</v>
      </c>
      <c r="F1101" t="s">
        <v>1064</v>
      </c>
      <c r="G1101" t="str">
        <f>_xlfn.TEXTJOIN(",",TRUE,_xlfn._xlws.FILTER(GPU_brand[GPU brand], (GPU_brand[GPU brand text]&lt;&gt;"") * ISNUMBER(SEARCH(GPU_brand[GPU brand text], B1101)), ""))</f>
        <v>ASUS</v>
      </c>
      <c r="H1101" t="str">
        <f>_xlfn.TEXTJOIN(",",TRUE,_xlfn._xlws.FILTER(Chipset_Table[Chipset], (Chipset_Table[Chipset text]&lt;&gt;"") * ISNUMBER(SEARCH(Chipset_Table[Chipset text], B1101)), ""))</f>
        <v>GeForce RTX 5070,GeForce RTX 5070 Ti,RTX 5070</v>
      </c>
      <c r="I1101" t="str">
        <f>_xlfn.TEXTJOIN(",",TRUE,_xlfn._xlws.FILTER(VRAM_table[Video memory], (VRAM_table[Video memory text]&lt;&gt;"") * ISNUMBER(SEARCH(VRAM_table[Video memory text], B1101)), ""))</f>
        <v>16GB,16GB,6GB,6GB</v>
      </c>
    </row>
    <row r="1102" spans="1:9" x14ac:dyDescent="0.35">
      <c r="A1102" t="s">
        <v>9</v>
      </c>
      <c r="B1102" t="s">
        <v>43</v>
      </c>
      <c r="C1102">
        <v>25490000</v>
      </c>
      <c r="D1102">
        <v>22990000</v>
      </c>
      <c r="E1102" t="s">
        <v>44</v>
      </c>
      <c r="F1102" t="s">
        <v>1064</v>
      </c>
      <c r="G1102" t="str">
        <f>_xlfn.TEXTJOIN(",",TRUE,_xlfn._xlws.FILTER(GPU_brand[GPU brand], (GPU_brand[GPU brand text]&lt;&gt;"") * ISNUMBER(SEARCH(GPU_brand[GPU brand text], B1102)), ""))</f>
        <v>Gigabyte</v>
      </c>
      <c r="H1102" t="str">
        <f>_xlfn.TEXTJOIN(",",TRUE,_xlfn._xlws.FILTER(Chipset_Table[Chipset], (Chipset_Table[Chipset text]&lt;&gt;"") * ISNUMBER(SEARCH(Chipset_Table[Chipset text], B1102)), ""))</f>
        <v>GeForce RTX 5070,RTX 5070</v>
      </c>
      <c r="I1102" t="str">
        <f>_xlfn.TEXTJOIN(",",TRUE,_xlfn._xlws.FILTER(VRAM_table[Video memory], (VRAM_table[Video memory text]&lt;&gt;"") * ISNUMBER(SEARCH(VRAM_table[Video memory text], B1102)), ""))</f>
        <v>12GB,2GB</v>
      </c>
    </row>
    <row r="1103" spans="1:9" x14ac:dyDescent="0.35">
      <c r="A1103" t="s">
        <v>9</v>
      </c>
      <c r="B1103" t="s">
        <v>46</v>
      </c>
      <c r="C1103">
        <v>32990000</v>
      </c>
      <c r="D1103">
        <v>31490000</v>
      </c>
      <c r="E1103" t="s">
        <v>47</v>
      </c>
      <c r="F1103" t="s">
        <v>1064</v>
      </c>
      <c r="G1103" t="str">
        <f>_xlfn.TEXTJOIN(",",TRUE,_xlfn._xlws.FILTER(GPU_brand[GPU brand], (GPU_brand[GPU brand text]&lt;&gt;"") * ISNUMBER(SEARCH(GPU_brand[GPU brand text], B1103)), ""))</f>
        <v>Gigabyte</v>
      </c>
      <c r="H1103" t="str">
        <f>_xlfn.TEXTJOIN(",",TRUE,_xlfn._xlws.FILTER(Chipset_Table[Chipset], (Chipset_Table[Chipset text]&lt;&gt;"") * ISNUMBER(SEARCH(Chipset_Table[Chipset text], B1103)), ""))</f>
        <v>GeForce RTX 5070,GeForce RTX 5070 Ti,RTX 5070</v>
      </c>
      <c r="I1103" t="str">
        <f>_xlfn.TEXTJOIN(",",TRUE,_xlfn._xlws.FILTER(VRAM_table[Video memory], (VRAM_table[Video memory text]&lt;&gt;"") * ISNUMBER(SEARCH(VRAM_table[Video memory text], B1103)), ""))</f>
        <v>16GB,6GB</v>
      </c>
    </row>
    <row r="1104" spans="1:9" x14ac:dyDescent="0.35">
      <c r="A1104" t="s">
        <v>9</v>
      </c>
      <c r="B1104" t="s">
        <v>48</v>
      </c>
      <c r="C1104">
        <v>54990000</v>
      </c>
      <c r="D1104">
        <v>49990000</v>
      </c>
      <c r="E1104" t="s">
        <v>49</v>
      </c>
      <c r="F1104" t="s">
        <v>1064</v>
      </c>
      <c r="G1104" t="str">
        <f>_xlfn.TEXTJOIN(",",TRUE,_xlfn._xlws.FILTER(GPU_brand[GPU brand], (GPU_brand[GPU brand text]&lt;&gt;"") * ISNUMBER(SEARCH(GPU_brand[GPU brand text], B1104)), ""))</f>
        <v>MSI</v>
      </c>
      <c r="H1104" t="str">
        <f>_xlfn.TEXTJOIN(",",TRUE,_xlfn._xlws.FILTER(Chipset_Table[Chipset], (Chipset_Table[Chipset text]&lt;&gt;"") * ISNUMBER(SEARCH(Chipset_Table[Chipset text], B1104)), ""))</f>
        <v>GeForce RTX 5080,RTX 5080</v>
      </c>
      <c r="I1104" t="str">
        <f>_xlfn.TEXTJOIN(",",TRUE,_xlfn._xlws.FILTER(VRAM_table[Video memory], (VRAM_table[Video memory text]&lt;&gt;"") * ISNUMBER(SEARCH(VRAM_table[Video memory text], B1104)), ""))</f>
        <v>16GB,6GB</v>
      </c>
    </row>
    <row r="1105" spans="1:9" x14ac:dyDescent="0.35">
      <c r="A1105" t="s">
        <v>9</v>
      </c>
      <c r="B1105" t="s">
        <v>50</v>
      </c>
      <c r="C1105">
        <v>0</v>
      </c>
      <c r="D1105">
        <v>44690000</v>
      </c>
      <c r="E1105" t="s">
        <v>51</v>
      </c>
      <c r="F1105" t="s">
        <v>1064</v>
      </c>
      <c r="G1105" t="str">
        <f>_xlfn.TEXTJOIN(",",TRUE,_xlfn._xlws.FILTER(GPU_brand[GPU brand], (GPU_brand[GPU brand text]&lt;&gt;"") * ISNUMBER(SEARCH(GPU_brand[GPU brand text], B1105)), ""))</f>
        <v>MSI</v>
      </c>
      <c r="H1105" t="str">
        <f>_xlfn.TEXTJOIN(",",TRUE,_xlfn._xlws.FILTER(Chipset_Table[Chipset], (Chipset_Table[Chipset text]&lt;&gt;"") * ISNUMBER(SEARCH(Chipset_Table[Chipset text], B1105)), ""))</f>
        <v>GeForce RTX 5080,RTX 5080</v>
      </c>
      <c r="I1105" t="str">
        <f>_xlfn.TEXTJOIN(",",TRUE,_xlfn._xlws.FILTER(VRAM_table[Video memory], (VRAM_table[Video memory text]&lt;&gt;"") * ISNUMBER(SEARCH(VRAM_table[Video memory text], B1105)), ""))</f>
        <v>16GB,6GB</v>
      </c>
    </row>
    <row r="1106" spans="1:9" x14ac:dyDescent="0.35">
      <c r="A1106" t="s">
        <v>9</v>
      </c>
      <c r="B1106" t="s">
        <v>288</v>
      </c>
      <c r="C1106">
        <v>129990000</v>
      </c>
      <c r="D1106">
        <v>125990000</v>
      </c>
      <c r="E1106" t="s">
        <v>289</v>
      </c>
      <c r="F1106" t="s">
        <v>1064</v>
      </c>
      <c r="G1106" t="str">
        <f>_xlfn.TEXTJOIN(",",TRUE,_xlfn._xlws.FILTER(GPU_brand[GPU brand], (GPU_brand[GPU brand text]&lt;&gt;"") * ISNUMBER(SEARCH(GPU_brand[GPU brand text], B1106)), ""))</f>
        <v>MSI</v>
      </c>
      <c r="H1106" t="str">
        <f>_xlfn.TEXTJOIN(",",TRUE,_xlfn._xlws.FILTER(Chipset_Table[Chipset], (Chipset_Table[Chipset text]&lt;&gt;"") * ISNUMBER(SEARCH(Chipset_Table[Chipset text], B1106)), ""))</f>
        <v>GeForce RTX 5090</v>
      </c>
      <c r="I1106" t="str">
        <f>_xlfn.TEXTJOIN(",",TRUE,_xlfn._xlws.FILTER(VRAM_table[Video memory], (VRAM_table[Video memory text]&lt;&gt;"") * ISNUMBER(SEARCH(VRAM_table[Video memory text], B1106)), ""))</f>
        <v>32GB,2GB</v>
      </c>
    </row>
    <row r="1107" spans="1:9" x14ac:dyDescent="0.35">
      <c r="A1107" t="s">
        <v>9</v>
      </c>
      <c r="B1107" t="s">
        <v>52</v>
      </c>
      <c r="C1107">
        <v>49990000</v>
      </c>
      <c r="D1107">
        <v>46990000</v>
      </c>
      <c r="E1107" t="s">
        <v>53</v>
      </c>
      <c r="F1107" t="s">
        <v>1064</v>
      </c>
      <c r="G1107" t="str">
        <f>_xlfn.TEXTJOIN(",",TRUE,_xlfn._xlws.FILTER(GPU_brand[GPU brand], (GPU_brand[GPU brand text]&lt;&gt;"") * ISNUMBER(SEARCH(GPU_brand[GPU brand text], B1107)), ""))</f>
        <v>ASUS</v>
      </c>
      <c r="H1107" t="str">
        <f>_xlfn.TEXTJOIN(",",TRUE,_xlfn._xlws.FILTER(Chipset_Table[Chipset], (Chipset_Table[Chipset text]&lt;&gt;"") * ISNUMBER(SEARCH(Chipset_Table[Chipset text], B1107)), ""))</f>
        <v>GeForce RTX 5080,RTX 5080</v>
      </c>
      <c r="I1107" t="str">
        <f>_xlfn.TEXTJOIN(",",TRUE,_xlfn._xlws.FILTER(VRAM_table[Video memory], (VRAM_table[Video memory text]&lt;&gt;"") * ISNUMBER(SEARCH(VRAM_table[Video memory text], B1107)), ""))</f>
        <v>16GB,16GB,6GB,6GB</v>
      </c>
    </row>
    <row r="1108" spans="1:9" x14ac:dyDescent="0.35">
      <c r="A1108" t="s">
        <v>9</v>
      </c>
      <c r="B1108" t="s">
        <v>54</v>
      </c>
      <c r="C1108">
        <v>59990000</v>
      </c>
      <c r="D1108">
        <v>57990000</v>
      </c>
      <c r="E1108" t="s">
        <v>55</v>
      </c>
      <c r="F1108" t="s">
        <v>1064</v>
      </c>
      <c r="G1108" t="str">
        <f>_xlfn.TEXTJOIN(",",TRUE,_xlfn._xlws.FILTER(GPU_brand[GPU brand], (GPU_brand[GPU brand text]&lt;&gt;"") * ISNUMBER(SEARCH(GPU_brand[GPU brand text], B1108)), ""))</f>
        <v>ASUS</v>
      </c>
      <c r="H1108" t="str">
        <f>_xlfn.TEXTJOIN(",",TRUE,_xlfn._xlws.FILTER(Chipset_Table[Chipset], (Chipset_Table[Chipset text]&lt;&gt;"") * ISNUMBER(SEARCH(Chipset_Table[Chipset text], B1108)), ""))</f>
        <v>GeForce RTX 5080,RTX 5080</v>
      </c>
      <c r="I1108" t="str">
        <f>_xlfn.TEXTJOIN(",",TRUE,_xlfn._xlws.FILTER(VRAM_table[Video memory], (VRAM_table[Video memory text]&lt;&gt;"") * ISNUMBER(SEARCH(VRAM_table[Video memory text], B1108)), ""))</f>
        <v>16GB,16GB,6GB,6GB</v>
      </c>
    </row>
    <row r="1109" spans="1:9" x14ac:dyDescent="0.35">
      <c r="A1109" t="s">
        <v>9</v>
      </c>
      <c r="B1109" t="s">
        <v>56</v>
      </c>
      <c r="C1109">
        <v>129990000</v>
      </c>
      <c r="D1109">
        <v>124990000</v>
      </c>
      <c r="E1109" t="s">
        <v>57</v>
      </c>
      <c r="F1109" t="s">
        <v>1064</v>
      </c>
      <c r="G1109" t="str">
        <f>_xlfn.TEXTJOIN(",",TRUE,_xlfn._xlws.FILTER(GPU_brand[GPU brand], (GPU_brand[GPU brand text]&lt;&gt;"") * ISNUMBER(SEARCH(GPU_brand[GPU brand text], B1109)), ""))</f>
        <v>ASUS</v>
      </c>
      <c r="H1109" t="str">
        <f>_xlfn.TEXTJOIN(",",TRUE,_xlfn._xlws.FILTER(Chipset_Table[Chipset], (Chipset_Table[Chipset text]&lt;&gt;"") * ISNUMBER(SEARCH(Chipset_Table[Chipset text], B1109)), ""))</f>
        <v>GeForce RTX 5090</v>
      </c>
      <c r="I1109" t="str">
        <f>_xlfn.TEXTJOIN(",",TRUE,_xlfn._xlws.FILTER(VRAM_table[Video memory], (VRAM_table[Video memory text]&lt;&gt;"") * ISNUMBER(SEARCH(VRAM_table[Video memory text], B1109)), ""))</f>
        <v>32GB,32GB,2GB</v>
      </c>
    </row>
    <row r="1110" spans="1:9" x14ac:dyDescent="0.35">
      <c r="A1110" t="s">
        <v>9</v>
      </c>
      <c r="B1110" t="s">
        <v>58</v>
      </c>
      <c r="C1110">
        <v>135000000</v>
      </c>
      <c r="D1110">
        <v>134990000</v>
      </c>
      <c r="E1110" t="s">
        <v>59</v>
      </c>
      <c r="F1110" t="s">
        <v>1064</v>
      </c>
      <c r="G1110" t="str">
        <f>_xlfn.TEXTJOIN(",",TRUE,_xlfn._xlws.FILTER(GPU_brand[GPU brand], (GPU_brand[GPU brand text]&lt;&gt;"") * ISNUMBER(SEARCH(GPU_brand[GPU brand text], B1110)), ""))</f>
        <v>ASUS</v>
      </c>
      <c r="H1110" t="str">
        <f>_xlfn.TEXTJOIN(",",TRUE,_xlfn._xlws.FILTER(Chipset_Table[Chipset], (Chipset_Table[Chipset text]&lt;&gt;"") * ISNUMBER(SEARCH(Chipset_Table[Chipset text], B1110)), ""))</f>
        <v>GeForce RTX 5090</v>
      </c>
      <c r="I1110" t="str">
        <f>_xlfn.TEXTJOIN(",",TRUE,_xlfn._xlws.FILTER(VRAM_table[Video memory], (VRAM_table[Video memory text]&lt;&gt;"") * ISNUMBER(SEARCH(VRAM_table[Video memory text], B1110)), ""))</f>
        <v>32GB,32GB,2GB</v>
      </c>
    </row>
    <row r="1111" spans="1:9" x14ac:dyDescent="0.35">
      <c r="A1111" t="s">
        <v>9</v>
      </c>
      <c r="B1111" t="s">
        <v>60</v>
      </c>
      <c r="C1111">
        <v>13490000</v>
      </c>
      <c r="D1111">
        <v>12990000</v>
      </c>
      <c r="E1111" t="s">
        <v>61</v>
      </c>
      <c r="F1111" t="s">
        <v>1064</v>
      </c>
      <c r="G1111" t="str">
        <f>_xlfn.TEXTJOIN(",",TRUE,_xlfn._xlws.FILTER(GPU_brand[GPU brand], (GPU_brand[GPU brand text]&lt;&gt;"") * ISNUMBER(SEARCH(GPU_brand[GPU brand text], B1111)), ""))</f>
        <v>MSI</v>
      </c>
      <c r="H1111" t="str">
        <f>_xlfn.TEXTJOIN(",",TRUE,_xlfn._xlws.FILTER(Chipset_Table[Chipset], (Chipset_Table[Chipset text]&lt;&gt;"") * ISNUMBER(SEARCH(Chipset_Table[Chipset text], B1111)), ""))</f>
        <v>GeForce RTX 5060,GeForce RTX 5060 Ti,RTX 5060 Ti</v>
      </c>
      <c r="I1111" t="str">
        <f>_xlfn.TEXTJOIN(",",TRUE,_xlfn._xlws.FILTER(VRAM_table[Video memory], (VRAM_table[Video memory text]&lt;&gt;"") * ISNUMBER(SEARCH(VRAM_table[Video memory text], B1111)), ""))</f>
        <v>8GB,8GB</v>
      </c>
    </row>
    <row r="1112" spans="1:9" x14ac:dyDescent="0.35">
      <c r="A1112" t="s">
        <v>9</v>
      </c>
      <c r="B1112" t="s">
        <v>64</v>
      </c>
      <c r="C1112">
        <v>15990000</v>
      </c>
      <c r="D1112">
        <v>14990000</v>
      </c>
      <c r="E1112" t="s">
        <v>65</v>
      </c>
      <c r="F1112" t="s">
        <v>1064</v>
      </c>
      <c r="G1112" t="str">
        <f>_xlfn.TEXTJOIN(",",TRUE,_xlfn._xlws.FILTER(GPU_brand[GPU brand], (GPU_brand[GPU brand text]&lt;&gt;"") * ISNUMBER(SEARCH(GPU_brand[GPU brand text], B1112)), ""))</f>
        <v>ZOTAC</v>
      </c>
      <c r="H1112" t="str">
        <f>_xlfn.TEXTJOIN(",",TRUE,_xlfn._xlws.FILTER(Chipset_Table[Chipset], (Chipset_Table[Chipset text]&lt;&gt;"") * ISNUMBER(SEARCH(Chipset_Table[Chipset text], B1112)), ""))</f>
        <v>GeForce RTX 5060,GeForce RTX 5060 Ti,RTX 5060 Ti</v>
      </c>
      <c r="I1112" t="str">
        <f>_xlfn.TEXTJOIN(",",TRUE,_xlfn._xlws.FILTER(VRAM_table[Video memory], (VRAM_table[Video memory text]&lt;&gt;"") * ISNUMBER(SEARCH(VRAM_table[Video memory text], B1112)), ""))</f>
        <v>16GB,16GB,6GB,6GB</v>
      </c>
    </row>
    <row r="1113" spans="1:9" x14ac:dyDescent="0.35">
      <c r="A1113" t="s">
        <v>9</v>
      </c>
      <c r="B1113" t="s">
        <v>66</v>
      </c>
      <c r="C1113">
        <v>19990000</v>
      </c>
      <c r="D1113">
        <v>18990000</v>
      </c>
      <c r="E1113" t="s">
        <v>67</v>
      </c>
      <c r="F1113" t="s">
        <v>1064</v>
      </c>
      <c r="G1113" t="str">
        <f>_xlfn.TEXTJOIN(",",TRUE,_xlfn._xlws.FILTER(GPU_brand[GPU brand], (GPU_brand[GPU brand text]&lt;&gt;"") * ISNUMBER(SEARCH(GPU_brand[GPU brand text], B1113)), ""))</f>
        <v>ZOTAC</v>
      </c>
      <c r="H1113" t="str">
        <f>_xlfn.TEXTJOIN(",",TRUE,_xlfn._xlws.FILTER(Chipset_Table[Chipset], (Chipset_Table[Chipset text]&lt;&gt;"") * ISNUMBER(SEARCH(Chipset_Table[Chipset text], B1113)), ""))</f>
        <v>GeForce RTX 5070,RTX 5070</v>
      </c>
      <c r="I1113" t="str">
        <f>_xlfn.TEXTJOIN(",",TRUE,_xlfn._xlws.FILTER(VRAM_table[Video memory], (VRAM_table[Video memory text]&lt;&gt;"") * ISNUMBER(SEARCH(VRAM_table[Video memory text], B1113)), ""))</f>
        <v>12GB</v>
      </c>
    </row>
    <row r="1114" spans="1:9" x14ac:dyDescent="0.35">
      <c r="A1114" t="s">
        <v>9</v>
      </c>
      <c r="B1114" t="s">
        <v>68</v>
      </c>
      <c r="C1114">
        <v>28490000</v>
      </c>
      <c r="D1114">
        <v>27990000</v>
      </c>
      <c r="E1114" t="s">
        <v>69</v>
      </c>
      <c r="F1114" t="s">
        <v>1064</v>
      </c>
      <c r="G1114" t="str">
        <f>_xlfn.TEXTJOIN(",",TRUE,_xlfn._xlws.FILTER(GPU_brand[GPU brand], (GPU_brand[GPU brand text]&lt;&gt;"") * ISNUMBER(SEARCH(GPU_brand[GPU brand text], B1114)), ""))</f>
        <v>MSI</v>
      </c>
      <c r="H1114" t="str">
        <f>_xlfn.TEXTJOIN(",",TRUE,_xlfn._xlws.FILTER(Chipset_Table[Chipset], (Chipset_Table[Chipset text]&lt;&gt;"") * ISNUMBER(SEARCH(Chipset_Table[Chipset text], B1114)), ""))</f>
        <v>GeForce RTX 5070,GeForce RTX 5070 Ti,RTX 5070</v>
      </c>
      <c r="I1114" t="str">
        <f>_xlfn.TEXTJOIN(",",TRUE,_xlfn._xlws.FILTER(VRAM_table[Video memory], (VRAM_table[Video memory text]&lt;&gt;"") * ISNUMBER(SEARCH(VRAM_table[Video memory text], B1114)), ""))</f>
        <v>16GB,6GB</v>
      </c>
    </row>
    <row r="1115" spans="1:9" x14ac:dyDescent="0.35">
      <c r="A1115" t="s">
        <v>9</v>
      </c>
      <c r="B1115" t="s">
        <v>70</v>
      </c>
      <c r="C1115">
        <v>0</v>
      </c>
      <c r="D1115">
        <v>188000000</v>
      </c>
      <c r="E1115" t="s">
        <v>71</v>
      </c>
      <c r="F1115" t="s">
        <v>1064</v>
      </c>
      <c r="G1115" t="str">
        <f>_xlfn.TEXTJOIN(",",TRUE,_xlfn._xlws.FILTER(GPU_brand[GPU brand], (GPU_brand[GPU brand text]&lt;&gt;"") * ISNUMBER(SEARCH(GPU_brand[GPU brand text], B1115)), ""))</f>
        <v>ASUS</v>
      </c>
      <c r="H1115" t="str">
        <f>_xlfn.TEXTJOIN(",",TRUE,_xlfn._xlws.FILTER(Chipset_Table[Chipset], (Chipset_Table[Chipset text]&lt;&gt;"") * ISNUMBER(SEARCH(Chipset_Table[Chipset text], B1115)), ""))</f>
        <v>GeForce RTX 5090</v>
      </c>
      <c r="I1115" t="str">
        <f>_xlfn.TEXTJOIN(",",TRUE,_xlfn._xlws.FILTER(VRAM_table[Video memory], (VRAM_table[Video memory text]&lt;&gt;"") * ISNUMBER(SEARCH(VRAM_table[Video memory text], B1115)), ""))</f>
        <v>32GB,32GB,2GB</v>
      </c>
    </row>
    <row r="1116" spans="1:9" x14ac:dyDescent="0.35">
      <c r="A1116" t="s">
        <v>9</v>
      </c>
      <c r="B1116" t="s">
        <v>72</v>
      </c>
      <c r="C1116">
        <v>20990000</v>
      </c>
      <c r="D1116">
        <v>20490000</v>
      </c>
      <c r="E1116" t="s">
        <v>73</v>
      </c>
      <c r="F1116" t="s">
        <v>1064</v>
      </c>
      <c r="G1116" t="str">
        <f>_xlfn.TEXTJOIN(",",TRUE,_xlfn._xlws.FILTER(GPU_brand[GPU brand], (GPU_brand[GPU brand text]&lt;&gt;"") * ISNUMBER(SEARCH(GPU_brand[GPU brand text], B1116)), ""))</f>
        <v>ASUS</v>
      </c>
      <c r="H1116" t="str">
        <f>_xlfn.TEXTJOIN(",",TRUE,_xlfn._xlws.FILTER(Chipset_Table[Chipset], (Chipset_Table[Chipset text]&lt;&gt;"") * ISNUMBER(SEARCH(Chipset_Table[Chipset text], B1116)), ""))</f>
        <v>GeForce RTX 5070,RTX 5070</v>
      </c>
      <c r="I1116" t="str">
        <f>_xlfn.TEXTJOIN(",",TRUE,_xlfn._xlws.FILTER(VRAM_table[Video memory], (VRAM_table[Video memory text]&lt;&gt;"") * ISNUMBER(SEARCH(VRAM_table[Video memory text], B1116)), ""))</f>
        <v>12GB,2GB</v>
      </c>
    </row>
    <row r="1117" spans="1:9" x14ac:dyDescent="0.35">
      <c r="A1117" t="s">
        <v>9</v>
      </c>
      <c r="B1117" t="s">
        <v>74</v>
      </c>
      <c r="C1117">
        <v>14990000</v>
      </c>
      <c r="D1117">
        <v>14490000</v>
      </c>
      <c r="E1117" t="s">
        <v>75</v>
      </c>
      <c r="F1117" t="s">
        <v>1064</v>
      </c>
      <c r="G1117" t="str">
        <f>_xlfn.TEXTJOIN(",",TRUE,_xlfn._xlws.FILTER(GPU_brand[GPU brand], (GPU_brand[GPU brand text]&lt;&gt;"") * ISNUMBER(SEARCH(GPU_brand[GPU brand text], B1117)), ""))</f>
        <v>MSI</v>
      </c>
      <c r="H1117" t="str">
        <f>_xlfn.TEXTJOIN(",",TRUE,_xlfn._xlws.FILTER(Chipset_Table[Chipset], (Chipset_Table[Chipset text]&lt;&gt;"") * ISNUMBER(SEARCH(Chipset_Table[Chipset text], B1117)), ""))</f>
        <v>GeForce RTX 5060,GeForce RTX 5060 Ti,RTX 5060 Ti</v>
      </c>
      <c r="I1117" t="str">
        <f>_xlfn.TEXTJOIN(",",TRUE,_xlfn._xlws.FILTER(VRAM_table[Video memory], (VRAM_table[Video memory text]&lt;&gt;"") * ISNUMBER(SEARCH(VRAM_table[Video memory text], B1117)), ""))</f>
        <v>16GB,16GB,6GB,6GB</v>
      </c>
    </row>
    <row r="1118" spans="1:9" x14ac:dyDescent="0.35">
      <c r="A1118" t="s">
        <v>9</v>
      </c>
      <c r="B1118" t="s">
        <v>76</v>
      </c>
      <c r="C1118">
        <v>104990000</v>
      </c>
      <c r="D1118">
        <v>103990000</v>
      </c>
      <c r="E1118" t="s">
        <v>77</v>
      </c>
      <c r="F1118" t="s">
        <v>1064</v>
      </c>
      <c r="G1118" t="str">
        <f>_xlfn.TEXTJOIN(",",TRUE,_xlfn._xlws.FILTER(GPU_brand[GPU brand], (GPU_brand[GPU brand text]&lt;&gt;"") * ISNUMBER(SEARCH(GPU_brand[GPU brand text], B1118)), ""))</f>
        <v>ASUS</v>
      </c>
      <c r="H1118" t="str">
        <f>_xlfn.TEXTJOIN(",",TRUE,_xlfn._xlws.FILTER(Chipset_Table[Chipset], (Chipset_Table[Chipset text]&lt;&gt;"") * ISNUMBER(SEARCH(Chipset_Table[Chipset text], B1118)), ""))</f>
        <v>GeForce RTX 5090</v>
      </c>
      <c r="I1118" t="str">
        <f>_xlfn.TEXTJOIN(",",TRUE,_xlfn._xlws.FILTER(VRAM_table[Video memory], (VRAM_table[Video memory text]&lt;&gt;"") * ISNUMBER(SEARCH(VRAM_table[Video memory text], B1118)), ""))</f>
        <v>32GB,32GB,2GB</v>
      </c>
    </row>
    <row r="1119" spans="1:9" x14ac:dyDescent="0.35">
      <c r="A1119" t="s">
        <v>9</v>
      </c>
      <c r="B1119" t="s">
        <v>78</v>
      </c>
      <c r="C1119">
        <v>0</v>
      </c>
      <c r="D1119">
        <v>32990000</v>
      </c>
      <c r="E1119" t="s">
        <v>79</v>
      </c>
      <c r="F1119" t="s">
        <v>1064</v>
      </c>
      <c r="G1119" t="str">
        <f>_xlfn.TEXTJOIN(",",TRUE,_xlfn._xlws.FILTER(GPU_brand[GPU brand], (GPU_brand[GPU brand text]&lt;&gt;"") * ISNUMBER(SEARCH(GPU_brand[GPU brand text], B1119)), ""))</f>
        <v>MSI</v>
      </c>
      <c r="H1119" t="str">
        <f>_xlfn.TEXTJOIN(",",TRUE,_xlfn._xlws.FILTER(Chipset_Table[Chipset], (Chipset_Table[Chipset text]&lt;&gt;"") * ISNUMBER(SEARCH(Chipset_Table[Chipset text], B1119)), ""))</f>
        <v>GeForce RTX 5070,GeForce RTX 5070 Ti,RTX 5070</v>
      </c>
      <c r="I1119" t="str">
        <f>_xlfn.TEXTJOIN(",",TRUE,_xlfn._xlws.FILTER(VRAM_table[Video memory], (VRAM_table[Video memory text]&lt;&gt;"") * ISNUMBER(SEARCH(VRAM_table[Video memory text], B1119)), ""))</f>
        <v>16GB,6GB</v>
      </c>
    </row>
    <row r="1120" spans="1:9" x14ac:dyDescent="0.35">
      <c r="A1120" t="s">
        <v>9</v>
      </c>
      <c r="B1120" t="s">
        <v>80</v>
      </c>
      <c r="C1120">
        <v>0</v>
      </c>
      <c r="D1120">
        <v>54120000</v>
      </c>
      <c r="E1120" t="s">
        <v>81</v>
      </c>
      <c r="F1120" t="s">
        <v>1064</v>
      </c>
      <c r="G1120" t="str">
        <f>_xlfn.TEXTJOIN(",",TRUE,_xlfn._xlws.FILTER(GPU_brand[GPU brand], (GPU_brand[GPU brand text]&lt;&gt;"") * ISNUMBER(SEARCH(GPU_brand[GPU brand text], B1120)), ""))</f>
        <v>ASUS</v>
      </c>
      <c r="H1120" t="str">
        <f>_xlfn.TEXTJOIN(",",TRUE,_xlfn._xlws.FILTER(Chipset_Table[Chipset], (Chipset_Table[Chipset text]&lt;&gt;"") * ISNUMBER(SEARCH(Chipset_Table[Chipset text], B1120)), ""))</f>
        <v>GeForce RTX 5080,RTX 5080</v>
      </c>
      <c r="I1120" t="str">
        <f>_xlfn.TEXTJOIN(",",TRUE,_xlfn._xlws.FILTER(VRAM_table[Video memory], (VRAM_table[Video memory text]&lt;&gt;"") * ISNUMBER(SEARCH(VRAM_table[Video memory text], B1120)), ""))</f>
        <v>16GB,16GB,6GB,6GB</v>
      </c>
    </row>
    <row r="1121" spans="1:9" x14ac:dyDescent="0.35">
      <c r="A1121" t="s">
        <v>9</v>
      </c>
      <c r="B1121" t="s">
        <v>82</v>
      </c>
      <c r="C1121">
        <v>54990000</v>
      </c>
      <c r="D1121">
        <v>53990000</v>
      </c>
      <c r="E1121" t="s">
        <v>83</v>
      </c>
      <c r="F1121" t="s">
        <v>1064</v>
      </c>
      <c r="G1121" t="str">
        <f>_xlfn.TEXTJOIN(",",TRUE,_xlfn._xlws.FILTER(GPU_brand[GPU brand], (GPU_brand[GPU brand text]&lt;&gt;"") * ISNUMBER(SEARCH(GPU_brand[GPU brand text], B1121)), ""))</f>
        <v>ASUS</v>
      </c>
      <c r="H1121" t="str">
        <f>_xlfn.TEXTJOIN(",",TRUE,_xlfn._xlws.FILTER(Chipset_Table[Chipset], (Chipset_Table[Chipset text]&lt;&gt;"") * ISNUMBER(SEARCH(Chipset_Table[Chipset text], B1121)), ""))</f>
        <v>GeForce RTX 5080,RTX 5080</v>
      </c>
      <c r="I1121" t="str">
        <f>_xlfn.TEXTJOIN(",",TRUE,_xlfn._xlws.FILTER(VRAM_table[Video memory], (VRAM_table[Video memory text]&lt;&gt;"") * ISNUMBER(SEARCH(VRAM_table[Video memory text], B1121)), ""))</f>
        <v>16GB,16GB,6GB,6GB</v>
      </c>
    </row>
    <row r="1122" spans="1:9" x14ac:dyDescent="0.35">
      <c r="A1122" t="s">
        <v>9</v>
      </c>
      <c r="B1122" t="s">
        <v>84</v>
      </c>
      <c r="C1122">
        <v>114990000</v>
      </c>
      <c r="D1122">
        <v>102990000</v>
      </c>
      <c r="E1122" t="s">
        <v>85</v>
      </c>
      <c r="F1122" t="s">
        <v>1064</v>
      </c>
      <c r="G1122" t="str">
        <f>_xlfn.TEXTJOIN(",",TRUE,_xlfn._xlws.FILTER(GPU_brand[GPU brand], (GPU_brand[GPU brand text]&lt;&gt;"") * ISNUMBER(SEARCH(GPU_brand[GPU brand text], B1122)), ""))</f>
        <v>ASUS</v>
      </c>
      <c r="H1122" t="str">
        <f>_xlfn.TEXTJOIN(",",TRUE,_xlfn._xlws.FILTER(Chipset_Table[Chipset], (Chipset_Table[Chipset text]&lt;&gt;"") * ISNUMBER(SEARCH(Chipset_Table[Chipset text], B1122)), ""))</f>
        <v>GeForce RTX 5090</v>
      </c>
      <c r="I1122" t="str">
        <f>_xlfn.TEXTJOIN(",",TRUE,_xlfn._xlws.FILTER(VRAM_table[Video memory], (VRAM_table[Video memory text]&lt;&gt;"") * ISNUMBER(SEARCH(VRAM_table[Video memory text], B1122)), ""))</f>
        <v>32GB,32GB,2GB</v>
      </c>
    </row>
    <row r="1123" spans="1:9" x14ac:dyDescent="0.35">
      <c r="A1123" t="s">
        <v>9</v>
      </c>
      <c r="B1123" t="s">
        <v>88</v>
      </c>
      <c r="C1123">
        <v>8290000</v>
      </c>
      <c r="D1123">
        <v>7890000</v>
      </c>
      <c r="E1123" t="s">
        <v>89</v>
      </c>
      <c r="F1123" t="s">
        <v>1064</v>
      </c>
      <c r="G1123" t="str">
        <f>_xlfn.TEXTJOIN(",",TRUE,_xlfn._xlws.FILTER(GPU_brand[GPU brand], (GPU_brand[GPU brand text]&lt;&gt;"") * ISNUMBER(SEARCH(GPU_brand[GPU brand text], B1123)), ""))</f>
        <v>ASUS</v>
      </c>
      <c r="H1123" t="str">
        <f>_xlfn.TEXTJOIN(",",TRUE,_xlfn._xlws.FILTER(Chipset_Table[Chipset], (Chipset_Table[Chipset text]&lt;&gt;"") * ISNUMBER(SEARCH(Chipset_Table[Chipset text], B1123)), ""))</f>
        <v>GEFORCE RTX 5050,RTX 5050</v>
      </c>
      <c r="I1123" t="str">
        <f>_xlfn.TEXTJOIN(",",TRUE,_xlfn._xlws.FILTER(VRAM_table[Video memory], (VRAM_table[Video memory text]&lt;&gt;"") * ISNUMBER(SEARCH(VRAM_table[Video memory text], B1123)), ""))</f>
        <v>8GB,8GB</v>
      </c>
    </row>
    <row r="1124" spans="1:9" x14ac:dyDescent="0.35">
      <c r="A1124" t="s">
        <v>9</v>
      </c>
      <c r="B1124" t="s">
        <v>90</v>
      </c>
      <c r="C1124">
        <v>9590000</v>
      </c>
      <c r="D1124">
        <v>9390000</v>
      </c>
      <c r="E1124" t="s">
        <v>91</v>
      </c>
      <c r="F1124" t="s">
        <v>1064</v>
      </c>
      <c r="G1124" t="str">
        <f>_xlfn.TEXTJOIN(",",TRUE,_xlfn._xlws.FILTER(GPU_brand[GPU brand], (GPU_brand[GPU brand text]&lt;&gt;"") * ISNUMBER(SEARCH(GPU_brand[GPU brand text], B1124)), ""))</f>
        <v>ASUS</v>
      </c>
      <c r="H1124" t="str">
        <f>_xlfn.TEXTJOIN(",",TRUE,_xlfn._xlws.FILTER(Chipset_Table[Chipset], (Chipset_Table[Chipset text]&lt;&gt;"") * ISNUMBER(SEARCH(Chipset_Table[Chipset text], B1124)), ""))</f>
        <v>GEFORCE RTX 5050,RTX 5050</v>
      </c>
      <c r="I1124" t="str">
        <f>_xlfn.TEXTJOIN(",",TRUE,_xlfn._xlws.FILTER(VRAM_table[Video memory], (VRAM_table[Video memory text]&lt;&gt;"") * ISNUMBER(SEARCH(VRAM_table[Video memory text], B1124)), ""))</f>
        <v>8GB,8GB</v>
      </c>
    </row>
    <row r="1125" spans="1:9" x14ac:dyDescent="0.35">
      <c r="A1125" t="s">
        <v>9</v>
      </c>
      <c r="B1125" t="s">
        <v>92</v>
      </c>
      <c r="C1125">
        <v>31990000</v>
      </c>
      <c r="D1125">
        <v>29490000</v>
      </c>
      <c r="E1125" t="s">
        <v>93</v>
      </c>
      <c r="F1125" t="s">
        <v>1064</v>
      </c>
      <c r="G1125" t="str">
        <f>_xlfn.TEXTJOIN(",",TRUE,_xlfn._xlws.FILTER(GPU_brand[GPU brand], (GPU_brand[GPU brand text]&lt;&gt;"") * ISNUMBER(SEARCH(GPU_brand[GPU brand text], B1125)), ""))</f>
        <v>MSI</v>
      </c>
      <c r="H1125" t="str">
        <f>_xlfn.TEXTJOIN(",",TRUE,_xlfn._xlws.FILTER(Chipset_Table[Chipset], (Chipset_Table[Chipset text]&lt;&gt;"") * ISNUMBER(SEARCH(Chipset_Table[Chipset text], B1125)), ""))</f>
        <v>GeForce RTX 5070,GeForce RTX 5070 Ti,RTX 5070</v>
      </c>
      <c r="I1125" t="str">
        <f>_xlfn.TEXTJOIN(",",TRUE,_xlfn._xlws.FILTER(VRAM_table[Video memory], (VRAM_table[Video memory text]&lt;&gt;"") * ISNUMBER(SEARCH(VRAM_table[Video memory text], B1125)), ""))</f>
        <v>16GB,6GB</v>
      </c>
    </row>
    <row r="1126" spans="1:9" x14ac:dyDescent="0.35">
      <c r="A1126" t="s">
        <v>9</v>
      </c>
      <c r="B1126" t="s">
        <v>94</v>
      </c>
      <c r="C1126">
        <v>9890000</v>
      </c>
      <c r="D1126">
        <v>8690000</v>
      </c>
      <c r="E1126" t="s">
        <v>95</v>
      </c>
      <c r="F1126" t="s">
        <v>1064</v>
      </c>
      <c r="G1126" t="str">
        <f>_xlfn.TEXTJOIN(",",TRUE,_xlfn._xlws.FILTER(GPU_brand[GPU brand], (GPU_brand[GPU brand text]&lt;&gt;"") * ISNUMBER(SEARCH(GPU_brand[GPU brand text], B1126)), ""))</f>
        <v>ASUS</v>
      </c>
      <c r="H1126" t="str">
        <f>_xlfn.TEXTJOIN(",",TRUE,_xlfn._xlws.FILTER(Chipset_Table[Chipset], (Chipset_Table[Chipset text]&lt;&gt;"") * ISNUMBER(SEARCH(Chipset_Table[Chipset text], B1126)), ""))</f>
        <v>GEFORCE RTX 5050,RTX 5050</v>
      </c>
      <c r="I1126" t="str">
        <f>_xlfn.TEXTJOIN(",",TRUE,_xlfn._xlws.FILTER(VRAM_table[Video memory], (VRAM_table[Video memory text]&lt;&gt;"") * ISNUMBER(SEARCH(VRAM_table[Video memory text], B1126)), ""))</f>
        <v>8GB,8GB</v>
      </c>
    </row>
    <row r="1127" spans="1:9" x14ac:dyDescent="0.35">
      <c r="A1127" t="s">
        <v>9</v>
      </c>
      <c r="B1127" t="s">
        <v>96</v>
      </c>
      <c r="C1127">
        <v>9290000</v>
      </c>
      <c r="D1127">
        <v>7490000</v>
      </c>
      <c r="E1127" t="s">
        <v>97</v>
      </c>
      <c r="F1127" t="s">
        <v>1064</v>
      </c>
      <c r="G1127" t="str">
        <f>_xlfn.TEXTJOIN(",",TRUE,_xlfn._xlws.FILTER(GPU_brand[GPU brand], (GPU_brand[GPU brand text]&lt;&gt;"") * ISNUMBER(SEARCH(GPU_brand[GPU brand text], B1127)), ""))</f>
        <v>ASUS</v>
      </c>
      <c r="H1127" t="str">
        <f>_xlfn.TEXTJOIN(",",TRUE,_xlfn._xlws.FILTER(Chipset_Table[Chipset], (Chipset_Table[Chipset text]&lt;&gt;"") * ISNUMBER(SEARCH(Chipset_Table[Chipset text], B1127)), ""))</f>
        <v>GEFORCE RTX 5050,RTX 5050</v>
      </c>
      <c r="I1127" t="str">
        <f>_xlfn.TEXTJOIN(",",TRUE,_xlfn._xlws.FILTER(VRAM_table[Video memory], (VRAM_table[Video memory text]&lt;&gt;"") * ISNUMBER(SEARCH(VRAM_table[Video memory text], B1127)), ""))</f>
        <v>8GB,8GB</v>
      </c>
    </row>
    <row r="1128" spans="1:9" x14ac:dyDescent="0.35">
      <c r="A1128" t="s">
        <v>9</v>
      </c>
      <c r="B1128" t="s">
        <v>98</v>
      </c>
      <c r="C1128">
        <v>8690000</v>
      </c>
      <c r="D1128">
        <v>8390000</v>
      </c>
      <c r="E1128" t="s">
        <v>99</v>
      </c>
      <c r="F1128" t="s">
        <v>1064</v>
      </c>
      <c r="G1128" t="str">
        <f>_xlfn.TEXTJOIN(",",TRUE,_xlfn._xlws.FILTER(GPU_brand[GPU brand], (GPU_brand[GPU brand text]&lt;&gt;"") * ISNUMBER(SEARCH(GPU_brand[GPU brand text], B1128)), ""))</f>
        <v>Gigabyte</v>
      </c>
      <c r="H1128" t="str">
        <f>_xlfn.TEXTJOIN(",",TRUE,_xlfn._xlws.FILTER(Chipset_Table[Chipset], (Chipset_Table[Chipset text]&lt;&gt;"") * ISNUMBER(SEARCH(Chipset_Table[Chipset text], B1128)), ""))</f>
        <v>GEFORCE RTX 5050,RTX 5050</v>
      </c>
      <c r="I1128" t="str">
        <f>_xlfn.TEXTJOIN(",",TRUE,_xlfn._xlws.FILTER(VRAM_table[Video memory], (VRAM_table[Video memory text]&lt;&gt;"") * ISNUMBER(SEARCH(VRAM_table[Video memory text], B1128)), ""))</f>
        <v>8GB,8GB</v>
      </c>
    </row>
    <row r="1129" spans="1:9" x14ac:dyDescent="0.35">
      <c r="A1129" t="s">
        <v>9</v>
      </c>
      <c r="B1129" t="s">
        <v>100</v>
      </c>
      <c r="C1129">
        <v>9490000</v>
      </c>
      <c r="D1129">
        <v>8890000</v>
      </c>
      <c r="E1129" t="s">
        <v>101</v>
      </c>
      <c r="F1129" t="s">
        <v>1064</v>
      </c>
      <c r="G1129" t="str">
        <f>_xlfn.TEXTJOIN(",",TRUE,_xlfn._xlws.FILTER(GPU_brand[GPU brand], (GPU_brand[GPU brand text]&lt;&gt;"") * ISNUMBER(SEARCH(GPU_brand[GPU brand text], B1129)), ""))</f>
        <v>Gigabyte</v>
      </c>
      <c r="H1129" t="str">
        <f>_xlfn.TEXTJOIN(",",TRUE,_xlfn._xlws.FILTER(Chipset_Table[Chipset], (Chipset_Table[Chipset text]&lt;&gt;"") * ISNUMBER(SEARCH(Chipset_Table[Chipset text], B1129)), ""))</f>
        <v>GEFORCE RTX 5050,RTX 5050</v>
      </c>
      <c r="I1129" t="str">
        <f>_xlfn.TEXTJOIN(",",TRUE,_xlfn._xlws.FILTER(VRAM_table[Video memory], (VRAM_table[Video memory text]&lt;&gt;"") * ISNUMBER(SEARCH(VRAM_table[Video memory text], B1129)), ""))</f>
        <v>8GB,8GB</v>
      </c>
    </row>
    <row r="1130" spans="1:9" x14ac:dyDescent="0.35">
      <c r="A1130" t="s">
        <v>9</v>
      </c>
      <c r="B1130" t="s">
        <v>102</v>
      </c>
      <c r="C1130">
        <v>7890000</v>
      </c>
      <c r="D1130">
        <v>7490000</v>
      </c>
      <c r="E1130" t="s">
        <v>103</v>
      </c>
      <c r="F1130" t="s">
        <v>1064</v>
      </c>
      <c r="G1130" t="str">
        <f>_xlfn.TEXTJOIN(",",TRUE,_xlfn._xlws.FILTER(GPU_brand[GPU brand], (GPU_brand[GPU brand text]&lt;&gt;"") * ISNUMBER(SEARCH(GPU_brand[GPU brand text], B1130)), ""))</f>
        <v>MSI</v>
      </c>
      <c r="H1130" t="str">
        <f>_xlfn.TEXTJOIN(",",TRUE,_xlfn._xlws.FILTER(Chipset_Table[Chipset], (Chipset_Table[Chipset text]&lt;&gt;"") * ISNUMBER(SEARCH(Chipset_Table[Chipset text], B1130)), ""))</f>
        <v>GEFORCE RTX 5050,RTX 5050</v>
      </c>
      <c r="I1130" t="str">
        <f>_xlfn.TEXTJOIN(",",TRUE,_xlfn._xlws.FILTER(VRAM_table[Video memory], (VRAM_table[Video memory text]&lt;&gt;"") * ISNUMBER(SEARCH(VRAM_table[Video memory text], B1130)), ""))</f>
        <v>8GB,8GB</v>
      </c>
    </row>
    <row r="1131" spans="1:9" x14ac:dyDescent="0.35">
      <c r="A1131" t="s">
        <v>9</v>
      </c>
      <c r="B1131" t="s">
        <v>104</v>
      </c>
      <c r="C1131">
        <v>8590000</v>
      </c>
      <c r="D1131">
        <v>8390000</v>
      </c>
      <c r="E1131" t="s">
        <v>105</v>
      </c>
      <c r="F1131" t="s">
        <v>1064</v>
      </c>
      <c r="G1131" t="str">
        <f>_xlfn.TEXTJOIN(",",TRUE,_xlfn._xlws.FILTER(GPU_brand[GPU brand], (GPU_brand[GPU brand text]&lt;&gt;"") * ISNUMBER(SEARCH(GPU_brand[GPU brand text], B1131)), ""))</f>
        <v>MSI</v>
      </c>
      <c r="H1131" t="str">
        <f>_xlfn.TEXTJOIN(",",TRUE,_xlfn._xlws.FILTER(Chipset_Table[Chipset], (Chipset_Table[Chipset text]&lt;&gt;"") * ISNUMBER(SEARCH(Chipset_Table[Chipset text], B1131)), ""))</f>
        <v>GEFORCE RTX 5050,RTX 5050</v>
      </c>
      <c r="I1131" t="str">
        <f>_xlfn.TEXTJOIN(",",TRUE,_xlfn._xlws.FILTER(VRAM_table[Video memory], (VRAM_table[Video memory text]&lt;&gt;"") * ISNUMBER(SEARCH(VRAM_table[Video memory text], B1131)), ""))</f>
        <v>8GB,8GB</v>
      </c>
    </row>
    <row r="1132" spans="1:9" x14ac:dyDescent="0.35">
      <c r="A1132" t="s">
        <v>9</v>
      </c>
      <c r="B1132" t="s">
        <v>106</v>
      </c>
      <c r="C1132">
        <v>8990000</v>
      </c>
      <c r="D1132">
        <v>8790000</v>
      </c>
      <c r="E1132" t="s">
        <v>107</v>
      </c>
      <c r="F1132" t="s">
        <v>1064</v>
      </c>
      <c r="G1132" t="str">
        <f>_xlfn.TEXTJOIN(",",TRUE,_xlfn._xlws.FILTER(GPU_brand[GPU brand], (GPU_brand[GPU brand text]&lt;&gt;"") * ISNUMBER(SEARCH(GPU_brand[GPU brand text], B1132)), ""))</f>
        <v>MSI</v>
      </c>
      <c r="H1132" t="str">
        <f>_xlfn.TEXTJOIN(",",TRUE,_xlfn._xlws.FILTER(Chipset_Table[Chipset], (Chipset_Table[Chipset text]&lt;&gt;"") * ISNUMBER(SEARCH(Chipset_Table[Chipset text], B1132)), ""))</f>
        <v>GEFORCE RTX 5050,RTX 5050</v>
      </c>
      <c r="I1132" t="str">
        <f>_xlfn.TEXTJOIN(",",TRUE,_xlfn._xlws.FILTER(VRAM_table[Video memory], (VRAM_table[Video memory text]&lt;&gt;"") * ISNUMBER(SEARCH(VRAM_table[Video memory text], B1132)), ""))</f>
        <v>8GB,8GB</v>
      </c>
    </row>
    <row r="1133" spans="1:9" x14ac:dyDescent="0.35">
      <c r="A1133" t="s">
        <v>9</v>
      </c>
      <c r="B1133" t="s">
        <v>110</v>
      </c>
      <c r="C1133">
        <v>10490000</v>
      </c>
      <c r="D1133">
        <v>9890000</v>
      </c>
      <c r="E1133" t="s">
        <v>111</v>
      </c>
      <c r="F1133" t="s">
        <v>1064</v>
      </c>
      <c r="G1133" t="str">
        <f>_xlfn.TEXTJOIN(",",TRUE,_xlfn._xlws.FILTER(GPU_brand[GPU brand], (GPU_brand[GPU brand text]&lt;&gt;"") * ISNUMBER(SEARCH(GPU_brand[GPU brand text], B1133)), ""))</f>
        <v>MSI</v>
      </c>
      <c r="H1133" t="str">
        <f>_xlfn.TEXTJOIN(",",TRUE,_xlfn._xlws.FILTER(Chipset_Table[Chipset], (Chipset_Table[Chipset text]&lt;&gt;"") * ISNUMBER(SEARCH(Chipset_Table[Chipset text], B1133)), ""))</f>
        <v>GeForce RTX 5060</v>
      </c>
      <c r="I1133" t="str">
        <f>_xlfn.TEXTJOIN(",",TRUE,_xlfn._xlws.FILTER(VRAM_table[Video memory], (VRAM_table[Video memory text]&lt;&gt;"") * ISNUMBER(SEARCH(VRAM_table[Video memory text], B1133)), ""))</f>
        <v>8GB,8GB</v>
      </c>
    </row>
    <row r="1134" spans="1:9" x14ac:dyDescent="0.35">
      <c r="A1134" t="s">
        <v>9</v>
      </c>
      <c r="B1134" t="s">
        <v>112</v>
      </c>
      <c r="C1134">
        <v>9990000</v>
      </c>
      <c r="D1134">
        <v>9690000</v>
      </c>
      <c r="E1134" t="s">
        <v>113</v>
      </c>
      <c r="F1134" t="s">
        <v>1064</v>
      </c>
      <c r="G1134" t="str">
        <f>_xlfn.TEXTJOIN(",",TRUE,_xlfn._xlws.FILTER(GPU_brand[GPU brand], (GPU_brand[GPU brand text]&lt;&gt;"") * ISNUMBER(SEARCH(GPU_brand[GPU brand text], B1134)), ""))</f>
        <v>ZOTAC</v>
      </c>
      <c r="H1134" t="str">
        <f>_xlfn.TEXTJOIN(",",TRUE,_xlfn._xlws.FILTER(Chipset_Table[Chipset], (Chipset_Table[Chipset text]&lt;&gt;"") * ISNUMBER(SEARCH(Chipset_Table[Chipset text], B1134)), ""))</f>
        <v>GeForce RTX 5060</v>
      </c>
      <c r="I1134" t="str">
        <f>_xlfn.TEXTJOIN(",",TRUE,_xlfn._xlws.FILTER(VRAM_table[Video memory], (VRAM_table[Video memory text]&lt;&gt;"") * ISNUMBER(SEARCH(VRAM_table[Video memory text], B1134)), ""))</f>
        <v>8GB,8GB</v>
      </c>
    </row>
    <row r="1135" spans="1:9" x14ac:dyDescent="0.35">
      <c r="A1135" t="s">
        <v>9</v>
      </c>
      <c r="B1135" t="s">
        <v>114</v>
      </c>
      <c r="C1135">
        <v>20490000</v>
      </c>
      <c r="D1135">
        <v>19990000</v>
      </c>
      <c r="E1135" t="s">
        <v>115</v>
      </c>
      <c r="F1135" t="s">
        <v>1064</v>
      </c>
      <c r="G1135" t="str">
        <f>_xlfn.TEXTJOIN(",",TRUE,_xlfn._xlws.FILTER(GPU_brand[GPU brand], (GPU_brand[GPU brand text]&lt;&gt;"") * ISNUMBER(SEARCH(GPU_brand[GPU brand text], B1135)), ""))</f>
        <v>ASUS</v>
      </c>
      <c r="H1135" t="str">
        <f>_xlfn.TEXTJOIN(",",TRUE,_xlfn._xlws.FILTER(Chipset_Table[Chipset], (Chipset_Table[Chipset text]&lt;&gt;"") * ISNUMBER(SEARCH(Chipset_Table[Chipset text], B1135)), ""))</f>
        <v>GeForce RTX 5070,RTX 5070</v>
      </c>
      <c r="I1135" t="str">
        <f>_xlfn.TEXTJOIN(",",TRUE,_xlfn._xlws.FILTER(VRAM_table[Video memory], (VRAM_table[Video memory text]&lt;&gt;"") * ISNUMBER(SEARCH(VRAM_table[Video memory text], B1135)), ""))</f>
        <v>12GB,2GB</v>
      </c>
    </row>
    <row r="1136" spans="1:9" x14ac:dyDescent="0.35">
      <c r="A1136" t="s">
        <v>9</v>
      </c>
      <c r="B1136" t="s">
        <v>116</v>
      </c>
      <c r="C1136">
        <v>33990000</v>
      </c>
      <c r="D1136">
        <v>32490000</v>
      </c>
      <c r="E1136" t="s">
        <v>117</v>
      </c>
      <c r="F1136" t="s">
        <v>1064</v>
      </c>
      <c r="G1136" t="str">
        <f>_xlfn.TEXTJOIN(",",TRUE,_xlfn._xlws.FILTER(GPU_brand[GPU brand], (GPU_brand[GPU brand text]&lt;&gt;"") * ISNUMBER(SEARCH(GPU_brand[GPU brand text], B1136)), ""))</f>
        <v>MSI</v>
      </c>
      <c r="H1136" t="str">
        <f>_xlfn.TEXTJOIN(",",TRUE,_xlfn._xlws.FILTER(Chipset_Table[Chipset], (Chipset_Table[Chipset text]&lt;&gt;"") * ISNUMBER(SEARCH(Chipset_Table[Chipset text], B1136)), ""))</f>
        <v>GeForce RTX 5070,GeForce RTX 5070 Ti,RTX 5070</v>
      </c>
      <c r="I1136" t="str">
        <f>_xlfn.TEXTJOIN(",",TRUE,_xlfn._xlws.FILTER(VRAM_table[Video memory], (VRAM_table[Video memory text]&lt;&gt;"") * ISNUMBER(SEARCH(VRAM_table[Video memory text], B1136)), ""))</f>
        <v>16GB,6GB</v>
      </c>
    </row>
    <row r="1137" spans="1:9" x14ac:dyDescent="0.35">
      <c r="A1137" t="s">
        <v>9</v>
      </c>
      <c r="B1137" t="s">
        <v>118</v>
      </c>
      <c r="C1137">
        <v>13490000</v>
      </c>
      <c r="D1137">
        <v>12990000</v>
      </c>
      <c r="E1137" t="s">
        <v>119</v>
      </c>
      <c r="F1137" t="s">
        <v>1064</v>
      </c>
      <c r="G1137" t="str">
        <f>_xlfn.TEXTJOIN(",",TRUE,_xlfn._xlws.FILTER(GPU_brand[GPU brand], (GPU_brand[GPU brand text]&lt;&gt;"") * ISNUMBER(SEARCH(GPU_brand[GPU brand text], B1137)), ""))</f>
        <v>MSI</v>
      </c>
      <c r="H1137" t="str">
        <f>_xlfn.TEXTJOIN(",",TRUE,_xlfn._xlws.FILTER(Chipset_Table[Chipset], (Chipset_Table[Chipset text]&lt;&gt;"") * ISNUMBER(SEARCH(Chipset_Table[Chipset text], B1137)), ""))</f>
        <v>GeForce RTX 5060</v>
      </c>
      <c r="I1137" t="str">
        <f>_xlfn.TEXTJOIN(",",TRUE,_xlfn._xlws.FILTER(VRAM_table[Video memory], (VRAM_table[Video memory text]&lt;&gt;"") * ISNUMBER(SEARCH(VRAM_table[Video memory text], B1137)), ""))</f>
        <v>8GB,8GB</v>
      </c>
    </row>
    <row r="1138" spans="1:9" x14ac:dyDescent="0.35">
      <c r="A1138" t="s">
        <v>9</v>
      </c>
      <c r="B1138" t="s">
        <v>120</v>
      </c>
      <c r="C1138">
        <v>13990000</v>
      </c>
      <c r="D1138">
        <v>12990000</v>
      </c>
      <c r="E1138" t="s">
        <v>121</v>
      </c>
      <c r="F1138" t="s">
        <v>1064</v>
      </c>
      <c r="G1138" t="str">
        <f>_xlfn.TEXTJOIN(",",TRUE,_xlfn._xlws.FILTER(GPU_brand[GPU brand], (GPU_brand[GPU brand text]&lt;&gt;"") * ISNUMBER(SEARCH(GPU_brand[GPU brand text], B1138)), ""))</f>
        <v>MSI</v>
      </c>
      <c r="H1138" t="str">
        <f>_xlfn.TEXTJOIN(",",TRUE,_xlfn._xlws.FILTER(Chipset_Table[Chipset], (Chipset_Table[Chipset text]&lt;&gt;"") * ISNUMBER(SEARCH(Chipset_Table[Chipset text], B1138)), ""))</f>
        <v>GeForce RTX 5060</v>
      </c>
      <c r="I1138" t="str">
        <f>_xlfn.TEXTJOIN(",",TRUE,_xlfn._xlws.FILTER(VRAM_table[Video memory], (VRAM_table[Video memory text]&lt;&gt;"") * ISNUMBER(SEARCH(VRAM_table[Video memory text], B1138)), ""))</f>
        <v>8GB,8GB</v>
      </c>
    </row>
    <row r="1139" spans="1:9" x14ac:dyDescent="0.35">
      <c r="A1139" t="s">
        <v>9</v>
      </c>
      <c r="B1139" t="s">
        <v>122</v>
      </c>
      <c r="C1139">
        <v>14990000</v>
      </c>
      <c r="D1139">
        <v>12990000</v>
      </c>
      <c r="E1139" t="s">
        <v>123</v>
      </c>
      <c r="F1139" t="s">
        <v>1064</v>
      </c>
      <c r="G1139" t="str">
        <f>_xlfn.TEXTJOIN(",",TRUE,_xlfn._xlws.FILTER(GPU_brand[GPU brand], (GPU_brand[GPU brand text]&lt;&gt;"") * ISNUMBER(SEARCH(GPU_brand[GPU brand text], B1139)), ""))</f>
        <v>MSI</v>
      </c>
      <c r="H1139" t="str">
        <f>_xlfn.TEXTJOIN(",",TRUE,_xlfn._xlws.FILTER(Chipset_Table[Chipset], (Chipset_Table[Chipset text]&lt;&gt;"") * ISNUMBER(SEARCH(Chipset_Table[Chipset text], B1139)), ""))</f>
        <v>GeForce RTX 5060,GeForce RTX 5060 Ti,RTX 5060 Ti</v>
      </c>
      <c r="I1139" t="str">
        <f>_xlfn.TEXTJOIN(",",TRUE,_xlfn._xlws.FILTER(VRAM_table[Video memory], (VRAM_table[Video memory text]&lt;&gt;"") * ISNUMBER(SEARCH(VRAM_table[Video memory text], B1139)), ""))</f>
        <v>8GB,8GB</v>
      </c>
    </row>
    <row r="1140" spans="1:9" x14ac:dyDescent="0.35">
      <c r="A1140" t="s">
        <v>9</v>
      </c>
      <c r="B1140" t="s">
        <v>124</v>
      </c>
      <c r="C1140">
        <v>11390000</v>
      </c>
      <c r="D1140">
        <v>10890000</v>
      </c>
      <c r="E1140" t="s">
        <v>125</v>
      </c>
      <c r="F1140" t="s">
        <v>1064</v>
      </c>
      <c r="G1140" t="str">
        <f>_xlfn.TEXTJOIN(",",TRUE,_xlfn._xlws.FILTER(GPU_brand[GPU brand], (GPU_brand[GPU brand text]&lt;&gt;"") * ISNUMBER(SEARCH(GPU_brand[GPU brand text], B1140)), ""))</f>
        <v>Gigabyte</v>
      </c>
      <c r="H1140" t="str">
        <f>_xlfn.TEXTJOIN(",",TRUE,_xlfn._xlws.FILTER(Chipset_Table[Chipset], (Chipset_Table[Chipset text]&lt;&gt;"") * ISNUMBER(SEARCH(Chipset_Table[Chipset text], B1140)), ""))</f>
        <v>GeForce RTX 5060</v>
      </c>
      <c r="I1140" t="str">
        <f>_xlfn.TEXTJOIN(",",TRUE,_xlfn._xlws.FILTER(VRAM_table[Video memory], (VRAM_table[Video memory text]&lt;&gt;"") * ISNUMBER(SEARCH(VRAM_table[Video memory text], B1140)), ""))</f>
        <v>8GB,8GB</v>
      </c>
    </row>
    <row r="1141" spans="1:9" x14ac:dyDescent="0.35">
      <c r="A1141" t="s">
        <v>9</v>
      </c>
      <c r="B1141" t="s">
        <v>126</v>
      </c>
      <c r="C1141">
        <v>0</v>
      </c>
      <c r="D1141">
        <v>9990000</v>
      </c>
      <c r="E1141" t="s">
        <v>127</v>
      </c>
      <c r="F1141" t="s">
        <v>1064</v>
      </c>
      <c r="G1141" t="str">
        <f>_xlfn.TEXTJOIN(",",TRUE,_xlfn._xlws.FILTER(GPU_brand[GPU brand], (GPU_brand[GPU brand text]&lt;&gt;"") * ISNUMBER(SEARCH(GPU_brand[GPU brand text], B1141)), ""))</f>
        <v>Gigabyte</v>
      </c>
      <c r="H1141" t="str">
        <f>_xlfn.TEXTJOIN(",",TRUE,_xlfn._xlws.FILTER(Chipset_Table[Chipset], (Chipset_Table[Chipset text]&lt;&gt;"") * ISNUMBER(SEARCH(Chipset_Table[Chipset text], B1141)), ""))</f>
        <v>GeForce RTX 5060</v>
      </c>
      <c r="I1141" t="str">
        <f>_xlfn.TEXTJOIN(",",TRUE,_xlfn._xlws.FILTER(VRAM_table[Video memory], (VRAM_table[Video memory text]&lt;&gt;"") * ISNUMBER(SEARCH(VRAM_table[Video memory text], B1141)), ""))</f>
        <v>8GB,8GB</v>
      </c>
    </row>
    <row r="1142" spans="1:9" x14ac:dyDescent="0.35">
      <c r="A1142" t="s">
        <v>9</v>
      </c>
      <c r="B1142" t="s">
        <v>128</v>
      </c>
      <c r="C1142">
        <v>10990000</v>
      </c>
      <c r="D1142">
        <v>10490000</v>
      </c>
      <c r="E1142" t="s">
        <v>129</v>
      </c>
      <c r="F1142" t="s">
        <v>1064</v>
      </c>
      <c r="G1142" t="str">
        <f>_xlfn.TEXTJOIN(",",TRUE,_xlfn._xlws.FILTER(GPU_brand[GPU brand], (GPU_brand[GPU brand text]&lt;&gt;"") * ISNUMBER(SEARCH(GPU_brand[GPU brand text], B1142)), ""))</f>
        <v>Gigabyte</v>
      </c>
      <c r="H1142" t="str">
        <f>_xlfn.TEXTJOIN(",",TRUE,_xlfn._xlws.FILTER(Chipset_Table[Chipset], (Chipset_Table[Chipset text]&lt;&gt;"") * ISNUMBER(SEARCH(Chipset_Table[Chipset text], B1142)), ""))</f>
        <v>GeForce RTX 5060</v>
      </c>
      <c r="I1142" t="str">
        <f>_xlfn.TEXTJOIN(",",TRUE,_xlfn._xlws.FILTER(VRAM_table[Video memory], (VRAM_table[Video memory text]&lt;&gt;"") * ISNUMBER(SEARCH(VRAM_table[Video memory text], B1142)), ""))</f>
        <v>8GB,8GB</v>
      </c>
    </row>
    <row r="1143" spans="1:9" x14ac:dyDescent="0.35">
      <c r="A1143" t="s">
        <v>9</v>
      </c>
      <c r="B1143" t="s">
        <v>130</v>
      </c>
      <c r="C1143">
        <v>11290000</v>
      </c>
      <c r="D1143">
        <v>10690000</v>
      </c>
      <c r="E1143" t="s">
        <v>131</v>
      </c>
      <c r="F1143" t="s">
        <v>1064</v>
      </c>
      <c r="G1143" t="str">
        <f>_xlfn.TEXTJOIN(",",TRUE,_xlfn._xlws.FILTER(GPU_brand[GPU brand], (GPU_brand[GPU brand text]&lt;&gt;"") * ISNUMBER(SEARCH(GPU_brand[GPU brand text], B1143)), ""))</f>
        <v>ASUS</v>
      </c>
      <c r="H1143" t="str">
        <f>_xlfn.TEXTJOIN(",",TRUE,_xlfn._xlws.FILTER(Chipset_Table[Chipset], (Chipset_Table[Chipset text]&lt;&gt;"") * ISNUMBER(SEARCH(Chipset_Table[Chipset text], B1143)), ""))</f>
        <v>GeForce RTX 5060</v>
      </c>
      <c r="I1143" t="str">
        <f>_xlfn.TEXTJOIN(",",TRUE,_xlfn._xlws.FILTER(VRAM_table[Video memory], (VRAM_table[Video memory text]&lt;&gt;"") * ISNUMBER(SEARCH(VRAM_table[Video memory text], B1143)), ""))</f>
        <v>8GB,8GB</v>
      </c>
    </row>
    <row r="1144" spans="1:9" x14ac:dyDescent="0.35">
      <c r="A1144" t="s">
        <v>9</v>
      </c>
      <c r="B1144" t="s">
        <v>132</v>
      </c>
      <c r="C1144">
        <v>12490000</v>
      </c>
      <c r="D1144">
        <v>11890000</v>
      </c>
      <c r="E1144" t="s">
        <v>133</v>
      </c>
      <c r="F1144" t="s">
        <v>1064</v>
      </c>
      <c r="G1144" t="str">
        <f>_xlfn.TEXTJOIN(",",TRUE,_xlfn._xlws.FILTER(GPU_brand[GPU brand], (GPU_brand[GPU brand text]&lt;&gt;"") * ISNUMBER(SEARCH(GPU_brand[GPU brand text], B1144)), ""))</f>
        <v>ASUS</v>
      </c>
      <c r="H1144" t="str">
        <f>_xlfn.TEXTJOIN(",",TRUE,_xlfn._xlws.FILTER(Chipset_Table[Chipset], (Chipset_Table[Chipset text]&lt;&gt;"") * ISNUMBER(SEARCH(Chipset_Table[Chipset text], B1144)), ""))</f>
        <v>GeForce RTX 5060</v>
      </c>
      <c r="I1144" t="str">
        <f>_xlfn.TEXTJOIN(",",TRUE,_xlfn._xlws.FILTER(VRAM_table[Video memory], (VRAM_table[Video memory text]&lt;&gt;"") * ISNUMBER(SEARCH(VRAM_table[Video memory text], B1144)), ""))</f>
        <v>8GB,8GB</v>
      </c>
    </row>
    <row r="1145" spans="1:9" x14ac:dyDescent="0.35">
      <c r="A1145" t="s">
        <v>9</v>
      </c>
      <c r="B1145" t="s">
        <v>134</v>
      </c>
      <c r="C1145">
        <v>14990000</v>
      </c>
      <c r="D1145">
        <v>12990000</v>
      </c>
      <c r="E1145" t="s">
        <v>135</v>
      </c>
      <c r="F1145" t="s">
        <v>1064</v>
      </c>
      <c r="G1145" t="str">
        <f>_xlfn.TEXTJOIN(",",TRUE,_xlfn._xlws.FILTER(GPU_brand[GPU brand], (GPU_brand[GPU brand text]&lt;&gt;"") * ISNUMBER(SEARCH(GPU_brand[GPU brand text], B1145)), ""))</f>
        <v>Gigabyte</v>
      </c>
      <c r="H1145" t="str">
        <f>_xlfn.TEXTJOIN(",",TRUE,_xlfn._xlws.FILTER(Chipset_Table[Chipset], (Chipset_Table[Chipset text]&lt;&gt;"") * ISNUMBER(SEARCH(Chipset_Table[Chipset text], B1145)), ""))</f>
        <v>GeForce RTX 5060,GeForce RTX 5060 Ti,RTX 5060 Ti</v>
      </c>
      <c r="I1145" t="str">
        <f>_xlfn.TEXTJOIN(",",TRUE,_xlfn._xlws.FILTER(VRAM_table[Video memory], (VRAM_table[Video memory text]&lt;&gt;"") * ISNUMBER(SEARCH(VRAM_table[Video memory text], B1145)), ""))</f>
        <v>8GB,8GB</v>
      </c>
    </row>
    <row r="1146" spans="1:9" x14ac:dyDescent="0.35">
      <c r="A1146" t="s">
        <v>9</v>
      </c>
      <c r="B1146" t="s">
        <v>136</v>
      </c>
      <c r="C1146">
        <v>23990000</v>
      </c>
      <c r="D1146">
        <v>22990000</v>
      </c>
      <c r="E1146" t="s">
        <v>137</v>
      </c>
      <c r="F1146" t="s">
        <v>1064</v>
      </c>
      <c r="G1146" t="str">
        <f>_xlfn.TEXTJOIN(",",TRUE,_xlfn._xlws.FILTER(GPU_brand[GPU brand], (GPU_brand[GPU brand text]&lt;&gt;"") * ISNUMBER(SEARCH(GPU_brand[GPU brand text], B1146)), ""))</f>
        <v>MSI</v>
      </c>
      <c r="H1146" t="str">
        <f>_xlfn.TEXTJOIN(",",TRUE,_xlfn._xlws.FILTER(Chipset_Table[Chipset], (Chipset_Table[Chipset text]&lt;&gt;"") * ISNUMBER(SEARCH(Chipset_Table[Chipset text], B1146)), ""))</f>
        <v>GeForce RTX 5070,RTX 5070</v>
      </c>
      <c r="I1146" t="str">
        <f>_xlfn.TEXTJOIN(",",TRUE,_xlfn._xlws.FILTER(VRAM_table[Video memory], (VRAM_table[Video memory text]&lt;&gt;"") * ISNUMBER(SEARCH(VRAM_table[Video memory text], B1146)), ""))</f>
        <v>12GB,2GB</v>
      </c>
    </row>
    <row r="1147" spans="1:9" x14ac:dyDescent="0.35">
      <c r="A1147" t="s">
        <v>9</v>
      </c>
      <c r="B1147" t="s">
        <v>138</v>
      </c>
      <c r="C1147">
        <v>16790000</v>
      </c>
      <c r="D1147">
        <v>16390000</v>
      </c>
      <c r="E1147" t="s">
        <v>139</v>
      </c>
      <c r="F1147" t="s">
        <v>1064</v>
      </c>
      <c r="G1147" t="str">
        <f>_xlfn.TEXTJOIN(",",TRUE,_xlfn._xlws.FILTER(GPU_brand[GPU brand], (GPU_brand[GPU brand text]&lt;&gt;"") * ISNUMBER(SEARCH(GPU_brand[GPU brand text], B1147)), ""))</f>
        <v>MSI</v>
      </c>
      <c r="H1147" t="str">
        <f>_xlfn.TEXTJOIN(",",TRUE,_xlfn._xlws.FILTER(Chipset_Table[Chipset], (Chipset_Table[Chipset text]&lt;&gt;"") * ISNUMBER(SEARCH(Chipset_Table[Chipset text], B1147)), ""))</f>
        <v>GeForce RTX 5060,GeForce RTX 5060 Ti,RTX 5060 Ti</v>
      </c>
      <c r="I1147" t="str">
        <f>_xlfn.TEXTJOIN(",",TRUE,_xlfn._xlws.FILTER(VRAM_table[Video memory], (VRAM_table[Video memory text]&lt;&gt;"") * ISNUMBER(SEARCH(VRAM_table[Video memory text], B1147)), ""))</f>
        <v>16GB,16GB,6GB,6GB</v>
      </c>
    </row>
    <row r="1148" spans="1:9" x14ac:dyDescent="0.35">
      <c r="A1148" t="s">
        <v>9</v>
      </c>
      <c r="B1148" t="s">
        <v>140</v>
      </c>
      <c r="C1148">
        <v>15990000</v>
      </c>
      <c r="D1148">
        <v>14990000</v>
      </c>
      <c r="E1148" t="s">
        <v>141</v>
      </c>
      <c r="F1148" t="s">
        <v>1064</v>
      </c>
      <c r="G1148" t="str">
        <f>_xlfn.TEXTJOIN(",",TRUE,_xlfn._xlws.FILTER(GPU_brand[GPU brand], (GPU_brand[GPU brand text]&lt;&gt;"") * ISNUMBER(SEARCH(GPU_brand[GPU brand text], B1148)), ""))</f>
        <v>MSI</v>
      </c>
      <c r="H1148" t="str">
        <f>_xlfn.TEXTJOIN(",",TRUE,_xlfn._xlws.FILTER(Chipset_Table[Chipset], (Chipset_Table[Chipset text]&lt;&gt;"") * ISNUMBER(SEARCH(Chipset_Table[Chipset text], B1148)), ""))</f>
        <v>GeForce RTX 5060,GeForce RTX 5060 Ti,RTX 5060 Ti</v>
      </c>
      <c r="I1148" t="str">
        <f>_xlfn.TEXTJOIN(",",TRUE,_xlfn._xlws.FILTER(VRAM_table[Video memory], (VRAM_table[Video memory text]&lt;&gt;"") * ISNUMBER(SEARCH(VRAM_table[Video memory text], B1148)), ""))</f>
        <v>16GB,16GB,6GB,6GB</v>
      </c>
    </row>
    <row r="1149" spans="1:9" x14ac:dyDescent="0.35">
      <c r="A1149" t="s">
        <v>9</v>
      </c>
      <c r="B1149" t="s">
        <v>142</v>
      </c>
      <c r="C1149">
        <v>14390000</v>
      </c>
      <c r="D1149">
        <v>12990000</v>
      </c>
      <c r="E1149" t="s">
        <v>143</v>
      </c>
      <c r="F1149" t="s">
        <v>1064</v>
      </c>
      <c r="G1149" t="str">
        <f>_xlfn.TEXTJOIN(",",TRUE,_xlfn._xlws.FILTER(GPU_brand[GPU brand], (GPU_brand[GPU brand text]&lt;&gt;"") * ISNUMBER(SEARCH(GPU_brand[GPU brand text], B1149)), ""))</f>
        <v>MSI</v>
      </c>
      <c r="H1149" t="str">
        <f>_xlfn.TEXTJOIN(",",TRUE,_xlfn._xlws.FILTER(Chipset_Table[Chipset], (Chipset_Table[Chipset text]&lt;&gt;"") * ISNUMBER(SEARCH(Chipset_Table[Chipset text], B1149)), ""))</f>
        <v>GeForce RTX 5060,GeForce RTX 5060 Ti,RTX 5060 Ti</v>
      </c>
      <c r="I1149" t="str">
        <f>_xlfn.TEXTJOIN(",",TRUE,_xlfn._xlws.FILTER(VRAM_table[Video memory], (VRAM_table[Video memory text]&lt;&gt;"") * ISNUMBER(SEARCH(VRAM_table[Video memory text], B1149)), ""))</f>
        <v>8GB,8GB</v>
      </c>
    </row>
    <row r="1150" spans="1:9" x14ac:dyDescent="0.35">
      <c r="A1150" t="s">
        <v>9</v>
      </c>
      <c r="B1150" t="s">
        <v>144</v>
      </c>
      <c r="C1150">
        <v>19290000</v>
      </c>
      <c r="D1150">
        <v>18690000</v>
      </c>
      <c r="E1150" t="s">
        <v>145</v>
      </c>
      <c r="F1150" t="s">
        <v>1064</v>
      </c>
      <c r="G1150" t="str">
        <f>_xlfn.TEXTJOIN(",",TRUE,_xlfn._xlws.FILTER(GPU_brand[GPU brand], (GPU_brand[GPU brand text]&lt;&gt;"") * ISNUMBER(SEARCH(GPU_brand[GPU brand text], B1150)), ""))</f>
        <v>MSI</v>
      </c>
      <c r="H1150" t="str">
        <f>_xlfn.TEXTJOIN(",",TRUE,_xlfn._xlws.FILTER(Chipset_Table[Chipset], (Chipset_Table[Chipset text]&lt;&gt;"") * ISNUMBER(SEARCH(Chipset_Table[Chipset text], B1150)), ""))</f>
        <v>GeForce RTX 5060,GeForce RTX 5060 Ti,RTX 5060 Ti</v>
      </c>
      <c r="I1150" t="str">
        <f>_xlfn.TEXTJOIN(",",TRUE,_xlfn._xlws.FILTER(VRAM_table[Video memory], (VRAM_table[Video memory text]&lt;&gt;"") * ISNUMBER(SEARCH(VRAM_table[Video memory text], B1150)), ""))</f>
        <v>16GB,16GB,6GB,6GB</v>
      </c>
    </row>
    <row r="1151" spans="1:9" x14ac:dyDescent="0.35">
      <c r="A1151" t="s">
        <v>9</v>
      </c>
      <c r="B1151" t="s">
        <v>146</v>
      </c>
      <c r="C1151">
        <v>13290000</v>
      </c>
      <c r="D1151">
        <v>12990000</v>
      </c>
      <c r="E1151" t="s">
        <v>147</v>
      </c>
      <c r="F1151" t="s">
        <v>1064</v>
      </c>
      <c r="G1151" t="str">
        <f>_xlfn.TEXTJOIN(",",TRUE,_xlfn._xlws.FILTER(GPU_brand[GPU brand], (GPU_brand[GPU brand text]&lt;&gt;"") * ISNUMBER(SEARCH(GPU_brand[GPU brand text], B1151)), ""))</f>
        <v>MSI</v>
      </c>
      <c r="H1151" t="str">
        <f>_xlfn.TEXTJOIN(",",TRUE,_xlfn._xlws.FILTER(Chipset_Table[Chipset], (Chipset_Table[Chipset text]&lt;&gt;"") * ISNUMBER(SEARCH(Chipset_Table[Chipset text], B1151)), ""))</f>
        <v>GeForce RTX 5060,GeForce RTX 5060 Ti,RTX 5060 Ti</v>
      </c>
      <c r="I1151" t="str">
        <f>_xlfn.TEXTJOIN(",",TRUE,_xlfn._xlws.FILTER(VRAM_table[Video memory], (VRAM_table[Video memory text]&lt;&gt;"") * ISNUMBER(SEARCH(VRAM_table[Video memory text], B1151)), ""))</f>
        <v>8GB,8GB</v>
      </c>
    </row>
    <row r="1152" spans="1:9" x14ac:dyDescent="0.35">
      <c r="A1152" t="s">
        <v>9</v>
      </c>
      <c r="B1152" t="s">
        <v>148</v>
      </c>
      <c r="C1152">
        <v>16990000</v>
      </c>
      <c r="D1152">
        <v>16290000</v>
      </c>
      <c r="E1152" t="s">
        <v>149</v>
      </c>
      <c r="F1152" t="s">
        <v>1064</v>
      </c>
      <c r="G1152" t="str">
        <f>_xlfn.TEXTJOIN(",",TRUE,_xlfn._xlws.FILTER(GPU_brand[GPU brand], (GPU_brand[GPU brand text]&lt;&gt;"") * ISNUMBER(SEARCH(GPU_brand[GPU brand text], B1152)), ""))</f>
        <v>MSI</v>
      </c>
      <c r="H1152" t="str">
        <f>_xlfn.TEXTJOIN(",",TRUE,_xlfn._xlws.FILTER(Chipset_Table[Chipset], (Chipset_Table[Chipset text]&lt;&gt;"") * ISNUMBER(SEARCH(Chipset_Table[Chipset text], B1152)), ""))</f>
        <v>GeForce RTX 5060,GeForce RTX 5060 Ti,RTX 5060 Ti</v>
      </c>
      <c r="I1152" t="str">
        <f>_xlfn.TEXTJOIN(",",TRUE,_xlfn._xlws.FILTER(VRAM_table[Video memory], (VRAM_table[Video memory text]&lt;&gt;"") * ISNUMBER(SEARCH(VRAM_table[Video memory text], B1152)), ""))</f>
        <v>16GB,16GB,6GB,6GB</v>
      </c>
    </row>
    <row r="1153" spans="1:9" x14ac:dyDescent="0.35">
      <c r="A1153" t="s">
        <v>9</v>
      </c>
      <c r="B1153" t="s">
        <v>150</v>
      </c>
      <c r="C1153">
        <v>18290000</v>
      </c>
      <c r="D1153">
        <v>17690000</v>
      </c>
      <c r="E1153" t="s">
        <v>151</v>
      </c>
      <c r="F1153" t="s">
        <v>1064</v>
      </c>
      <c r="G1153" t="str">
        <f>_xlfn.TEXTJOIN(",",TRUE,_xlfn._xlws.FILTER(GPU_brand[GPU brand], (GPU_brand[GPU brand text]&lt;&gt;"") * ISNUMBER(SEARCH(GPU_brand[GPU brand text], B1153)), ""))</f>
        <v>MSI</v>
      </c>
      <c r="H1153" t="str">
        <f>_xlfn.TEXTJOIN(",",TRUE,_xlfn._xlws.FILTER(Chipset_Table[Chipset], (Chipset_Table[Chipset text]&lt;&gt;"") * ISNUMBER(SEARCH(Chipset_Table[Chipset text], B1153)), ""))</f>
        <v>GeForce RTX 5060,GeForce RTX 5060 Ti,RTX 5060 Ti</v>
      </c>
      <c r="I1153" t="str">
        <f>_xlfn.TEXTJOIN(",",TRUE,_xlfn._xlws.FILTER(VRAM_table[Video memory], (VRAM_table[Video memory text]&lt;&gt;"") * ISNUMBER(SEARCH(VRAM_table[Video memory text], B1153)), ""))</f>
        <v>16GB,16GB,6GB,6GB</v>
      </c>
    </row>
    <row r="1154" spans="1:9" x14ac:dyDescent="0.35">
      <c r="A1154" t="s">
        <v>9</v>
      </c>
      <c r="B1154" t="s">
        <v>152</v>
      </c>
      <c r="C1154">
        <v>17890000</v>
      </c>
      <c r="D1154">
        <v>17390000</v>
      </c>
      <c r="E1154" t="s">
        <v>153</v>
      </c>
      <c r="F1154" t="s">
        <v>1064</v>
      </c>
      <c r="G1154" t="str">
        <f>_xlfn.TEXTJOIN(",",TRUE,_xlfn._xlws.FILTER(GPU_brand[GPU brand], (GPU_brand[GPU brand text]&lt;&gt;"") * ISNUMBER(SEARCH(GPU_brand[GPU brand text], B1154)), ""))</f>
        <v>MSI</v>
      </c>
      <c r="H1154" t="str">
        <f>_xlfn.TEXTJOIN(",",TRUE,_xlfn._xlws.FILTER(Chipset_Table[Chipset], (Chipset_Table[Chipset text]&lt;&gt;"") * ISNUMBER(SEARCH(Chipset_Table[Chipset text], B1154)), ""))</f>
        <v>GeForce RTX 5060,GeForce RTX 5060 Ti,RTX 5060 Ti</v>
      </c>
      <c r="I1154" t="str">
        <f>_xlfn.TEXTJOIN(",",TRUE,_xlfn._xlws.FILTER(VRAM_table[Video memory], (VRAM_table[Video memory text]&lt;&gt;"") * ISNUMBER(SEARCH(VRAM_table[Video memory text], B1154)), ""))</f>
        <v>16GB,16GB,6GB,6GB</v>
      </c>
    </row>
    <row r="1155" spans="1:9" x14ac:dyDescent="0.35">
      <c r="A1155" t="s">
        <v>9</v>
      </c>
      <c r="B1155" t="s">
        <v>154</v>
      </c>
      <c r="C1155">
        <v>15290000</v>
      </c>
      <c r="D1155">
        <v>14890000</v>
      </c>
      <c r="E1155" t="s">
        <v>155</v>
      </c>
      <c r="F1155" t="s">
        <v>1064</v>
      </c>
      <c r="G1155" t="str">
        <f>_xlfn.TEXTJOIN(",",TRUE,_xlfn._xlws.FILTER(GPU_brand[GPU brand], (GPU_brand[GPU brand text]&lt;&gt;"") * ISNUMBER(SEARCH(GPU_brand[GPU brand text], B1155)), ""))</f>
        <v>MSI</v>
      </c>
      <c r="H1155" t="str">
        <f>_xlfn.TEXTJOIN(",",TRUE,_xlfn._xlws.FILTER(Chipset_Table[Chipset], (Chipset_Table[Chipset text]&lt;&gt;"") * ISNUMBER(SEARCH(Chipset_Table[Chipset text], B1155)), ""))</f>
        <v>GeForce RTX 5060,GeForce RTX 5060 Ti,RTX 5060 Ti</v>
      </c>
      <c r="I1155" t="str">
        <f>_xlfn.TEXTJOIN(",",TRUE,_xlfn._xlws.FILTER(VRAM_table[Video memory], (VRAM_table[Video memory text]&lt;&gt;"") * ISNUMBER(SEARCH(VRAM_table[Video memory text], B1155)), ""))</f>
        <v>8GB,8GB</v>
      </c>
    </row>
    <row r="1156" spans="1:9" x14ac:dyDescent="0.35">
      <c r="A1156" t="s">
        <v>9</v>
      </c>
      <c r="B1156" t="s">
        <v>156</v>
      </c>
      <c r="C1156">
        <v>17590000</v>
      </c>
      <c r="D1156">
        <v>16890000</v>
      </c>
      <c r="E1156" t="s">
        <v>157</v>
      </c>
      <c r="F1156" t="s">
        <v>1064</v>
      </c>
      <c r="G1156" t="str">
        <f>_xlfn.TEXTJOIN(",",TRUE,_xlfn._xlws.FILTER(GPU_brand[GPU brand], (GPU_brand[GPU brand text]&lt;&gt;"") * ISNUMBER(SEARCH(GPU_brand[GPU brand text], B1156)), ""))</f>
        <v>MSI</v>
      </c>
      <c r="H1156" t="str">
        <f>_xlfn.TEXTJOIN(",",TRUE,_xlfn._xlws.FILTER(Chipset_Table[Chipset], (Chipset_Table[Chipset text]&lt;&gt;"") * ISNUMBER(SEARCH(Chipset_Table[Chipset text], B1156)), ""))</f>
        <v>GeForce RTX 5060,GeForce RTX 5060 Ti,RTX 5060 Ti</v>
      </c>
      <c r="I1156" t="str">
        <f>_xlfn.TEXTJOIN(",",TRUE,_xlfn._xlws.FILTER(VRAM_table[Video memory], (VRAM_table[Video memory text]&lt;&gt;"") * ISNUMBER(SEARCH(VRAM_table[Video memory text], B1156)), ""))</f>
        <v>16GB,16GB,6GB,6GB</v>
      </c>
    </row>
    <row r="1157" spans="1:9" x14ac:dyDescent="0.35">
      <c r="A1157" t="s">
        <v>9</v>
      </c>
      <c r="B1157" t="s">
        <v>158</v>
      </c>
      <c r="C1157">
        <v>14990000</v>
      </c>
      <c r="D1157">
        <v>14290000</v>
      </c>
      <c r="E1157" t="s">
        <v>159</v>
      </c>
      <c r="F1157" t="s">
        <v>1064</v>
      </c>
      <c r="G1157" t="str">
        <f>_xlfn.TEXTJOIN(",",TRUE,_xlfn._xlws.FILTER(GPU_brand[GPU brand], (GPU_brand[GPU brand text]&lt;&gt;"") * ISNUMBER(SEARCH(GPU_brand[GPU brand text], B1157)), ""))</f>
        <v>ASUS</v>
      </c>
      <c r="H1157" t="str">
        <f>_xlfn.TEXTJOIN(",",TRUE,_xlfn._xlws.FILTER(Chipset_Table[Chipset], (Chipset_Table[Chipset text]&lt;&gt;"") * ISNUMBER(SEARCH(Chipset_Table[Chipset text], B1157)), ""))</f>
        <v>GeForce RTX 5060,GeForce RTX 5060 Ti,RTX 5060 Ti</v>
      </c>
      <c r="I1157" t="str">
        <f>_xlfn.TEXTJOIN(",",TRUE,_xlfn._xlws.FILTER(VRAM_table[Video memory], (VRAM_table[Video memory text]&lt;&gt;"") * ISNUMBER(SEARCH(VRAM_table[Video memory text], B1157)), ""))</f>
        <v>8GB,8GB</v>
      </c>
    </row>
    <row r="1158" spans="1:9" x14ac:dyDescent="0.35">
      <c r="A1158" t="s">
        <v>9</v>
      </c>
      <c r="B1158" t="s">
        <v>160</v>
      </c>
      <c r="C1158">
        <v>15190000</v>
      </c>
      <c r="D1158">
        <v>14990000</v>
      </c>
      <c r="E1158" t="s">
        <v>161</v>
      </c>
      <c r="F1158" t="s">
        <v>1064</v>
      </c>
      <c r="G1158" t="str">
        <f>_xlfn.TEXTJOIN(",",TRUE,_xlfn._xlws.FILTER(GPU_brand[GPU brand], (GPU_brand[GPU brand text]&lt;&gt;"") * ISNUMBER(SEARCH(GPU_brand[GPU brand text], B1158)), ""))</f>
        <v>ASUS</v>
      </c>
      <c r="H1158" t="str">
        <f>_xlfn.TEXTJOIN(",",TRUE,_xlfn._xlws.FILTER(Chipset_Table[Chipset], (Chipset_Table[Chipset text]&lt;&gt;"") * ISNUMBER(SEARCH(Chipset_Table[Chipset text], B1158)), ""))</f>
        <v>GeForce RTX 5060,GeForce RTX 5060 Ti,RTX 5060 Ti</v>
      </c>
      <c r="I1158" t="str">
        <f>_xlfn.TEXTJOIN(",",TRUE,_xlfn._xlws.FILTER(VRAM_table[Video memory], (VRAM_table[Video memory text]&lt;&gt;"") * ISNUMBER(SEARCH(VRAM_table[Video memory text], B1158)), ""))</f>
        <v>8GB,8GB</v>
      </c>
    </row>
    <row r="1159" spans="1:9" x14ac:dyDescent="0.35">
      <c r="A1159" t="s">
        <v>9</v>
      </c>
      <c r="B1159" t="s">
        <v>162</v>
      </c>
      <c r="C1159">
        <v>15490000</v>
      </c>
      <c r="D1159">
        <v>15390000</v>
      </c>
      <c r="E1159" t="s">
        <v>163</v>
      </c>
      <c r="F1159" t="s">
        <v>1064</v>
      </c>
      <c r="G1159" t="str">
        <f>_xlfn.TEXTJOIN(",",TRUE,_xlfn._xlws.FILTER(GPU_brand[GPU brand], (GPU_brand[GPU brand text]&lt;&gt;"") * ISNUMBER(SEARCH(GPU_brand[GPU brand text], B1159)), ""))</f>
        <v>ASUS</v>
      </c>
      <c r="H1159" t="str">
        <f>_xlfn.TEXTJOIN(",",TRUE,_xlfn._xlws.FILTER(Chipset_Table[Chipset], (Chipset_Table[Chipset text]&lt;&gt;"") * ISNUMBER(SEARCH(Chipset_Table[Chipset text], B1159)), ""))</f>
        <v>GeForce RTX 5060,GeForce RTX 5060 Ti,RTX 5060 Ti</v>
      </c>
      <c r="I1159" t="str">
        <f>_xlfn.TEXTJOIN(",",TRUE,_xlfn._xlws.FILTER(VRAM_table[Video memory], (VRAM_table[Video memory text]&lt;&gt;"") * ISNUMBER(SEARCH(VRAM_table[Video memory text], B1159)), ""))</f>
        <v>8GB,8GB</v>
      </c>
    </row>
    <row r="1160" spans="1:9" x14ac:dyDescent="0.35">
      <c r="A1160" t="s">
        <v>9</v>
      </c>
      <c r="B1160" t="s">
        <v>164</v>
      </c>
      <c r="C1160">
        <v>0</v>
      </c>
      <c r="D1160">
        <v>16990000</v>
      </c>
      <c r="E1160" t="s">
        <v>165</v>
      </c>
      <c r="F1160" t="s">
        <v>1064</v>
      </c>
      <c r="G1160" t="str">
        <f>_xlfn.TEXTJOIN(",",TRUE,_xlfn._xlws.FILTER(GPU_brand[GPU brand], (GPU_brand[GPU brand text]&lt;&gt;"") * ISNUMBER(SEARCH(GPU_brand[GPU brand text], B1160)), ""))</f>
        <v>ASUS</v>
      </c>
      <c r="H1160" t="str">
        <f>_xlfn.TEXTJOIN(",",TRUE,_xlfn._xlws.FILTER(Chipset_Table[Chipset], (Chipset_Table[Chipset text]&lt;&gt;"") * ISNUMBER(SEARCH(Chipset_Table[Chipset text], B1160)), ""))</f>
        <v>GeForce RTX 5060,GeForce RTX 5060 Ti,RTX 5060 Ti</v>
      </c>
      <c r="I1160" t="str">
        <f>_xlfn.TEXTJOIN(",",TRUE,_xlfn._xlws.FILTER(VRAM_table[Video memory], (VRAM_table[Video memory text]&lt;&gt;"") * ISNUMBER(SEARCH(VRAM_table[Video memory text], B1160)), ""))</f>
        <v>8GB,8GB</v>
      </c>
    </row>
    <row r="1161" spans="1:9" x14ac:dyDescent="0.35">
      <c r="A1161" t="s">
        <v>9</v>
      </c>
      <c r="B1161" t="s">
        <v>166</v>
      </c>
      <c r="C1161">
        <v>0</v>
      </c>
      <c r="D1161">
        <v>18990000</v>
      </c>
      <c r="E1161" t="s">
        <v>167</v>
      </c>
      <c r="F1161" t="s">
        <v>1064</v>
      </c>
      <c r="G1161" t="str">
        <f>_xlfn.TEXTJOIN(",",TRUE,_xlfn._xlws.FILTER(GPU_brand[GPU brand], (GPU_brand[GPU brand text]&lt;&gt;"") * ISNUMBER(SEARCH(GPU_brand[GPU brand text], B1161)), ""))</f>
        <v>ASUS</v>
      </c>
      <c r="H1161" t="str">
        <f>_xlfn.TEXTJOIN(",",TRUE,_xlfn._xlws.FILTER(Chipset_Table[Chipset], (Chipset_Table[Chipset text]&lt;&gt;"") * ISNUMBER(SEARCH(Chipset_Table[Chipset text], B1161)), ""))</f>
        <v>GeForce RTX 5060,GeForce RTX 5060 Ti,RTX 5060 Ti</v>
      </c>
      <c r="I1161" t="str">
        <f>_xlfn.TEXTJOIN(",",TRUE,_xlfn._xlws.FILTER(VRAM_table[Video memory], (VRAM_table[Video memory text]&lt;&gt;"") * ISNUMBER(SEARCH(VRAM_table[Video memory text], B1161)), ""))</f>
        <v>16GB,16GB,6GB,6GB</v>
      </c>
    </row>
    <row r="1162" spans="1:9" x14ac:dyDescent="0.35">
      <c r="A1162" t="s">
        <v>9</v>
      </c>
      <c r="B1162" t="s">
        <v>168</v>
      </c>
      <c r="C1162">
        <v>0</v>
      </c>
      <c r="D1162">
        <v>19490000</v>
      </c>
      <c r="E1162" t="s">
        <v>169</v>
      </c>
      <c r="F1162" t="s">
        <v>1064</v>
      </c>
      <c r="G1162" t="str">
        <f>_xlfn.TEXTJOIN(",",TRUE,_xlfn._xlws.FILTER(GPU_brand[GPU brand], (GPU_brand[GPU brand text]&lt;&gt;"") * ISNUMBER(SEARCH(GPU_brand[GPU brand text], B1162)), ""))</f>
        <v>ASUS</v>
      </c>
      <c r="H1162" t="str">
        <f>_xlfn.TEXTJOIN(",",TRUE,_xlfn._xlws.FILTER(Chipset_Table[Chipset], (Chipset_Table[Chipset text]&lt;&gt;"") * ISNUMBER(SEARCH(Chipset_Table[Chipset text], B1162)), ""))</f>
        <v>GeForce RTX 5060,GeForce RTX 5060 Ti,RTX 5060 Ti</v>
      </c>
      <c r="I1162" t="str">
        <f>_xlfn.TEXTJOIN(",",TRUE,_xlfn._xlws.FILTER(VRAM_table[Video memory], (VRAM_table[Video memory text]&lt;&gt;"") * ISNUMBER(SEARCH(VRAM_table[Video memory text], B1162)), ""))</f>
        <v>16GB,16GB,6GB,6GB</v>
      </c>
    </row>
    <row r="1163" spans="1:9" x14ac:dyDescent="0.35">
      <c r="A1163" t="s">
        <v>9</v>
      </c>
      <c r="B1163" t="s">
        <v>170</v>
      </c>
      <c r="C1163">
        <v>20490000</v>
      </c>
      <c r="D1163">
        <v>20290000</v>
      </c>
      <c r="E1163" t="s">
        <v>171</v>
      </c>
      <c r="F1163" t="s">
        <v>1064</v>
      </c>
      <c r="G1163" t="str">
        <f>_xlfn.TEXTJOIN(",",TRUE,_xlfn._xlws.FILTER(GPU_brand[GPU brand], (GPU_brand[GPU brand text]&lt;&gt;"") * ISNUMBER(SEARCH(GPU_brand[GPU brand text], B1163)), ""))</f>
        <v>ASUS</v>
      </c>
      <c r="H1163" t="str">
        <f>_xlfn.TEXTJOIN(",",TRUE,_xlfn._xlws.FILTER(Chipset_Table[Chipset], (Chipset_Table[Chipset text]&lt;&gt;"") * ISNUMBER(SEARCH(Chipset_Table[Chipset text], B1163)), ""))</f>
        <v>GeForce RTX 5060,GeForce RTX 5060 Ti,RTX 5060 Ti</v>
      </c>
      <c r="I1163" t="str">
        <f>_xlfn.TEXTJOIN(",",TRUE,_xlfn._xlws.FILTER(VRAM_table[Video memory], (VRAM_table[Video memory text]&lt;&gt;"") * ISNUMBER(SEARCH(VRAM_table[Video memory text], B1163)), ""))</f>
        <v>16GB,16GB,6GB,6GB</v>
      </c>
    </row>
    <row r="1164" spans="1:9" x14ac:dyDescent="0.35">
      <c r="A1164" t="s">
        <v>9</v>
      </c>
      <c r="B1164" t="s">
        <v>172</v>
      </c>
      <c r="C1164">
        <v>22390000</v>
      </c>
      <c r="D1164">
        <v>18990000</v>
      </c>
      <c r="E1164" t="s">
        <v>173</v>
      </c>
      <c r="F1164" t="s">
        <v>1064</v>
      </c>
      <c r="G1164" t="str">
        <f>_xlfn.TEXTJOIN(",",TRUE,_xlfn._xlws.FILTER(GPU_brand[GPU brand], (GPU_brand[GPU brand text]&lt;&gt;"") * ISNUMBER(SEARCH(GPU_brand[GPU brand text], B1164)), ""))</f>
        <v>Gigabyte</v>
      </c>
      <c r="H1164" t="str">
        <f>_xlfn.TEXTJOIN(",",TRUE,_xlfn._xlws.FILTER(Chipset_Table[Chipset], (Chipset_Table[Chipset text]&lt;&gt;"") * ISNUMBER(SEARCH(Chipset_Table[Chipset text], B1164)), ""))</f>
        <v>GeForce RTX 5060,GeForce RTX 5060 Ti,RTX 5060 Ti</v>
      </c>
      <c r="I1164" t="str">
        <f>_xlfn.TEXTJOIN(",",TRUE,_xlfn._xlws.FILTER(VRAM_table[Video memory], (VRAM_table[Video memory text]&lt;&gt;"") * ISNUMBER(SEARCH(VRAM_table[Video memory text], B1164)), ""))</f>
        <v>16GB,16GB,6GB,6GB</v>
      </c>
    </row>
    <row r="1165" spans="1:9" x14ac:dyDescent="0.35">
      <c r="A1165" t="s">
        <v>9</v>
      </c>
      <c r="B1165" t="s">
        <v>174</v>
      </c>
      <c r="C1165">
        <v>21990000</v>
      </c>
      <c r="D1165">
        <v>17490000</v>
      </c>
      <c r="E1165" t="s">
        <v>175</v>
      </c>
      <c r="F1165" t="s">
        <v>1064</v>
      </c>
      <c r="G1165" t="str">
        <f>_xlfn.TEXTJOIN(",",TRUE,_xlfn._xlws.FILTER(GPU_brand[GPU brand], (GPU_brand[GPU brand text]&lt;&gt;"") * ISNUMBER(SEARCH(GPU_brand[GPU brand text], B1165)), ""))</f>
        <v>Gigabyte</v>
      </c>
      <c r="H1165" t="str">
        <f>_xlfn.TEXTJOIN(",",TRUE,_xlfn._xlws.FILTER(Chipset_Table[Chipset], (Chipset_Table[Chipset text]&lt;&gt;"") * ISNUMBER(SEARCH(Chipset_Table[Chipset text], B1165)), ""))</f>
        <v>GeForce RTX 5060,GeForce RTX 5060 Ti,RTX 5060 Ti</v>
      </c>
      <c r="I1165" t="str">
        <f>_xlfn.TEXTJOIN(",",TRUE,_xlfn._xlws.FILTER(VRAM_table[Video memory], (VRAM_table[Video memory text]&lt;&gt;"") * ISNUMBER(SEARCH(VRAM_table[Video memory text], B1165)), ""))</f>
        <v>16GB,16GB,6GB,6GB</v>
      </c>
    </row>
    <row r="1166" spans="1:9" x14ac:dyDescent="0.35">
      <c r="A1166" t="s">
        <v>9</v>
      </c>
      <c r="B1166" t="s">
        <v>176</v>
      </c>
      <c r="C1166">
        <v>17990000</v>
      </c>
      <c r="D1166">
        <v>13990000</v>
      </c>
      <c r="E1166" t="s">
        <v>177</v>
      </c>
      <c r="F1166" t="s">
        <v>1064</v>
      </c>
      <c r="G1166" t="str">
        <f>_xlfn.TEXTJOIN(",",TRUE,_xlfn._xlws.FILTER(GPU_brand[GPU brand], (GPU_brand[GPU brand text]&lt;&gt;"") * ISNUMBER(SEARCH(GPU_brand[GPU brand text], B1166)), ""))</f>
        <v>Gigabyte</v>
      </c>
      <c r="H1166" t="str">
        <f>_xlfn.TEXTJOIN(",",TRUE,_xlfn._xlws.FILTER(Chipset_Table[Chipset], (Chipset_Table[Chipset text]&lt;&gt;"") * ISNUMBER(SEARCH(Chipset_Table[Chipset text], B1166)), ""))</f>
        <v>GeForce RTX 5060,GeForce RTX 5060 Ti,RTX 5060 Ti</v>
      </c>
      <c r="I1166" t="str">
        <f>_xlfn.TEXTJOIN(",",TRUE,_xlfn._xlws.FILTER(VRAM_table[Video memory], (VRAM_table[Video memory text]&lt;&gt;"") * ISNUMBER(SEARCH(VRAM_table[Video memory text], B1166)), ""))</f>
        <v>16GB,16GB,6GB,6GB</v>
      </c>
    </row>
    <row r="1167" spans="1:9" x14ac:dyDescent="0.35">
      <c r="A1167" t="s">
        <v>9</v>
      </c>
      <c r="B1167" t="s">
        <v>178</v>
      </c>
      <c r="C1167">
        <v>18990000</v>
      </c>
      <c r="D1167">
        <v>14690000</v>
      </c>
      <c r="E1167" t="s">
        <v>179</v>
      </c>
      <c r="F1167" t="s">
        <v>1064</v>
      </c>
      <c r="G1167" t="str">
        <f>_xlfn.TEXTJOIN(",",TRUE,_xlfn._xlws.FILTER(GPU_brand[GPU brand], (GPU_brand[GPU brand text]&lt;&gt;"") * ISNUMBER(SEARCH(GPU_brand[GPU brand text], B1167)), ""))</f>
        <v>Gigabyte</v>
      </c>
      <c r="H1167" t="str">
        <f>_xlfn.TEXTJOIN(",",TRUE,_xlfn._xlws.FILTER(Chipset_Table[Chipset], (Chipset_Table[Chipset text]&lt;&gt;"") * ISNUMBER(SEARCH(Chipset_Table[Chipset text], B1167)), ""))</f>
        <v>GeForce RTX 5060,GeForce RTX 5060 Ti,RTX 5060 Ti</v>
      </c>
      <c r="I1167" t="str">
        <f>_xlfn.TEXTJOIN(",",TRUE,_xlfn._xlws.FILTER(VRAM_table[Video memory], (VRAM_table[Video memory text]&lt;&gt;"") * ISNUMBER(SEARCH(VRAM_table[Video memory text], B1167)), ""))</f>
        <v>16GB,16GB,6GB,6GB</v>
      </c>
    </row>
    <row r="1168" spans="1:9" x14ac:dyDescent="0.35">
      <c r="A1168" t="s">
        <v>9</v>
      </c>
      <c r="B1168" t="s">
        <v>180</v>
      </c>
      <c r="C1168">
        <v>22490000</v>
      </c>
      <c r="D1168">
        <v>20490000</v>
      </c>
      <c r="E1168" t="s">
        <v>181</v>
      </c>
      <c r="F1168" t="s">
        <v>1064</v>
      </c>
      <c r="G1168" t="str">
        <f>_xlfn.TEXTJOIN(",",TRUE,_xlfn._xlws.FILTER(GPU_brand[GPU brand], (GPU_brand[GPU brand text]&lt;&gt;"") * ISNUMBER(SEARCH(GPU_brand[GPU brand text], B1168)), ""))</f>
        <v>Gigabyte</v>
      </c>
      <c r="H1168" t="str">
        <f>_xlfn.TEXTJOIN(",",TRUE,_xlfn._xlws.FILTER(Chipset_Table[Chipset], (Chipset_Table[Chipset text]&lt;&gt;"") * ISNUMBER(SEARCH(Chipset_Table[Chipset text], B1168)), ""))</f>
        <v>GeForce RTX 5060,GeForce RTX 5060 Ti,RTX 5060 Ti</v>
      </c>
      <c r="I1168" t="str">
        <f>_xlfn.TEXTJOIN(",",TRUE,_xlfn._xlws.FILTER(VRAM_table[Video memory], (VRAM_table[Video memory text]&lt;&gt;"") * ISNUMBER(SEARCH(VRAM_table[Video memory text], B1168)), ""))</f>
        <v>16GB,16GB,6GB,6GB</v>
      </c>
    </row>
    <row r="1169" spans="1:9" x14ac:dyDescent="0.35">
      <c r="A1169" t="s">
        <v>9</v>
      </c>
      <c r="B1169" t="s">
        <v>182</v>
      </c>
      <c r="C1169">
        <v>20490000</v>
      </c>
      <c r="D1169">
        <v>16990000</v>
      </c>
      <c r="E1169" t="s">
        <v>183</v>
      </c>
      <c r="F1169" t="s">
        <v>1064</v>
      </c>
      <c r="G1169" t="str">
        <f>_xlfn.TEXTJOIN(",",TRUE,_xlfn._xlws.FILTER(GPU_brand[GPU brand], (GPU_brand[GPU brand text]&lt;&gt;"") * ISNUMBER(SEARCH(GPU_brand[GPU brand text], B1169)), ""))</f>
        <v>Gigabyte</v>
      </c>
      <c r="H1169" t="str">
        <f>_xlfn.TEXTJOIN(",",TRUE,_xlfn._xlws.FILTER(Chipset_Table[Chipset], (Chipset_Table[Chipset text]&lt;&gt;"") * ISNUMBER(SEARCH(Chipset_Table[Chipset text], B1169)), ""))</f>
        <v>GeForce RTX 5060,GeForce RTX 5060 Ti,RTX 5060 Ti</v>
      </c>
      <c r="I1169" t="str">
        <f>_xlfn.TEXTJOIN(",",TRUE,_xlfn._xlws.FILTER(VRAM_table[Video memory], (VRAM_table[Video memory text]&lt;&gt;"") * ISNUMBER(SEARCH(VRAM_table[Video memory text], B1169)), ""))</f>
        <v>16GB,16GB,6GB,6GB</v>
      </c>
    </row>
    <row r="1170" spans="1:9" x14ac:dyDescent="0.35">
      <c r="A1170" t="s">
        <v>9</v>
      </c>
      <c r="B1170" t="s">
        <v>184</v>
      </c>
      <c r="C1170">
        <v>21990000</v>
      </c>
      <c r="D1170">
        <v>19690000</v>
      </c>
      <c r="E1170" t="s">
        <v>185</v>
      </c>
      <c r="F1170" t="s">
        <v>1064</v>
      </c>
      <c r="G1170" t="str">
        <f>_xlfn.TEXTJOIN(",",TRUE,_xlfn._xlws.FILTER(GPU_brand[GPU brand], (GPU_brand[GPU brand text]&lt;&gt;"") * ISNUMBER(SEARCH(GPU_brand[GPU brand text], B1170)), ""))</f>
        <v>Gigabyte</v>
      </c>
      <c r="H1170" t="str">
        <f>_xlfn.TEXTJOIN(",",TRUE,_xlfn._xlws.FILTER(Chipset_Table[Chipset], (Chipset_Table[Chipset text]&lt;&gt;"") * ISNUMBER(SEARCH(Chipset_Table[Chipset text], B1170)), ""))</f>
        <v>GeForce RTX 5060,GeForce RTX 5060 Ti,RTX 5060 Ti</v>
      </c>
      <c r="I1170" t="str">
        <f>_xlfn.TEXTJOIN(",",TRUE,_xlfn._xlws.FILTER(VRAM_table[Video memory], (VRAM_table[Video memory text]&lt;&gt;"") * ISNUMBER(SEARCH(VRAM_table[Video memory text], B1170)), ""))</f>
        <v>16GB,16GB,6GB,6GB</v>
      </c>
    </row>
    <row r="1171" spans="1:9" x14ac:dyDescent="0.35">
      <c r="A1171" t="s">
        <v>9</v>
      </c>
      <c r="B1171" t="s">
        <v>186</v>
      </c>
      <c r="C1171">
        <v>41990000</v>
      </c>
      <c r="D1171">
        <v>37490000</v>
      </c>
      <c r="E1171" t="s">
        <v>187</v>
      </c>
      <c r="F1171" t="s">
        <v>1064</v>
      </c>
      <c r="G1171" t="str">
        <f>_xlfn.TEXTJOIN(",",TRUE,_xlfn._xlws.FILTER(GPU_brand[GPU brand], (GPU_brand[GPU brand text]&lt;&gt;"") * ISNUMBER(SEARCH(GPU_brand[GPU brand text], B1171)), ""))</f>
        <v>MSI</v>
      </c>
      <c r="H1171" t="str">
        <f>_xlfn.TEXTJOIN(",",TRUE,_xlfn._xlws.FILTER(Chipset_Table[Chipset], (Chipset_Table[Chipset text]&lt;&gt;"") * ISNUMBER(SEARCH(Chipset_Table[Chipset text], B1171)), ""))</f>
        <v>GeForce RTX 5080,RTX 5080</v>
      </c>
      <c r="I1171" t="str">
        <f>_xlfn.TEXTJOIN(",",TRUE,_xlfn._xlws.FILTER(VRAM_table[Video memory], (VRAM_table[Video memory text]&lt;&gt;"") * ISNUMBER(SEARCH(VRAM_table[Video memory text], B1171)), ""))</f>
        <v>16GB,6GB</v>
      </c>
    </row>
    <row r="1172" spans="1:9" x14ac:dyDescent="0.35">
      <c r="A1172" t="s">
        <v>9</v>
      </c>
      <c r="B1172" t="s">
        <v>38</v>
      </c>
      <c r="C1172">
        <v>53990000</v>
      </c>
      <c r="D1172">
        <v>49990000</v>
      </c>
      <c r="E1172" t="s">
        <v>39</v>
      </c>
      <c r="F1172" t="s">
        <v>1064</v>
      </c>
      <c r="G1172" t="str">
        <f>_xlfn.TEXTJOIN(",",TRUE,_xlfn._xlws.FILTER(GPU_brand[GPU brand], (GPU_brand[GPU brand text]&lt;&gt;"") * ISNUMBER(SEARCH(GPU_brand[GPU brand text], B1172)), ""))</f>
        <v>MSI</v>
      </c>
      <c r="H1172" t="str">
        <f>_xlfn.TEXTJOIN(",",TRUE,_xlfn._xlws.FILTER(Chipset_Table[Chipset], (Chipset_Table[Chipset text]&lt;&gt;"") * ISNUMBER(SEARCH(Chipset_Table[Chipset text], B1172)), ""))</f>
        <v>GeForce RTX 5080,RTX 5080</v>
      </c>
      <c r="I1172" t="str">
        <f>_xlfn.TEXTJOIN(",",TRUE,_xlfn._xlws.FILTER(VRAM_table[Video memory], (VRAM_table[Video memory text]&lt;&gt;"") * ISNUMBER(SEARCH(VRAM_table[Video memory text], B1172)), ""))</f>
        <v>16GB,6GB</v>
      </c>
    </row>
    <row r="1173" spans="1:9" x14ac:dyDescent="0.35">
      <c r="A1173" t="s">
        <v>9</v>
      </c>
      <c r="B1173" t="s">
        <v>188</v>
      </c>
      <c r="C1173">
        <v>45990000</v>
      </c>
      <c r="D1173">
        <v>44990000</v>
      </c>
      <c r="E1173" t="s">
        <v>189</v>
      </c>
      <c r="F1173" t="s">
        <v>1064</v>
      </c>
      <c r="G1173" t="str">
        <f>_xlfn.TEXTJOIN(",",TRUE,_xlfn._xlws.FILTER(GPU_brand[GPU brand], (GPU_brand[GPU brand text]&lt;&gt;"") * ISNUMBER(SEARCH(GPU_brand[GPU brand text], B1173)), ""))</f>
        <v>MSI</v>
      </c>
      <c r="H1173" t="str">
        <f>_xlfn.TEXTJOIN(",",TRUE,_xlfn._xlws.FILTER(Chipset_Table[Chipset], (Chipset_Table[Chipset text]&lt;&gt;"") * ISNUMBER(SEARCH(Chipset_Table[Chipset text], B1173)), ""))</f>
        <v>GeForce RTX 5080,RTX 5080</v>
      </c>
      <c r="I1173" t="str">
        <f>_xlfn.TEXTJOIN(",",TRUE,_xlfn._xlws.FILTER(VRAM_table[Video memory], (VRAM_table[Video memory text]&lt;&gt;"") * ISNUMBER(SEARCH(VRAM_table[Video memory text], B1173)), ""))</f>
        <v>16GB,6GB</v>
      </c>
    </row>
    <row r="1174" spans="1:9" x14ac:dyDescent="0.35">
      <c r="A1174" t="s">
        <v>9</v>
      </c>
      <c r="B1174" t="s">
        <v>190</v>
      </c>
      <c r="C1174">
        <v>0</v>
      </c>
      <c r="D1174">
        <v>29990000</v>
      </c>
      <c r="E1174" t="s">
        <v>191</v>
      </c>
      <c r="F1174" t="s">
        <v>1064</v>
      </c>
      <c r="G1174" t="str">
        <f>_xlfn.TEXTJOIN(",",TRUE,_xlfn._xlws.FILTER(GPU_brand[GPU brand], (GPU_brand[GPU brand text]&lt;&gt;"") * ISNUMBER(SEARCH(GPU_brand[GPU brand text], B1174)), ""))</f>
        <v>Colorful</v>
      </c>
      <c r="H1174" t="str">
        <f>_xlfn.TEXTJOIN(",",TRUE,_xlfn._xlws.FILTER(Chipset_Table[Chipset], (Chipset_Table[Chipset text]&lt;&gt;"") * ISNUMBER(SEARCH(Chipset_Table[Chipset text], B1174)), ""))</f>
        <v>GeForce RTX 5070,GeForce RTX 5070 Ti,RTX 5070</v>
      </c>
      <c r="I1174" t="str">
        <f>_xlfn.TEXTJOIN(",",TRUE,_xlfn._xlws.FILTER(VRAM_table[Video memory], (VRAM_table[Video memory text]&lt;&gt;"") * ISNUMBER(SEARCH(VRAM_table[Video memory text], B1174)), ""))</f>
        <v>16GB,16GB,6GB,6GB</v>
      </c>
    </row>
    <row r="1175" spans="1:9" x14ac:dyDescent="0.35">
      <c r="A1175" t="s">
        <v>9</v>
      </c>
      <c r="B1175" t="s">
        <v>192</v>
      </c>
      <c r="C1175">
        <v>99990000</v>
      </c>
      <c r="D1175">
        <v>98990000</v>
      </c>
      <c r="E1175" t="s">
        <v>193</v>
      </c>
      <c r="F1175" t="s">
        <v>1064</v>
      </c>
      <c r="G1175" t="str">
        <f>_xlfn.TEXTJOIN(",",TRUE,_xlfn._xlws.FILTER(GPU_brand[GPU brand], (GPU_brand[GPU brand text]&lt;&gt;"") * ISNUMBER(SEARCH(GPU_brand[GPU brand text], B1175)), ""))</f>
        <v>Gigabyte</v>
      </c>
      <c r="H1175" t="str">
        <f>_xlfn.TEXTJOIN(",",TRUE,_xlfn._xlws.FILTER(Chipset_Table[Chipset], (Chipset_Table[Chipset text]&lt;&gt;"") * ISNUMBER(SEARCH(Chipset_Table[Chipset text], B1175)), ""))</f>
        <v>GeForce RTX 5090</v>
      </c>
      <c r="I1175" t="str">
        <f>_xlfn.TEXTJOIN(",",TRUE,_xlfn._xlws.FILTER(VRAM_table[Video memory], (VRAM_table[Video memory text]&lt;&gt;"") * ISNUMBER(SEARCH(VRAM_table[Video memory text], B1175)), ""))</f>
        <v>32GB,2GB</v>
      </c>
    </row>
    <row r="1176" spans="1:9" x14ac:dyDescent="0.35">
      <c r="A1176" t="s">
        <v>9</v>
      </c>
      <c r="B1176" t="s">
        <v>196</v>
      </c>
      <c r="C1176">
        <v>21490000</v>
      </c>
      <c r="D1176">
        <v>19890000</v>
      </c>
      <c r="E1176" t="s">
        <v>197</v>
      </c>
      <c r="F1176" t="s">
        <v>1064</v>
      </c>
      <c r="G1176" t="str">
        <f>_xlfn.TEXTJOIN(",",TRUE,_xlfn._xlws.FILTER(GPU_brand[GPU brand], (GPU_brand[GPU brand text]&lt;&gt;"") * ISNUMBER(SEARCH(GPU_brand[GPU brand text], B1176)), ""))</f>
        <v>ASUS</v>
      </c>
      <c r="H1176" t="str">
        <f>_xlfn.TEXTJOIN(",",TRUE,_xlfn._xlws.FILTER(Chipset_Table[Chipset], (Chipset_Table[Chipset text]&lt;&gt;"") * ISNUMBER(SEARCH(Chipset_Table[Chipset text], B1176)), ""))</f>
        <v>GeForce RTX 5070,RTX 5070</v>
      </c>
      <c r="I1176" t="str">
        <f>_xlfn.TEXTJOIN(",",TRUE,_xlfn._xlws.FILTER(VRAM_table[Video memory], (VRAM_table[Video memory text]&lt;&gt;"") * ISNUMBER(SEARCH(VRAM_table[Video memory text], B1176)), ""))</f>
        <v>12GB,2GB</v>
      </c>
    </row>
    <row r="1177" spans="1:9" x14ac:dyDescent="0.35">
      <c r="A1177" t="s">
        <v>9</v>
      </c>
      <c r="B1177" t="s">
        <v>198</v>
      </c>
      <c r="C1177">
        <v>21690000</v>
      </c>
      <c r="D1177">
        <v>20490000</v>
      </c>
      <c r="E1177" t="s">
        <v>199</v>
      </c>
      <c r="F1177" t="s">
        <v>1064</v>
      </c>
      <c r="G1177" t="str">
        <f>_xlfn.TEXTJOIN(",",TRUE,_xlfn._xlws.FILTER(GPU_brand[GPU brand], (GPU_brand[GPU brand text]&lt;&gt;"") * ISNUMBER(SEARCH(GPU_brand[GPU brand text], B1177)), ""))</f>
        <v>ASUS</v>
      </c>
      <c r="H1177" t="str">
        <f>_xlfn.TEXTJOIN(",",TRUE,_xlfn._xlws.FILTER(Chipset_Table[Chipset], (Chipset_Table[Chipset text]&lt;&gt;"") * ISNUMBER(SEARCH(Chipset_Table[Chipset text], B1177)), ""))</f>
        <v>GeForce RTX 5070,RTX 5070</v>
      </c>
      <c r="I1177" t="str">
        <f>_xlfn.TEXTJOIN(",",TRUE,_xlfn._xlws.FILTER(VRAM_table[Video memory], (VRAM_table[Video memory text]&lt;&gt;"") * ISNUMBER(SEARCH(VRAM_table[Video memory text], B1177)), ""))</f>
        <v>12GB,2GB</v>
      </c>
    </row>
    <row r="1178" spans="1:9" x14ac:dyDescent="0.35">
      <c r="A1178" t="s">
        <v>9</v>
      </c>
      <c r="B1178" t="s">
        <v>200</v>
      </c>
      <c r="C1178">
        <v>25490000</v>
      </c>
      <c r="D1178">
        <v>22490000</v>
      </c>
      <c r="E1178" t="s">
        <v>201</v>
      </c>
      <c r="F1178" t="s">
        <v>1064</v>
      </c>
      <c r="G1178" t="str">
        <f>_xlfn.TEXTJOIN(",",TRUE,_xlfn._xlws.FILTER(GPU_brand[GPU brand], (GPU_brand[GPU brand text]&lt;&gt;"") * ISNUMBER(SEARCH(GPU_brand[GPU brand text], B1178)), ""))</f>
        <v>ASUS</v>
      </c>
      <c r="H1178" t="str">
        <f>_xlfn.TEXTJOIN(",",TRUE,_xlfn._xlws.FILTER(Chipset_Table[Chipset], (Chipset_Table[Chipset text]&lt;&gt;"") * ISNUMBER(SEARCH(Chipset_Table[Chipset text], B1178)), ""))</f>
        <v>GeForce RTX 5070,RTX 5070</v>
      </c>
      <c r="I1178" t="str">
        <f>_xlfn.TEXTJOIN(",",TRUE,_xlfn._xlws.FILTER(VRAM_table[Video memory], (VRAM_table[Video memory text]&lt;&gt;"") * ISNUMBER(SEARCH(VRAM_table[Video memory text], B1178)), ""))</f>
        <v>12GB,2GB</v>
      </c>
    </row>
    <row r="1179" spans="1:9" x14ac:dyDescent="0.35">
      <c r="A1179" t="s">
        <v>9</v>
      </c>
      <c r="B1179" t="s">
        <v>202</v>
      </c>
      <c r="C1179">
        <v>25990000</v>
      </c>
      <c r="D1179">
        <v>24990000</v>
      </c>
      <c r="E1179" t="s">
        <v>203</v>
      </c>
      <c r="F1179" t="s">
        <v>1064</v>
      </c>
      <c r="G1179" t="str">
        <f>_xlfn.TEXTJOIN(",",TRUE,_xlfn._xlws.FILTER(GPU_brand[GPU brand], (GPU_brand[GPU brand text]&lt;&gt;"") * ISNUMBER(SEARCH(GPU_brand[GPU brand text], B1179)), ""))</f>
        <v>ASUS</v>
      </c>
      <c r="H1179" t="str">
        <f>_xlfn.TEXTJOIN(",",TRUE,_xlfn._xlws.FILTER(Chipset_Table[Chipset], (Chipset_Table[Chipset text]&lt;&gt;"") * ISNUMBER(SEARCH(Chipset_Table[Chipset text], B1179)), ""))</f>
        <v>GeForce RTX 5070,RTX 5070</v>
      </c>
      <c r="I1179" t="str">
        <f>_xlfn.TEXTJOIN(",",TRUE,_xlfn._xlws.FILTER(VRAM_table[Video memory], (VRAM_table[Video memory text]&lt;&gt;"") * ISNUMBER(SEARCH(VRAM_table[Video memory text], B1179)), ""))</f>
        <v>12GB,2GB</v>
      </c>
    </row>
    <row r="1180" spans="1:9" x14ac:dyDescent="0.35">
      <c r="A1180" t="s">
        <v>9</v>
      </c>
      <c r="B1180" t="s">
        <v>204</v>
      </c>
      <c r="C1180">
        <v>29490000</v>
      </c>
      <c r="D1180">
        <v>25490000</v>
      </c>
      <c r="E1180" t="s">
        <v>205</v>
      </c>
      <c r="F1180" t="s">
        <v>1064</v>
      </c>
      <c r="G1180" t="str">
        <f>_xlfn.TEXTJOIN(",",TRUE,_xlfn._xlws.FILTER(GPU_brand[GPU brand], (GPU_brand[GPU brand text]&lt;&gt;"") * ISNUMBER(SEARCH(GPU_brand[GPU brand text], B1180)), ""))</f>
        <v>ASUS</v>
      </c>
      <c r="H1180" t="str">
        <f>_xlfn.TEXTJOIN(",",TRUE,_xlfn._xlws.FILTER(Chipset_Table[Chipset], (Chipset_Table[Chipset text]&lt;&gt;"") * ISNUMBER(SEARCH(Chipset_Table[Chipset text], B1180)), ""))</f>
        <v>GeForce RTX 5070,RTX 5070</v>
      </c>
      <c r="I1180" t="str">
        <f>_xlfn.TEXTJOIN(",",TRUE,_xlfn._xlws.FILTER(VRAM_table[Video memory], (VRAM_table[Video memory text]&lt;&gt;"") * ISNUMBER(SEARCH(VRAM_table[Video memory text], B1180)), ""))</f>
        <v>12GB,2GB</v>
      </c>
    </row>
    <row r="1181" spans="1:9" x14ac:dyDescent="0.35">
      <c r="A1181" t="s">
        <v>9</v>
      </c>
      <c r="B1181" t="s">
        <v>206</v>
      </c>
      <c r="C1181">
        <v>29990000</v>
      </c>
      <c r="D1181">
        <v>26490000</v>
      </c>
      <c r="E1181" t="s">
        <v>207</v>
      </c>
      <c r="F1181" t="s">
        <v>1064</v>
      </c>
      <c r="G1181" t="str">
        <f>_xlfn.TEXTJOIN(",",TRUE,_xlfn._xlws.FILTER(GPU_brand[GPU brand], (GPU_brand[GPU brand text]&lt;&gt;"") * ISNUMBER(SEARCH(GPU_brand[GPU brand text], B1181)), ""))</f>
        <v>ASUS</v>
      </c>
      <c r="H1181" t="str">
        <f>_xlfn.TEXTJOIN(",",TRUE,_xlfn._xlws.FILTER(Chipset_Table[Chipset], (Chipset_Table[Chipset text]&lt;&gt;"") * ISNUMBER(SEARCH(Chipset_Table[Chipset text], B1181)), ""))</f>
        <v>GeForce RTX 5070,RTX 5070</v>
      </c>
      <c r="I1181" t="str">
        <f>_xlfn.TEXTJOIN(",",TRUE,_xlfn._xlws.FILTER(VRAM_table[Video memory], (VRAM_table[Video memory text]&lt;&gt;"") * ISNUMBER(SEARCH(VRAM_table[Video memory text], B1181)), ""))</f>
        <v>12GB,2GB</v>
      </c>
    </row>
    <row r="1182" spans="1:9" x14ac:dyDescent="0.35">
      <c r="A1182" t="s">
        <v>9</v>
      </c>
      <c r="B1182" t="s">
        <v>208</v>
      </c>
      <c r="C1182">
        <v>0</v>
      </c>
      <c r="D1182">
        <v>39490000</v>
      </c>
      <c r="E1182" t="s">
        <v>209</v>
      </c>
      <c r="F1182" t="s">
        <v>1064</v>
      </c>
      <c r="G1182" t="str">
        <f>_xlfn.TEXTJOIN(",",TRUE,_xlfn._xlws.FILTER(GPU_brand[GPU brand], (GPU_brand[GPU brand text]&lt;&gt;"") * ISNUMBER(SEARCH(GPU_brand[GPU brand text], B1182)), ""))</f>
        <v>ASUS</v>
      </c>
      <c r="H1182" t="str">
        <f>_xlfn.TEXTJOIN(",",TRUE,_xlfn._xlws.FILTER(Chipset_Table[Chipset], (Chipset_Table[Chipset text]&lt;&gt;"") * ISNUMBER(SEARCH(Chipset_Table[Chipset text], B1182)), ""))</f>
        <v>GeForce RTX 5070,GeForce RTX 5070 Ti,RTX 5070</v>
      </c>
      <c r="I1182" t="str">
        <f>_xlfn.TEXTJOIN(",",TRUE,_xlfn._xlws.FILTER(VRAM_table[Video memory], (VRAM_table[Video memory text]&lt;&gt;"") * ISNUMBER(SEARCH(VRAM_table[Video memory text], B1182)), ""))</f>
        <v>16GB,16GB,6GB,6GB</v>
      </c>
    </row>
    <row r="1183" spans="1:9" x14ac:dyDescent="0.35">
      <c r="A1183" t="s">
        <v>9</v>
      </c>
      <c r="B1183" t="s">
        <v>212</v>
      </c>
      <c r="C1183">
        <v>26990000</v>
      </c>
      <c r="D1183">
        <v>25990000</v>
      </c>
      <c r="E1183" t="s">
        <v>213</v>
      </c>
      <c r="F1183" t="s">
        <v>1064</v>
      </c>
      <c r="G1183" t="str">
        <f>_xlfn.TEXTJOIN(",",TRUE,_xlfn._xlws.FILTER(GPU_brand[GPU brand], (GPU_brand[GPU brand text]&lt;&gt;"") * ISNUMBER(SEARCH(GPU_brand[GPU brand text], B1183)), ""))</f>
        <v>Gigabyte</v>
      </c>
      <c r="H1183" t="str">
        <f>_xlfn.TEXTJOIN(",",TRUE,_xlfn._xlws.FILTER(Chipset_Table[Chipset], (Chipset_Table[Chipset text]&lt;&gt;"") * ISNUMBER(SEARCH(Chipset_Table[Chipset text], B1183)), ""))</f>
        <v>GeForce RTX 5070,RTX 5070</v>
      </c>
      <c r="I1183" t="str">
        <f>_xlfn.TEXTJOIN(",",TRUE,_xlfn._xlws.FILTER(VRAM_table[Video memory], (VRAM_table[Video memory text]&lt;&gt;"") * ISNUMBER(SEARCH(VRAM_table[Video memory text], B1183)), ""))</f>
        <v>12GB,2GB</v>
      </c>
    </row>
    <row r="1184" spans="1:9" x14ac:dyDescent="0.35">
      <c r="A1184" t="s">
        <v>9</v>
      </c>
      <c r="B1184" t="s">
        <v>214</v>
      </c>
      <c r="C1184">
        <v>25990000</v>
      </c>
      <c r="D1184">
        <v>24990000</v>
      </c>
      <c r="E1184" t="s">
        <v>215</v>
      </c>
      <c r="F1184" t="s">
        <v>1064</v>
      </c>
      <c r="G1184" t="str">
        <f>_xlfn.TEXTJOIN(",",TRUE,_xlfn._xlws.FILTER(GPU_brand[GPU brand], (GPU_brand[GPU brand text]&lt;&gt;"") * ISNUMBER(SEARCH(GPU_brand[GPU brand text], B1184)), ""))</f>
        <v>Gigabyte</v>
      </c>
      <c r="H1184" t="str">
        <f>_xlfn.TEXTJOIN(",",TRUE,_xlfn._xlws.FILTER(Chipset_Table[Chipset], (Chipset_Table[Chipset text]&lt;&gt;"") * ISNUMBER(SEARCH(Chipset_Table[Chipset text], B1184)), ""))</f>
        <v>GeForce RTX 5070,RTX 5070</v>
      </c>
      <c r="I1184" t="str">
        <f>_xlfn.TEXTJOIN(",",TRUE,_xlfn._xlws.FILTER(VRAM_table[Video memory], (VRAM_table[Video memory text]&lt;&gt;"") * ISNUMBER(SEARCH(VRAM_table[Video memory text], B1184)), ""))</f>
        <v>12GB,2GB</v>
      </c>
    </row>
    <row r="1185" spans="1:9" x14ac:dyDescent="0.35">
      <c r="A1185" t="s">
        <v>9</v>
      </c>
      <c r="B1185" t="s">
        <v>216</v>
      </c>
      <c r="C1185">
        <v>26490000</v>
      </c>
      <c r="D1185">
        <v>25490000</v>
      </c>
      <c r="E1185" t="s">
        <v>217</v>
      </c>
      <c r="F1185" t="s">
        <v>1064</v>
      </c>
      <c r="G1185" t="str">
        <f>_xlfn.TEXTJOIN(",",TRUE,_xlfn._xlws.FILTER(GPU_brand[GPU brand], (GPU_brand[GPU brand text]&lt;&gt;"") * ISNUMBER(SEARCH(GPU_brand[GPU brand text], B1185)), ""))</f>
        <v>Gigabyte</v>
      </c>
      <c r="H1185" t="str">
        <f>_xlfn.TEXTJOIN(",",TRUE,_xlfn._xlws.FILTER(Chipset_Table[Chipset], (Chipset_Table[Chipset text]&lt;&gt;"") * ISNUMBER(SEARCH(Chipset_Table[Chipset text], B1185)), ""))</f>
        <v>GeForce RTX 5070,RTX 5070</v>
      </c>
      <c r="I1185" t="str">
        <f>_xlfn.TEXTJOIN(",",TRUE,_xlfn._xlws.FILTER(VRAM_table[Video memory], (VRAM_table[Video memory text]&lt;&gt;"") * ISNUMBER(SEARCH(VRAM_table[Video memory text], B1185)), ""))</f>
        <v>12GB,2GB</v>
      </c>
    </row>
    <row r="1186" spans="1:9" x14ac:dyDescent="0.35">
      <c r="A1186" t="s">
        <v>9</v>
      </c>
      <c r="B1186" t="s">
        <v>218</v>
      </c>
      <c r="C1186">
        <v>27490000</v>
      </c>
      <c r="D1186">
        <v>26990000</v>
      </c>
      <c r="E1186" t="s">
        <v>219</v>
      </c>
      <c r="F1186" t="s">
        <v>1064</v>
      </c>
      <c r="G1186" t="str">
        <f>_xlfn.TEXTJOIN(",",TRUE,_xlfn._xlws.FILTER(GPU_brand[GPU brand], (GPU_brand[GPU brand text]&lt;&gt;"") * ISNUMBER(SEARCH(GPU_brand[GPU brand text], B1186)), ""))</f>
        <v>Gigabyte</v>
      </c>
      <c r="H1186" t="str">
        <f>_xlfn.TEXTJOIN(",",TRUE,_xlfn._xlws.FILTER(Chipset_Table[Chipset], (Chipset_Table[Chipset text]&lt;&gt;"") * ISNUMBER(SEARCH(Chipset_Table[Chipset text], B1186)), ""))</f>
        <v>GeForce RTX 5070,RTX 5070</v>
      </c>
      <c r="I1186" t="str">
        <f>_xlfn.TEXTJOIN(",",TRUE,_xlfn._xlws.FILTER(VRAM_table[Video memory], (VRAM_table[Video memory text]&lt;&gt;"") * ISNUMBER(SEARCH(VRAM_table[Video memory text], B1186)), ""))</f>
        <v>12GB,2GB</v>
      </c>
    </row>
    <row r="1187" spans="1:9" x14ac:dyDescent="0.35">
      <c r="A1187" t="s">
        <v>9</v>
      </c>
      <c r="B1187" t="s">
        <v>220</v>
      </c>
      <c r="C1187">
        <v>35990000</v>
      </c>
      <c r="D1187">
        <v>31990000</v>
      </c>
      <c r="E1187" t="s">
        <v>221</v>
      </c>
      <c r="F1187" t="s">
        <v>1064</v>
      </c>
      <c r="G1187" t="str">
        <f>_xlfn.TEXTJOIN(",",TRUE,_xlfn._xlws.FILTER(GPU_brand[GPU brand], (GPU_brand[GPU brand text]&lt;&gt;"") * ISNUMBER(SEARCH(GPU_brand[GPU brand text], B1187)), ""))</f>
        <v>Gigabyte</v>
      </c>
      <c r="H1187" t="str">
        <f>_xlfn.TEXTJOIN(",",TRUE,_xlfn._xlws.FILTER(Chipset_Table[Chipset], (Chipset_Table[Chipset text]&lt;&gt;"") * ISNUMBER(SEARCH(Chipset_Table[Chipset text], B1187)), ""))</f>
        <v>GeForce RTX 5070,GeForce RTX 5070 Ti,RTX 5070</v>
      </c>
      <c r="I1187" t="str">
        <f>_xlfn.TEXTJOIN(",",TRUE,_xlfn._xlws.FILTER(VRAM_table[Video memory], (VRAM_table[Video memory text]&lt;&gt;"") * ISNUMBER(SEARCH(VRAM_table[Video memory text], B1187)), ""))</f>
        <v>16GB,6GB</v>
      </c>
    </row>
    <row r="1188" spans="1:9" x14ac:dyDescent="0.35">
      <c r="A1188" t="s">
        <v>9</v>
      </c>
      <c r="B1188" t="s">
        <v>222</v>
      </c>
      <c r="C1188">
        <v>35790000</v>
      </c>
      <c r="D1188">
        <v>33990000</v>
      </c>
      <c r="E1188" t="s">
        <v>223</v>
      </c>
      <c r="F1188" t="s">
        <v>1064</v>
      </c>
      <c r="G1188" t="str">
        <f>_xlfn.TEXTJOIN(",",TRUE,_xlfn._xlws.FILTER(GPU_brand[GPU brand], (GPU_brand[GPU brand text]&lt;&gt;"") * ISNUMBER(SEARCH(GPU_brand[GPU brand text], B1188)), ""))</f>
        <v>Gigabyte</v>
      </c>
      <c r="H1188" t="str">
        <f>_xlfn.TEXTJOIN(",",TRUE,_xlfn._xlws.FILTER(Chipset_Table[Chipset], (Chipset_Table[Chipset text]&lt;&gt;"") * ISNUMBER(SEARCH(Chipset_Table[Chipset text], B1188)), ""))</f>
        <v>GeForce RTX 5070,GeForce RTX 5070 Ti,RTX 5070</v>
      </c>
      <c r="I1188" t="str">
        <f>_xlfn.TEXTJOIN(",",TRUE,_xlfn._xlws.FILTER(VRAM_table[Video memory], (VRAM_table[Video memory text]&lt;&gt;"") * ISNUMBER(SEARCH(VRAM_table[Video memory text], B1188)), ""))</f>
        <v>16GB,6GB</v>
      </c>
    </row>
    <row r="1189" spans="1:9" x14ac:dyDescent="0.35">
      <c r="A1189" t="s">
        <v>9</v>
      </c>
      <c r="B1189" t="s">
        <v>224</v>
      </c>
      <c r="C1189">
        <v>33390000</v>
      </c>
      <c r="D1189">
        <v>30990000</v>
      </c>
      <c r="E1189" t="s">
        <v>225</v>
      </c>
      <c r="F1189" t="s">
        <v>1064</v>
      </c>
      <c r="G1189" t="str">
        <f>_xlfn.TEXTJOIN(",",TRUE,_xlfn._xlws.FILTER(GPU_brand[GPU brand], (GPU_brand[GPU brand text]&lt;&gt;"") * ISNUMBER(SEARCH(GPU_brand[GPU brand text], B1189)), ""))</f>
        <v>Gigabyte</v>
      </c>
      <c r="H1189" t="str">
        <f>_xlfn.TEXTJOIN(",",TRUE,_xlfn._xlws.FILTER(Chipset_Table[Chipset], (Chipset_Table[Chipset text]&lt;&gt;"") * ISNUMBER(SEARCH(Chipset_Table[Chipset text], B1189)), ""))</f>
        <v>GeForce RTX 5070,GeForce RTX 5070 Ti,RTX 5070</v>
      </c>
      <c r="I1189" t="str">
        <f>_xlfn.TEXTJOIN(",",TRUE,_xlfn._xlws.FILTER(VRAM_table[Video memory], (VRAM_table[Video memory text]&lt;&gt;"") * ISNUMBER(SEARCH(VRAM_table[Video memory text], B1189)), ""))</f>
        <v>16GB,6GB</v>
      </c>
    </row>
    <row r="1190" spans="1:9" x14ac:dyDescent="0.35">
      <c r="A1190" t="s">
        <v>9</v>
      </c>
      <c r="B1190" t="s">
        <v>226</v>
      </c>
      <c r="C1190">
        <v>0</v>
      </c>
      <c r="D1190">
        <v>33990000</v>
      </c>
      <c r="E1190" t="s">
        <v>227</v>
      </c>
      <c r="F1190" t="s">
        <v>1064</v>
      </c>
      <c r="G1190" t="str">
        <f>_xlfn.TEXTJOIN(",",TRUE,_xlfn._xlws.FILTER(GPU_brand[GPU brand], (GPU_brand[GPU brand text]&lt;&gt;"") * ISNUMBER(SEARCH(GPU_brand[GPU brand text], B1190)), ""))</f>
        <v>Gigabyte</v>
      </c>
      <c r="H1190" t="str">
        <f>_xlfn.TEXTJOIN(",",TRUE,_xlfn._xlws.FILTER(Chipset_Table[Chipset], (Chipset_Table[Chipset text]&lt;&gt;"") * ISNUMBER(SEARCH(Chipset_Table[Chipset text], B1190)), ""))</f>
        <v>GeForce RTX 5070,GeForce RTX 5070 Ti,RTX 5070</v>
      </c>
      <c r="I1190" t="str">
        <f>_xlfn.TEXTJOIN(",",TRUE,_xlfn._xlws.FILTER(VRAM_table[Video memory], (VRAM_table[Video memory text]&lt;&gt;"") * ISNUMBER(SEARCH(VRAM_table[Video memory text], B1190)), ""))</f>
        <v>16GB,6GB</v>
      </c>
    </row>
    <row r="1191" spans="1:9" x14ac:dyDescent="0.35">
      <c r="A1191" t="s">
        <v>9</v>
      </c>
      <c r="B1191" t="s">
        <v>228</v>
      </c>
      <c r="C1191">
        <v>0</v>
      </c>
      <c r="D1191">
        <v>36490000</v>
      </c>
      <c r="E1191" t="s">
        <v>229</v>
      </c>
      <c r="F1191" t="s">
        <v>1064</v>
      </c>
      <c r="G1191" t="str">
        <f>_xlfn.TEXTJOIN(",",TRUE,_xlfn._xlws.FILTER(GPU_brand[GPU brand], (GPU_brand[GPU brand text]&lt;&gt;"") * ISNUMBER(SEARCH(GPU_brand[GPU brand text], B1191)), ""))</f>
        <v>Gigabyte</v>
      </c>
      <c r="H1191" t="str">
        <f>_xlfn.TEXTJOIN(",",TRUE,_xlfn._xlws.FILTER(Chipset_Table[Chipset], (Chipset_Table[Chipset text]&lt;&gt;"") * ISNUMBER(SEARCH(Chipset_Table[Chipset text], B1191)), ""))</f>
        <v>GeForce RTX 5070,GeForce RTX 5070 Ti,RTX 5070</v>
      </c>
      <c r="I1191" t="str">
        <f>_xlfn.TEXTJOIN(",",TRUE,_xlfn._xlws.FILTER(VRAM_table[Video memory], (VRAM_table[Video memory text]&lt;&gt;"") * ISNUMBER(SEARCH(VRAM_table[Video memory text], B1191)), ""))</f>
        <v>16GB,6GB</v>
      </c>
    </row>
    <row r="1192" spans="1:9" x14ac:dyDescent="0.35">
      <c r="A1192" t="s">
        <v>9</v>
      </c>
      <c r="B1192" t="s">
        <v>230</v>
      </c>
      <c r="C1192">
        <v>45990000</v>
      </c>
      <c r="D1192">
        <v>43990000</v>
      </c>
      <c r="E1192" t="s">
        <v>231</v>
      </c>
      <c r="F1192" t="s">
        <v>1064</v>
      </c>
      <c r="G1192" t="str">
        <f>_xlfn.TEXTJOIN(",",TRUE,_xlfn._xlws.FILTER(GPU_brand[GPU brand], (GPU_brand[GPU brand text]&lt;&gt;"") * ISNUMBER(SEARCH(GPU_brand[GPU brand text], B1192)), ""))</f>
        <v>Gigabyte</v>
      </c>
      <c r="H1192" t="str">
        <f>_xlfn.TEXTJOIN(",",TRUE,_xlfn._xlws.FILTER(Chipset_Table[Chipset], (Chipset_Table[Chipset text]&lt;&gt;"") * ISNUMBER(SEARCH(Chipset_Table[Chipset text], B1192)), ""))</f>
        <v>GeForce RTX 5080,RTX 5080</v>
      </c>
      <c r="I1192" t="str">
        <f>_xlfn.TEXTJOIN(",",TRUE,_xlfn._xlws.FILTER(VRAM_table[Video memory], (VRAM_table[Video memory text]&lt;&gt;"") * ISNUMBER(SEARCH(VRAM_table[Video memory text], B1192)), ""))</f>
        <v>16GB,6GB</v>
      </c>
    </row>
    <row r="1193" spans="1:9" x14ac:dyDescent="0.35">
      <c r="A1193" t="s">
        <v>9</v>
      </c>
      <c r="B1193" t="s">
        <v>232</v>
      </c>
      <c r="C1193">
        <v>47990000</v>
      </c>
      <c r="D1193">
        <v>44990000</v>
      </c>
      <c r="E1193" t="s">
        <v>233</v>
      </c>
      <c r="F1193" t="s">
        <v>1064</v>
      </c>
      <c r="G1193" t="str">
        <f>_xlfn.TEXTJOIN(",",TRUE,_xlfn._xlws.FILTER(GPU_brand[GPU brand], (GPU_brand[GPU brand text]&lt;&gt;"") * ISNUMBER(SEARCH(GPU_brand[GPU brand text], B1193)), ""))</f>
        <v>Gigabyte</v>
      </c>
      <c r="H1193" t="str">
        <f>_xlfn.TEXTJOIN(",",TRUE,_xlfn._xlws.FILTER(Chipset_Table[Chipset], (Chipset_Table[Chipset text]&lt;&gt;"") * ISNUMBER(SEARCH(Chipset_Table[Chipset text], B1193)), ""))</f>
        <v>GeForce RTX 5080,RTX 5080</v>
      </c>
      <c r="I1193" t="str">
        <f>_xlfn.TEXTJOIN(",",TRUE,_xlfn._xlws.FILTER(VRAM_table[Video memory], (VRAM_table[Video memory text]&lt;&gt;"") * ISNUMBER(SEARCH(VRAM_table[Video memory text], B1193)), ""))</f>
        <v>16GB,6GB</v>
      </c>
    </row>
    <row r="1194" spans="1:9" x14ac:dyDescent="0.35">
      <c r="A1194" t="s">
        <v>9</v>
      </c>
      <c r="B1194" t="s">
        <v>234</v>
      </c>
      <c r="C1194">
        <v>47490000</v>
      </c>
      <c r="D1194">
        <v>44990000</v>
      </c>
      <c r="E1194" t="s">
        <v>235</v>
      </c>
      <c r="F1194" t="s">
        <v>1064</v>
      </c>
      <c r="G1194" t="str">
        <f>_xlfn.TEXTJOIN(",",TRUE,_xlfn._xlws.FILTER(GPU_brand[GPU brand], (GPU_brand[GPU brand text]&lt;&gt;"") * ISNUMBER(SEARCH(GPU_brand[GPU brand text], B1194)), ""))</f>
        <v>Gigabyte</v>
      </c>
      <c r="H1194" t="str">
        <f>_xlfn.TEXTJOIN(",",TRUE,_xlfn._xlws.FILTER(Chipset_Table[Chipset], (Chipset_Table[Chipset text]&lt;&gt;"") * ISNUMBER(SEARCH(Chipset_Table[Chipset text], B1194)), ""))</f>
        <v>GeForce RTX 5080,RTX 5080</v>
      </c>
      <c r="I1194" t="str">
        <f>_xlfn.TEXTJOIN(",",TRUE,_xlfn._xlws.FILTER(VRAM_table[Video memory], (VRAM_table[Video memory text]&lt;&gt;"") * ISNUMBER(SEARCH(VRAM_table[Video memory text], B1194)), ""))</f>
        <v>16GB,6GB</v>
      </c>
    </row>
    <row r="1195" spans="1:9" x14ac:dyDescent="0.35">
      <c r="A1195" t="s">
        <v>9</v>
      </c>
      <c r="B1195" t="s">
        <v>236</v>
      </c>
      <c r="C1195">
        <v>0</v>
      </c>
      <c r="D1195">
        <v>49990000</v>
      </c>
      <c r="E1195" t="s">
        <v>237</v>
      </c>
      <c r="F1195" t="s">
        <v>1064</v>
      </c>
      <c r="G1195" t="str">
        <f>_xlfn.TEXTJOIN(",",TRUE,_xlfn._xlws.FILTER(GPU_brand[GPU brand], (GPU_brand[GPU brand text]&lt;&gt;"") * ISNUMBER(SEARCH(GPU_brand[GPU brand text], B1195)), ""))</f>
        <v>Gigabyte</v>
      </c>
      <c r="H1195" t="str">
        <f>_xlfn.TEXTJOIN(",",TRUE,_xlfn._xlws.FILTER(Chipset_Table[Chipset], (Chipset_Table[Chipset text]&lt;&gt;"") * ISNUMBER(SEARCH(Chipset_Table[Chipset text], B1195)), ""))</f>
        <v>GeForce RTX 5080,RTX 5080</v>
      </c>
      <c r="I1195" t="str">
        <f>_xlfn.TEXTJOIN(",",TRUE,_xlfn._xlws.FILTER(VRAM_table[Video memory], (VRAM_table[Video memory text]&lt;&gt;"") * ISNUMBER(SEARCH(VRAM_table[Video memory text], B1195)), ""))</f>
        <v>16GB,6GB</v>
      </c>
    </row>
    <row r="1196" spans="1:9" x14ac:dyDescent="0.35">
      <c r="A1196" t="s">
        <v>9</v>
      </c>
      <c r="B1196" t="s">
        <v>238</v>
      </c>
      <c r="C1196">
        <v>0</v>
      </c>
      <c r="D1196">
        <v>50990000</v>
      </c>
      <c r="E1196" t="s">
        <v>239</v>
      </c>
      <c r="F1196" t="s">
        <v>1064</v>
      </c>
      <c r="G1196" t="str">
        <f>_xlfn.TEXTJOIN(",",TRUE,_xlfn._xlws.FILTER(GPU_brand[GPU brand], (GPU_brand[GPU brand text]&lt;&gt;"") * ISNUMBER(SEARCH(GPU_brand[GPU brand text], B1196)), ""))</f>
        <v>Gigabyte</v>
      </c>
      <c r="H1196" t="str">
        <f>_xlfn.TEXTJOIN(",",TRUE,_xlfn._xlws.FILTER(Chipset_Table[Chipset], (Chipset_Table[Chipset text]&lt;&gt;"") * ISNUMBER(SEARCH(Chipset_Table[Chipset text], B1196)), ""))</f>
        <v>GeForce RTX 5080,RTX 5080</v>
      </c>
      <c r="I1196" t="str">
        <f>_xlfn.TEXTJOIN(",",TRUE,_xlfn._xlws.FILTER(VRAM_table[Video memory], (VRAM_table[Video memory text]&lt;&gt;"") * ISNUMBER(SEARCH(VRAM_table[Video memory text], B1196)), ""))</f>
        <v>16GB,6GB</v>
      </c>
    </row>
    <row r="1197" spans="1:9" x14ac:dyDescent="0.35">
      <c r="A1197" t="s">
        <v>9</v>
      </c>
      <c r="B1197" t="s">
        <v>240</v>
      </c>
      <c r="C1197">
        <v>0</v>
      </c>
      <c r="D1197">
        <v>51990000</v>
      </c>
      <c r="E1197" t="s">
        <v>241</v>
      </c>
      <c r="F1197" t="s">
        <v>1064</v>
      </c>
      <c r="G1197" t="str">
        <f>_xlfn.TEXTJOIN(",",TRUE,_xlfn._xlws.FILTER(GPU_brand[GPU brand], (GPU_brand[GPU brand text]&lt;&gt;"") * ISNUMBER(SEARCH(GPU_brand[GPU brand text], B1197)), ""))</f>
        <v>Gigabyte</v>
      </c>
      <c r="H1197" t="str">
        <f>_xlfn.TEXTJOIN(",",TRUE,_xlfn._xlws.FILTER(Chipset_Table[Chipset], (Chipset_Table[Chipset text]&lt;&gt;"") * ISNUMBER(SEARCH(Chipset_Table[Chipset text], B1197)), ""))</f>
        <v>GeForce RTX 5080,RTX 5080</v>
      </c>
      <c r="I1197" t="str">
        <f>_xlfn.TEXTJOIN(",",TRUE,_xlfn._xlws.FILTER(VRAM_table[Video memory], (VRAM_table[Video memory text]&lt;&gt;"") * ISNUMBER(SEARCH(VRAM_table[Video memory text], B1197)), ""))</f>
        <v>16GB,6GB</v>
      </c>
    </row>
    <row r="1198" spans="1:9" x14ac:dyDescent="0.35">
      <c r="A1198" t="s">
        <v>9</v>
      </c>
      <c r="B1198" t="s">
        <v>242</v>
      </c>
      <c r="C1198">
        <v>54990000</v>
      </c>
      <c r="D1198">
        <v>51990000</v>
      </c>
      <c r="E1198" t="s">
        <v>243</v>
      </c>
      <c r="F1198" t="s">
        <v>1064</v>
      </c>
      <c r="G1198" t="str">
        <f>_xlfn.TEXTJOIN(",",TRUE,_xlfn._xlws.FILTER(GPU_brand[GPU brand], (GPU_brand[GPU brand text]&lt;&gt;"") * ISNUMBER(SEARCH(GPU_brand[GPU brand text], B1198)), ""))</f>
        <v>Gigabyte</v>
      </c>
      <c r="H1198" t="str">
        <f>_xlfn.TEXTJOIN(",",TRUE,_xlfn._xlws.FILTER(Chipset_Table[Chipset], (Chipset_Table[Chipset text]&lt;&gt;"") * ISNUMBER(SEARCH(Chipset_Table[Chipset text], B1198)), ""))</f>
        <v>GeForce RTX 5080,RTX 5080</v>
      </c>
      <c r="I1198" t="str">
        <f>_xlfn.TEXTJOIN(",",TRUE,_xlfn._xlws.FILTER(VRAM_table[Video memory], (VRAM_table[Video memory text]&lt;&gt;"") * ISNUMBER(SEARCH(VRAM_table[Video memory text], B1198)), ""))</f>
        <v>16GB,6GB</v>
      </c>
    </row>
    <row r="1199" spans="1:9" x14ac:dyDescent="0.35">
      <c r="A1199" t="s">
        <v>9</v>
      </c>
      <c r="B1199" t="s">
        <v>244</v>
      </c>
      <c r="C1199">
        <v>105990000</v>
      </c>
      <c r="D1199">
        <v>102990000</v>
      </c>
      <c r="E1199" t="s">
        <v>245</v>
      </c>
      <c r="F1199" t="s">
        <v>1064</v>
      </c>
      <c r="G1199" t="str">
        <f>_xlfn.TEXTJOIN(",",TRUE,_xlfn._xlws.FILTER(GPU_brand[GPU brand], (GPU_brand[GPU brand text]&lt;&gt;"") * ISNUMBER(SEARCH(GPU_brand[GPU brand text], B1199)), ""))</f>
        <v>Gigabyte</v>
      </c>
      <c r="H1199" t="str">
        <f>_xlfn.TEXTJOIN(",",TRUE,_xlfn._xlws.FILTER(Chipset_Table[Chipset], (Chipset_Table[Chipset text]&lt;&gt;"") * ISNUMBER(SEARCH(Chipset_Table[Chipset text], B1199)), ""))</f>
        <v>GeForce RTX 5090</v>
      </c>
      <c r="I1199" t="str">
        <f>_xlfn.TEXTJOIN(",",TRUE,_xlfn._xlws.FILTER(VRAM_table[Video memory], (VRAM_table[Video memory text]&lt;&gt;"") * ISNUMBER(SEARCH(VRAM_table[Video memory text], B1199)), ""))</f>
        <v>32GB,2GB</v>
      </c>
    </row>
    <row r="1200" spans="1:9" x14ac:dyDescent="0.35">
      <c r="A1200" t="s">
        <v>9</v>
      </c>
      <c r="B1200" t="s">
        <v>246</v>
      </c>
      <c r="C1200">
        <v>119000000</v>
      </c>
      <c r="D1200">
        <v>114990000</v>
      </c>
      <c r="E1200" t="s">
        <v>247</v>
      </c>
      <c r="F1200" t="s">
        <v>1064</v>
      </c>
      <c r="G1200" t="str">
        <f>_xlfn.TEXTJOIN(",",TRUE,_xlfn._xlws.FILTER(GPU_brand[GPU brand], (GPU_brand[GPU brand text]&lt;&gt;"") * ISNUMBER(SEARCH(GPU_brand[GPU brand text], B1200)), ""))</f>
        <v>Gigabyte</v>
      </c>
      <c r="H1200" t="str">
        <f>_xlfn.TEXTJOIN(",",TRUE,_xlfn._xlws.FILTER(Chipset_Table[Chipset], (Chipset_Table[Chipset text]&lt;&gt;"") * ISNUMBER(SEARCH(Chipset_Table[Chipset text], B1200)), ""))</f>
        <v>GeForce RTX 5090</v>
      </c>
      <c r="I1200" t="str">
        <f>_xlfn.TEXTJOIN(",",TRUE,_xlfn._xlws.FILTER(VRAM_table[Video memory], (VRAM_table[Video memory text]&lt;&gt;"") * ISNUMBER(SEARCH(VRAM_table[Video memory text], B1200)), ""))</f>
        <v>32GB,2GB</v>
      </c>
    </row>
    <row r="1201" spans="1:9" x14ac:dyDescent="0.35">
      <c r="A1201" t="s">
        <v>9</v>
      </c>
      <c r="B1201" t="s">
        <v>248</v>
      </c>
      <c r="C1201">
        <v>110000000</v>
      </c>
      <c r="D1201">
        <v>99990000</v>
      </c>
      <c r="E1201" t="s">
        <v>249</v>
      </c>
      <c r="F1201" t="s">
        <v>1064</v>
      </c>
      <c r="G1201" t="str">
        <f>_xlfn.TEXTJOIN(",",TRUE,_xlfn._xlws.FILTER(GPU_brand[GPU brand], (GPU_brand[GPU brand text]&lt;&gt;"") * ISNUMBER(SEARCH(GPU_brand[GPU brand text], B1201)), ""))</f>
        <v>Gigabyte</v>
      </c>
      <c r="H1201" t="str">
        <f>_xlfn.TEXTJOIN(",",TRUE,_xlfn._xlws.FILTER(Chipset_Table[Chipset], (Chipset_Table[Chipset text]&lt;&gt;"") * ISNUMBER(SEARCH(Chipset_Table[Chipset text], B1201)), ""))</f>
        <v>GeForce RTX 5090</v>
      </c>
      <c r="I1201" t="str">
        <f>_xlfn.TEXTJOIN(",",TRUE,_xlfn._xlws.FILTER(VRAM_table[Video memory], (VRAM_table[Video memory text]&lt;&gt;"") * ISNUMBER(SEARCH(VRAM_table[Video memory text], B1201)), ""))</f>
        <v>32GB,2GB</v>
      </c>
    </row>
    <row r="1202" spans="1:9" x14ac:dyDescent="0.35">
      <c r="A1202" t="s">
        <v>9</v>
      </c>
      <c r="B1202" t="s">
        <v>250</v>
      </c>
      <c r="C1202">
        <v>120000000</v>
      </c>
      <c r="D1202">
        <v>109990000</v>
      </c>
      <c r="E1202" t="s">
        <v>251</v>
      </c>
      <c r="F1202" t="s">
        <v>1064</v>
      </c>
      <c r="G1202" t="str">
        <f>_xlfn.TEXTJOIN(",",TRUE,_xlfn._xlws.FILTER(GPU_brand[GPU brand], (GPU_brand[GPU brand text]&lt;&gt;"") * ISNUMBER(SEARCH(GPU_brand[GPU brand text], B1202)), ""))</f>
        <v>Gigabyte</v>
      </c>
      <c r="H1202" t="str">
        <f>_xlfn.TEXTJOIN(",",TRUE,_xlfn._xlws.FILTER(Chipset_Table[Chipset], (Chipset_Table[Chipset text]&lt;&gt;"") * ISNUMBER(SEARCH(Chipset_Table[Chipset text], B1202)), ""))</f>
        <v>GeForce RTX 5090</v>
      </c>
      <c r="I1202" t="str">
        <f>_xlfn.TEXTJOIN(",",TRUE,_xlfn._xlws.FILTER(VRAM_table[Video memory], (VRAM_table[Video memory text]&lt;&gt;"") * ISNUMBER(SEARCH(VRAM_table[Video memory text], B1202)), ""))</f>
        <v>32GB,2GB</v>
      </c>
    </row>
    <row r="1203" spans="1:9" x14ac:dyDescent="0.35">
      <c r="A1203" t="s">
        <v>9</v>
      </c>
      <c r="B1203" t="s">
        <v>252</v>
      </c>
      <c r="C1203">
        <v>118990000</v>
      </c>
      <c r="D1203">
        <v>113990000</v>
      </c>
      <c r="E1203" t="s">
        <v>253</v>
      </c>
      <c r="F1203" t="s">
        <v>1064</v>
      </c>
      <c r="G1203" t="str">
        <f>_xlfn.TEXTJOIN(",",TRUE,_xlfn._xlws.FILTER(GPU_brand[GPU brand], (GPU_brand[GPU brand text]&lt;&gt;"") * ISNUMBER(SEARCH(GPU_brand[GPU brand text], B1203)), ""))</f>
        <v>Gigabyte</v>
      </c>
      <c r="H1203" t="str">
        <f>_xlfn.TEXTJOIN(",",TRUE,_xlfn._xlws.FILTER(Chipset_Table[Chipset], (Chipset_Table[Chipset text]&lt;&gt;"") * ISNUMBER(SEARCH(Chipset_Table[Chipset text], B1203)), ""))</f>
        <v>GeForce RTX 5090</v>
      </c>
      <c r="I1203" t="str">
        <f>_xlfn.TEXTJOIN(",",TRUE,_xlfn._xlws.FILTER(VRAM_table[Video memory], (VRAM_table[Video memory text]&lt;&gt;"") * ISNUMBER(SEARCH(VRAM_table[Video memory text], B1203)), ""))</f>
        <v>32GB,2GB</v>
      </c>
    </row>
    <row r="1204" spans="1:9" x14ac:dyDescent="0.35">
      <c r="A1204" t="s">
        <v>9</v>
      </c>
      <c r="B1204" t="s">
        <v>254</v>
      </c>
      <c r="C1204">
        <v>0</v>
      </c>
      <c r="D1204">
        <v>21690000</v>
      </c>
      <c r="E1204" t="s">
        <v>255</v>
      </c>
      <c r="F1204" t="s">
        <v>1064</v>
      </c>
      <c r="G1204" t="str">
        <f>_xlfn.TEXTJOIN(",",TRUE,_xlfn._xlws.FILTER(GPU_brand[GPU brand], (GPU_brand[GPU brand text]&lt;&gt;"") * ISNUMBER(SEARCH(GPU_brand[GPU brand text], B1204)), ""))</f>
        <v>MSI</v>
      </c>
      <c r="H1204" t="str">
        <f>_xlfn.TEXTJOIN(",",TRUE,_xlfn._xlws.FILTER(Chipset_Table[Chipset], (Chipset_Table[Chipset text]&lt;&gt;"") * ISNUMBER(SEARCH(Chipset_Table[Chipset text], B1204)), ""))</f>
        <v>GeForce RTX 5070,RTX 5070</v>
      </c>
      <c r="I1204" t="str">
        <f>_xlfn.TEXTJOIN(",",TRUE,_xlfn._xlws.FILTER(VRAM_table[Video memory], (VRAM_table[Video memory text]&lt;&gt;"") * ISNUMBER(SEARCH(VRAM_table[Video memory text], B1204)), ""))</f>
        <v>12GB,2GB</v>
      </c>
    </row>
    <row r="1205" spans="1:9" x14ac:dyDescent="0.35">
      <c r="A1205" t="s">
        <v>9</v>
      </c>
      <c r="B1205" t="s">
        <v>256</v>
      </c>
      <c r="C1205">
        <v>21490000</v>
      </c>
      <c r="D1205">
        <v>19490000</v>
      </c>
      <c r="E1205" t="s">
        <v>257</v>
      </c>
      <c r="F1205" t="s">
        <v>1064</v>
      </c>
      <c r="G1205" t="str">
        <f>_xlfn.TEXTJOIN(",",TRUE,_xlfn._xlws.FILTER(GPU_brand[GPU brand], (GPU_brand[GPU brand text]&lt;&gt;"") * ISNUMBER(SEARCH(GPU_brand[GPU brand text], B1205)), ""))</f>
        <v>MSI</v>
      </c>
      <c r="H1205" t="str">
        <f>_xlfn.TEXTJOIN(",",TRUE,_xlfn._xlws.FILTER(Chipset_Table[Chipset], (Chipset_Table[Chipset text]&lt;&gt;"") * ISNUMBER(SEARCH(Chipset_Table[Chipset text], B1205)), ""))</f>
        <v>GeForce RTX 5070,RTX 5070</v>
      </c>
      <c r="I1205" t="str">
        <f>_xlfn.TEXTJOIN(",",TRUE,_xlfn._xlws.FILTER(VRAM_table[Video memory], (VRAM_table[Video memory text]&lt;&gt;"") * ISNUMBER(SEARCH(VRAM_table[Video memory text], B1205)), ""))</f>
        <v>12GB,2GB</v>
      </c>
    </row>
    <row r="1206" spans="1:9" x14ac:dyDescent="0.35">
      <c r="A1206" t="s">
        <v>9</v>
      </c>
      <c r="B1206" t="s">
        <v>258</v>
      </c>
      <c r="C1206">
        <v>21990000</v>
      </c>
      <c r="D1206">
        <v>20690000</v>
      </c>
      <c r="E1206" t="s">
        <v>259</v>
      </c>
      <c r="F1206" t="s">
        <v>1064</v>
      </c>
      <c r="G1206" t="str">
        <f>_xlfn.TEXTJOIN(",",TRUE,_xlfn._xlws.FILTER(GPU_brand[GPU brand], (GPU_brand[GPU brand text]&lt;&gt;"") * ISNUMBER(SEARCH(GPU_brand[GPU brand text], B1206)), ""))</f>
        <v>MSI</v>
      </c>
      <c r="H1206" t="str">
        <f>_xlfn.TEXTJOIN(",",TRUE,_xlfn._xlws.FILTER(Chipset_Table[Chipset], (Chipset_Table[Chipset text]&lt;&gt;"") * ISNUMBER(SEARCH(Chipset_Table[Chipset text], B1206)), ""))</f>
        <v>GeForce RTX 5070,RTX 5070</v>
      </c>
      <c r="I1206" t="str">
        <f>_xlfn.TEXTJOIN(",",TRUE,_xlfn._xlws.FILTER(VRAM_table[Video memory], (VRAM_table[Video memory text]&lt;&gt;"") * ISNUMBER(SEARCH(VRAM_table[Video memory text], B1206)), ""))</f>
        <v>12GB,2GB</v>
      </c>
    </row>
    <row r="1207" spans="1:9" x14ac:dyDescent="0.35">
      <c r="A1207" t="s">
        <v>9</v>
      </c>
      <c r="B1207" t="s">
        <v>260</v>
      </c>
      <c r="C1207">
        <v>21790000</v>
      </c>
      <c r="D1207">
        <v>20790000</v>
      </c>
      <c r="E1207" t="s">
        <v>261</v>
      </c>
      <c r="F1207" t="s">
        <v>1064</v>
      </c>
      <c r="G1207" t="str">
        <f>_xlfn.TEXTJOIN(",",TRUE,_xlfn._xlws.FILTER(GPU_brand[GPU brand], (GPU_brand[GPU brand text]&lt;&gt;"") * ISNUMBER(SEARCH(GPU_brand[GPU brand text], B1207)), ""))</f>
        <v>MSI</v>
      </c>
      <c r="H1207" t="str">
        <f>_xlfn.TEXTJOIN(",",TRUE,_xlfn._xlws.FILTER(Chipset_Table[Chipset], (Chipset_Table[Chipset text]&lt;&gt;"") * ISNUMBER(SEARCH(Chipset_Table[Chipset text], B1207)), ""))</f>
        <v>GeForce RTX 5070,RTX 5070</v>
      </c>
      <c r="I1207" t="str">
        <f>_xlfn.TEXTJOIN(",",TRUE,_xlfn._xlws.FILTER(VRAM_table[Video memory], (VRAM_table[Video memory text]&lt;&gt;"") * ISNUMBER(SEARCH(VRAM_table[Video memory text], B1207)), ""))</f>
        <v>12GB,2GB</v>
      </c>
    </row>
    <row r="1208" spans="1:9" x14ac:dyDescent="0.35">
      <c r="A1208" t="s">
        <v>9</v>
      </c>
      <c r="B1208" t="s">
        <v>262</v>
      </c>
      <c r="C1208">
        <v>0</v>
      </c>
      <c r="D1208">
        <v>22490000</v>
      </c>
      <c r="E1208" t="s">
        <v>263</v>
      </c>
      <c r="F1208" t="s">
        <v>1064</v>
      </c>
      <c r="G1208" t="str">
        <f>_xlfn.TEXTJOIN(",",TRUE,_xlfn._xlws.FILTER(GPU_brand[GPU brand], (GPU_brand[GPU brand text]&lt;&gt;"") * ISNUMBER(SEARCH(GPU_brand[GPU brand text], B1208)), ""))</f>
        <v>MSI</v>
      </c>
      <c r="H1208" t="str">
        <f>_xlfn.TEXTJOIN(",",TRUE,_xlfn._xlws.FILTER(Chipset_Table[Chipset], (Chipset_Table[Chipset text]&lt;&gt;"") * ISNUMBER(SEARCH(Chipset_Table[Chipset text], B1208)), ""))</f>
        <v>GeForce RTX 5070,RTX 5070</v>
      </c>
      <c r="I1208" t="str">
        <f>_xlfn.TEXTJOIN(",",TRUE,_xlfn._xlws.FILTER(VRAM_table[Video memory], (VRAM_table[Video memory text]&lt;&gt;"") * ISNUMBER(SEARCH(VRAM_table[Video memory text], B1208)), ""))</f>
        <v>12GB,2GB</v>
      </c>
    </row>
    <row r="1209" spans="1:9" x14ac:dyDescent="0.35">
      <c r="A1209" t="s">
        <v>9</v>
      </c>
      <c r="B1209" t="s">
        <v>264</v>
      </c>
      <c r="C1209">
        <v>0</v>
      </c>
      <c r="D1209">
        <v>23490000</v>
      </c>
      <c r="E1209" t="s">
        <v>265</v>
      </c>
      <c r="F1209" t="s">
        <v>1064</v>
      </c>
      <c r="G1209" t="str">
        <f>_xlfn.TEXTJOIN(",",TRUE,_xlfn._xlws.FILTER(GPU_brand[GPU brand], (GPU_brand[GPU brand text]&lt;&gt;"") * ISNUMBER(SEARCH(GPU_brand[GPU brand text], B1209)), ""))</f>
        <v>MSI</v>
      </c>
      <c r="H1209" t="str">
        <f>_xlfn.TEXTJOIN(",",TRUE,_xlfn._xlws.FILTER(Chipset_Table[Chipset], (Chipset_Table[Chipset text]&lt;&gt;"") * ISNUMBER(SEARCH(Chipset_Table[Chipset text], B1209)), ""))</f>
        <v>GeForce RTX 5070,RTX 5070</v>
      </c>
      <c r="I1209" t="str">
        <f>_xlfn.TEXTJOIN(",",TRUE,_xlfn._xlws.FILTER(VRAM_table[Video memory], (VRAM_table[Video memory text]&lt;&gt;"") * ISNUMBER(SEARCH(VRAM_table[Video memory text], B1209)), ""))</f>
        <v>12GB,2GB</v>
      </c>
    </row>
    <row r="1210" spans="1:9" x14ac:dyDescent="0.35">
      <c r="A1210" t="s">
        <v>9</v>
      </c>
      <c r="B1210" t="s">
        <v>266</v>
      </c>
      <c r="C1210">
        <v>24990000</v>
      </c>
      <c r="D1210">
        <v>23890000</v>
      </c>
      <c r="E1210" t="s">
        <v>267</v>
      </c>
      <c r="F1210" t="s">
        <v>1064</v>
      </c>
      <c r="G1210" t="str">
        <f>_xlfn.TEXTJOIN(",",TRUE,_xlfn._xlws.FILTER(GPU_brand[GPU brand], (GPU_brand[GPU brand text]&lt;&gt;"") * ISNUMBER(SEARCH(GPU_brand[GPU brand text], B1210)), ""))</f>
        <v>MSI</v>
      </c>
      <c r="H1210" t="str">
        <f>_xlfn.TEXTJOIN(",",TRUE,_xlfn._xlws.FILTER(Chipset_Table[Chipset], (Chipset_Table[Chipset text]&lt;&gt;"") * ISNUMBER(SEARCH(Chipset_Table[Chipset text], B1210)), ""))</f>
        <v>GeForce RTX 5070,RTX 5070</v>
      </c>
      <c r="I1210" t="str">
        <f>_xlfn.TEXTJOIN(",",TRUE,_xlfn._xlws.FILTER(VRAM_table[Video memory], (VRAM_table[Video memory text]&lt;&gt;"") * ISNUMBER(SEARCH(VRAM_table[Video memory text], B1210)), ""))</f>
        <v>12GB,2GB</v>
      </c>
    </row>
    <row r="1211" spans="1:9" x14ac:dyDescent="0.35">
      <c r="A1211" t="s">
        <v>9</v>
      </c>
      <c r="B1211" t="s">
        <v>268</v>
      </c>
      <c r="C1211">
        <v>0</v>
      </c>
      <c r="D1211">
        <v>28990000</v>
      </c>
      <c r="E1211" t="s">
        <v>269</v>
      </c>
      <c r="F1211" t="s">
        <v>1064</v>
      </c>
      <c r="G1211" t="str">
        <f>_xlfn.TEXTJOIN(",",TRUE,_xlfn._xlws.FILTER(GPU_brand[GPU brand], (GPU_brand[GPU brand text]&lt;&gt;"") * ISNUMBER(SEARCH(GPU_brand[GPU brand text], B1211)), ""))</f>
        <v>MSI</v>
      </c>
      <c r="H1211" t="str">
        <f>_xlfn.TEXTJOIN(",",TRUE,_xlfn._xlws.FILTER(Chipset_Table[Chipset], (Chipset_Table[Chipset text]&lt;&gt;"") * ISNUMBER(SEARCH(Chipset_Table[Chipset text], B1211)), ""))</f>
        <v>GeForce RTX 5070,GeForce RTX 5070 Ti,RTX 5070</v>
      </c>
      <c r="I1211" t="str">
        <f>_xlfn.TEXTJOIN(",",TRUE,_xlfn._xlws.FILTER(VRAM_table[Video memory], (VRAM_table[Video memory text]&lt;&gt;"") * ISNUMBER(SEARCH(VRAM_table[Video memory text], B1211)), ""))</f>
        <v>16GB,6GB</v>
      </c>
    </row>
    <row r="1212" spans="1:9" x14ac:dyDescent="0.35">
      <c r="A1212" t="s">
        <v>9</v>
      </c>
      <c r="B1212" t="s">
        <v>270</v>
      </c>
      <c r="C1212">
        <v>0</v>
      </c>
      <c r="D1212">
        <v>29990000</v>
      </c>
      <c r="E1212" t="s">
        <v>271</v>
      </c>
      <c r="F1212" t="s">
        <v>1064</v>
      </c>
      <c r="G1212" t="str">
        <f>_xlfn.TEXTJOIN(",",TRUE,_xlfn._xlws.FILTER(GPU_brand[GPU brand], (GPU_brand[GPU brand text]&lt;&gt;"") * ISNUMBER(SEARCH(GPU_brand[GPU brand text], B1212)), ""))</f>
        <v>MSI</v>
      </c>
      <c r="H1212" t="str">
        <f>_xlfn.TEXTJOIN(",",TRUE,_xlfn._xlws.FILTER(Chipset_Table[Chipset], (Chipset_Table[Chipset text]&lt;&gt;"") * ISNUMBER(SEARCH(Chipset_Table[Chipset text], B1212)), ""))</f>
        <v>GeForce RTX 5070,GeForce RTX 5070 Ti,RTX 5070</v>
      </c>
      <c r="I1212" t="str">
        <f>_xlfn.TEXTJOIN(",",TRUE,_xlfn._xlws.FILTER(VRAM_table[Video memory], (VRAM_table[Video memory text]&lt;&gt;"") * ISNUMBER(SEARCH(VRAM_table[Video memory text], B1212)), ""))</f>
        <v>16GB,6GB</v>
      </c>
    </row>
    <row r="1213" spans="1:9" x14ac:dyDescent="0.35">
      <c r="A1213" t="s">
        <v>9</v>
      </c>
      <c r="B1213" t="s">
        <v>272</v>
      </c>
      <c r="C1213">
        <v>0</v>
      </c>
      <c r="D1213">
        <v>29490000</v>
      </c>
      <c r="E1213" t="s">
        <v>273</v>
      </c>
      <c r="F1213" t="s">
        <v>1064</v>
      </c>
      <c r="G1213" t="str">
        <f>_xlfn.TEXTJOIN(",",TRUE,_xlfn._xlws.FILTER(GPU_brand[GPU brand], (GPU_brand[GPU brand text]&lt;&gt;"") * ISNUMBER(SEARCH(GPU_brand[GPU brand text], B1213)), ""))</f>
        <v>MSI</v>
      </c>
      <c r="H1213" t="str">
        <f>_xlfn.TEXTJOIN(",",TRUE,_xlfn._xlws.FILTER(Chipset_Table[Chipset], (Chipset_Table[Chipset text]&lt;&gt;"") * ISNUMBER(SEARCH(Chipset_Table[Chipset text], B1213)), ""))</f>
        <v>GeForce RTX 5070,GeForce RTX 5070 Ti,RTX 5070</v>
      </c>
      <c r="I1213" t="str">
        <f>_xlfn.TEXTJOIN(",",TRUE,_xlfn._xlws.FILTER(VRAM_table[Video memory], (VRAM_table[Video memory text]&lt;&gt;"") * ISNUMBER(SEARCH(VRAM_table[Video memory text], B1213)), ""))</f>
        <v>16GB,6GB</v>
      </c>
    </row>
    <row r="1214" spans="1:9" x14ac:dyDescent="0.35">
      <c r="A1214" t="s">
        <v>9</v>
      </c>
      <c r="B1214" t="s">
        <v>274</v>
      </c>
      <c r="C1214">
        <v>32990000</v>
      </c>
      <c r="D1214">
        <v>31490000</v>
      </c>
      <c r="E1214" t="s">
        <v>275</v>
      </c>
      <c r="F1214" t="s">
        <v>1064</v>
      </c>
      <c r="G1214" t="str">
        <f>_xlfn.TEXTJOIN(",",TRUE,_xlfn._xlws.FILTER(GPU_brand[GPU brand], (GPU_brand[GPU brand text]&lt;&gt;"") * ISNUMBER(SEARCH(GPU_brand[GPU brand text], B1214)), ""))</f>
        <v>MSI</v>
      </c>
      <c r="H1214" t="str">
        <f>_xlfn.TEXTJOIN(",",TRUE,_xlfn._xlws.FILTER(Chipset_Table[Chipset], (Chipset_Table[Chipset text]&lt;&gt;"") * ISNUMBER(SEARCH(Chipset_Table[Chipset text], B1214)), ""))</f>
        <v>GeForce RTX 5070,GeForce RTX 5070 Ti,RTX 5070</v>
      </c>
      <c r="I1214" t="str">
        <f>_xlfn.TEXTJOIN(",",TRUE,_xlfn._xlws.FILTER(VRAM_table[Video memory], (VRAM_table[Video memory text]&lt;&gt;"") * ISNUMBER(SEARCH(VRAM_table[Video memory text], B1214)), ""))</f>
        <v>16GB,6GB</v>
      </c>
    </row>
    <row r="1215" spans="1:9" x14ac:dyDescent="0.35">
      <c r="A1215" t="s">
        <v>9</v>
      </c>
      <c r="B1215" t="s">
        <v>276</v>
      </c>
      <c r="C1215">
        <v>53990000</v>
      </c>
      <c r="D1215">
        <v>48990000</v>
      </c>
      <c r="E1215" t="s">
        <v>277</v>
      </c>
      <c r="F1215" t="s">
        <v>1064</v>
      </c>
      <c r="G1215" t="str">
        <f>_xlfn.TEXTJOIN(",",TRUE,_xlfn._xlws.FILTER(GPU_brand[GPU brand], (GPU_brand[GPU brand text]&lt;&gt;"") * ISNUMBER(SEARCH(GPU_brand[GPU brand text], B1215)), ""))</f>
        <v>MSI</v>
      </c>
      <c r="H1215" t="str">
        <f>_xlfn.TEXTJOIN(",",TRUE,_xlfn._xlws.FILTER(Chipset_Table[Chipset], (Chipset_Table[Chipset text]&lt;&gt;"") * ISNUMBER(SEARCH(Chipset_Table[Chipset text], B1215)), ""))</f>
        <v>GeForce RTX 5080,RTX 5080</v>
      </c>
      <c r="I1215" t="str">
        <f>_xlfn.TEXTJOIN(",",TRUE,_xlfn._xlws.FILTER(VRAM_table[Video memory], (VRAM_table[Video memory text]&lt;&gt;"") * ISNUMBER(SEARCH(VRAM_table[Video memory text], B1215)), ""))</f>
        <v>16GB,6GB</v>
      </c>
    </row>
    <row r="1216" spans="1:9" x14ac:dyDescent="0.35">
      <c r="A1216" t="s">
        <v>9</v>
      </c>
      <c r="B1216" t="s">
        <v>278</v>
      </c>
      <c r="C1216">
        <v>42990000</v>
      </c>
      <c r="D1216">
        <v>38990000</v>
      </c>
      <c r="E1216" t="s">
        <v>279</v>
      </c>
      <c r="F1216" t="s">
        <v>1064</v>
      </c>
      <c r="G1216" t="str">
        <f>_xlfn.TEXTJOIN(",",TRUE,_xlfn._xlws.FILTER(GPU_brand[GPU brand], (GPU_brand[GPU brand text]&lt;&gt;"") * ISNUMBER(SEARCH(GPU_brand[GPU brand text], B1216)), ""))</f>
        <v>MSI</v>
      </c>
      <c r="H1216" t="str">
        <f>_xlfn.TEXTJOIN(",",TRUE,_xlfn._xlws.FILTER(Chipset_Table[Chipset], (Chipset_Table[Chipset text]&lt;&gt;"") * ISNUMBER(SEARCH(Chipset_Table[Chipset text], B1216)), ""))</f>
        <v>GeForce RTX 5080,RTX 5080</v>
      </c>
      <c r="I1216" t="str">
        <f>_xlfn.TEXTJOIN(",",TRUE,_xlfn._xlws.FILTER(VRAM_table[Video memory], (VRAM_table[Video memory text]&lt;&gt;"") * ISNUMBER(SEARCH(VRAM_table[Video memory text], B1216)), ""))</f>
        <v>16GB,6GB</v>
      </c>
    </row>
    <row r="1217" spans="1:9" x14ac:dyDescent="0.35">
      <c r="A1217" t="s">
        <v>9</v>
      </c>
      <c r="B1217" t="s">
        <v>280</v>
      </c>
      <c r="C1217">
        <v>43990000</v>
      </c>
      <c r="D1217">
        <v>42990000</v>
      </c>
      <c r="E1217" t="s">
        <v>281</v>
      </c>
      <c r="F1217" t="s">
        <v>1064</v>
      </c>
      <c r="G1217" t="str">
        <f>_xlfn.TEXTJOIN(",",TRUE,_xlfn._xlws.FILTER(GPU_brand[GPU brand], (GPU_brand[GPU brand text]&lt;&gt;"") * ISNUMBER(SEARCH(GPU_brand[GPU brand text], B1217)), ""))</f>
        <v>MSI</v>
      </c>
      <c r="H1217" t="str">
        <f>_xlfn.TEXTJOIN(",",TRUE,_xlfn._xlws.FILTER(Chipset_Table[Chipset], (Chipset_Table[Chipset text]&lt;&gt;"") * ISNUMBER(SEARCH(Chipset_Table[Chipset text], B1217)), ""))</f>
        <v>GeForce RTX 5080,RTX 5080</v>
      </c>
      <c r="I1217" t="str">
        <f>_xlfn.TEXTJOIN(",",TRUE,_xlfn._xlws.FILTER(VRAM_table[Video memory], (VRAM_table[Video memory text]&lt;&gt;"") * ISNUMBER(SEARCH(VRAM_table[Video memory text], B1217)), ""))</f>
        <v>16GB,6GB</v>
      </c>
    </row>
    <row r="1218" spans="1:9" x14ac:dyDescent="0.35">
      <c r="A1218" t="s">
        <v>9</v>
      </c>
      <c r="B1218" t="s">
        <v>282</v>
      </c>
      <c r="C1218">
        <v>45990000</v>
      </c>
      <c r="D1218">
        <v>45490000</v>
      </c>
      <c r="E1218" t="s">
        <v>283</v>
      </c>
      <c r="F1218" t="s">
        <v>1064</v>
      </c>
      <c r="G1218" t="str">
        <f>_xlfn.TEXTJOIN(",",TRUE,_xlfn._xlws.FILTER(GPU_brand[GPU brand], (GPU_brand[GPU brand text]&lt;&gt;"") * ISNUMBER(SEARCH(GPU_brand[GPU brand text], B1218)), ""))</f>
        <v>MSI</v>
      </c>
      <c r="H1218" t="str">
        <f>_xlfn.TEXTJOIN(",",TRUE,_xlfn._xlws.FILTER(Chipset_Table[Chipset], (Chipset_Table[Chipset text]&lt;&gt;"") * ISNUMBER(SEARCH(Chipset_Table[Chipset text], B1218)), ""))</f>
        <v>GeForce RTX 5080,RTX 5080</v>
      </c>
      <c r="I1218" t="str">
        <f>_xlfn.TEXTJOIN(",",TRUE,_xlfn._xlws.FILTER(VRAM_table[Video memory], (VRAM_table[Video memory text]&lt;&gt;"") * ISNUMBER(SEARCH(VRAM_table[Video memory text], B1218)), ""))</f>
        <v>16GB,6GB</v>
      </c>
    </row>
    <row r="1219" spans="1:9" x14ac:dyDescent="0.35">
      <c r="A1219" t="s">
        <v>9</v>
      </c>
      <c r="B1219" t="s">
        <v>284</v>
      </c>
      <c r="C1219">
        <v>119990000</v>
      </c>
      <c r="D1219">
        <v>118990000</v>
      </c>
      <c r="E1219" t="s">
        <v>285</v>
      </c>
      <c r="F1219" t="s">
        <v>1064</v>
      </c>
      <c r="G1219" t="str">
        <f>_xlfn.TEXTJOIN(",",TRUE,_xlfn._xlws.FILTER(GPU_brand[GPU brand], (GPU_brand[GPU brand text]&lt;&gt;"") * ISNUMBER(SEARCH(GPU_brand[GPU brand text], B1219)), ""))</f>
        <v>MSI</v>
      </c>
      <c r="H1219" t="str">
        <f>_xlfn.TEXTJOIN(",",TRUE,_xlfn._xlws.FILTER(Chipset_Table[Chipset], (Chipset_Table[Chipset text]&lt;&gt;"") * ISNUMBER(SEARCH(Chipset_Table[Chipset text], B1219)), ""))</f>
        <v>GeForce RTX 5090</v>
      </c>
      <c r="I1219" t="str">
        <f>_xlfn.TEXTJOIN(",",TRUE,_xlfn._xlws.FILTER(VRAM_table[Video memory], (VRAM_table[Video memory text]&lt;&gt;"") * ISNUMBER(SEARCH(VRAM_table[Video memory text], B1219)), ""))</f>
        <v>32GB,2GB</v>
      </c>
    </row>
    <row r="1220" spans="1:9" x14ac:dyDescent="0.35">
      <c r="A1220" t="s">
        <v>9</v>
      </c>
      <c r="B1220" t="s">
        <v>286</v>
      </c>
      <c r="C1220">
        <v>134990000</v>
      </c>
      <c r="D1220">
        <v>129990000</v>
      </c>
      <c r="E1220" t="s">
        <v>287</v>
      </c>
      <c r="F1220" t="s">
        <v>1064</v>
      </c>
      <c r="G1220" t="str">
        <f>_xlfn.TEXTJOIN(",",TRUE,_xlfn._xlws.FILTER(GPU_brand[GPU brand], (GPU_brand[GPU brand text]&lt;&gt;"") * ISNUMBER(SEARCH(GPU_brand[GPU brand text], B1220)), ""))</f>
        <v>MSI</v>
      </c>
      <c r="H1220" t="str">
        <f>_xlfn.TEXTJOIN(",",TRUE,_xlfn._xlws.FILTER(Chipset_Table[Chipset], (Chipset_Table[Chipset text]&lt;&gt;"") * ISNUMBER(SEARCH(Chipset_Table[Chipset text], B1220)), ""))</f>
        <v>GeForce RTX 5090</v>
      </c>
      <c r="I1220" t="str">
        <f>_xlfn.TEXTJOIN(",",TRUE,_xlfn._xlws.FILTER(VRAM_table[Video memory], (VRAM_table[Video memory text]&lt;&gt;"") * ISNUMBER(SEARCH(VRAM_table[Video memory text], B1220)), ""))</f>
        <v>32GB,2GB</v>
      </c>
    </row>
    <row r="1221" spans="1:9" x14ac:dyDescent="0.35">
      <c r="A1221" t="s">
        <v>9</v>
      </c>
      <c r="B1221" t="s">
        <v>290</v>
      </c>
      <c r="C1221">
        <v>104990000</v>
      </c>
      <c r="D1221">
        <v>98990000</v>
      </c>
      <c r="E1221" t="s">
        <v>291</v>
      </c>
      <c r="F1221" t="s">
        <v>1064</v>
      </c>
      <c r="G1221" t="str">
        <f>_xlfn.TEXTJOIN(",",TRUE,_xlfn._xlws.FILTER(GPU_brand[GPU brand], (GPU_brand[GPU brand text]&lt;&gt;"") * ISNUMBER(SEARCH(GPU_brand[GPU brand text], B1221)), ""))</f>
        <v>MSI</v>
      </c>
      <c r="H1221" t="str">
        <f>_xlfn.TEXTJOIN(",",TRUE,_xlfn._xlws.FILTER(Chipset_Table[Chipset], (Chipset_Table[Chipset text]&lt;&gt;"") * ISNUMBER(SEARCH(Chipset_Table[Chipset text], B1221)), ""))</f>
        <v>GeForce RTX 5090</v>
      </c>
      <c r="I1221" t="str">
        <f>_xlfn.TEXTJOIN(",",TRUE,_xlfn._xlws.FILTER(VRAM_table[Video memory], (VRAM_table[Video memory text]&lt;&gt;"") * ISNUMBER(SEARCH(VRAM_table[Video memory text], B1221)), ""))</f>
        <v>32GB,2GB</v>
      </c>
    </row>
    <row r="1222" spans="1:9" x14ac:dyDescent="0.35">
      <c r="A1222" t="s">
        <v>9</v>
      </c>
      <c r="B1222" t="s">
        <v>292</v>
      </c>
      <c r="C1222">
        <v>33990000</v>
      </c>
      <c r="D1222">
        <v>32990000</v>
      </c>
      <c r="E1222" t="s">
        <v>293</v>
      </c>
      <c r="F1222" t="s">
        <v>1064</v>
      </c>
      <c r="G1222" t="str">
        <f>_xlfn.TEXTJOIN(",",TRUE,_xlfn._xlws.FILTER(GPU_brand[GPU brand], (GPU_brand[GPU brand text]&lt;&gt;"") * ISNUMBER(SEARCH(GPU_brand[GPU brand text], B1222)), ""))</f>
        <v>ASUS</v>
      </c>
      <c r="H1222" t="str">
        <f>_xlfn.TEXTJOIN(",",TRUE,_xlfn._xlws.FILTER(Chipset_Table[Chipset], (Chipset_Table[Chipset text]&lt;&gt;"") * ISNUMBER(SEARCH(Chipset_Table[Chipset text], B1222)), ""))</f>
        <v>GeForce RTX 5070,GeForce RTX 5070 Ti,RTX 5070</v>
      </c>
      <c r="I1222" t="str">
        <f>_xlfn.TEXTJOIN(",",TRUE,_xlfn._xlws.FILTER(VRAM_table[Video memory], (VRAM_table[Video memory text]&lt;&gt;"") * ISNUMBER(SEARCH(VRAM_table[Video memory text], B1222)), ""))</f>
        <v>16GB,16GB,6GB,6GB</v>
      </c>
    </row>
    <row r="1223" spans="1:9" x14ac:dyDescent="0.35">
      <c r="A1223" t="s">
        <v>9</v>
      </c>
      <c r="B1223" t="s">
        <v>294</v>
      </c>
      <c r="C1223">
        <v>33990000</v>
      </c>
      <c r="D1223">
        <v>32990000</v>
      </c>
      <c r="E1223" t="s">
        <v>295</v>
      </c>
      <c r="F1223" t="s">
        <v>1064</v>
      </c>
      <c r="G1223" t="str">
        <f>_xlfn.TEXTJOIN(",",TRUE,_xlfn._xlws.FILTER(GPU_brand[GPU brand], (GPU_brand[GPU brand text]&lt;&gt;"") * ISNUMBER(SEARCH(GPU_brand[GPU brand text], B1223)), ""))</f>
        <v>ASUS</v>
      </c>
      <c r="H1223" t="str">
        <f>_xlfn.TEXTJOIN(",",TRUE,_xlfn._xlws.FILTER(Chipset_Table[Chipset], (Chipset_Table[Chipset text]&lt;&gt;"") * ISNUMBER(SEARCH(Chipset_Table[Chipset text], B1223)), ""))</f>
        <v>GeForce RTX 5070,GeForce RTX 5070 Ti,RTX 5070</v>
      </c>
      <c r="I1223" t="str">
        <f>_xlfn.TEXTJOIN(",",TRUE,_xlfn._xlws.FILTER(VRAM_table[Video memory], (VRAM_table[Video memory text]&lt;&gt;"") * ISNUMBER(SEARCH(VRAM_table[Video memory text], B1223)), ""))</f>
        <v>16GB,16GB,6GB,6GB</v>
      </c>
    </row>
    <row r="1224" spans="1:9" x14ac:dyDescent="0.35">
      <c r="A1224" t="s">
        <v>9</v>
      </c>
      <c r="B1224" t="s">
        <v>296</v>
      </c>
      <c r="C1224">
        <v>34490000</v>
      </c>
      <c r="D1224">
        <v>33990000</v>
      </c>
      <c r="E1224" t="s">
        <v>297</v>
      </c>
      <c r="F1224" t="s">
        <v>1064</v>
      </c>
      <c r="G1224" t="str">
        <f>_xlfn.TEXTJOIN(",",TRUE,_xlfn._xlws.FILTER(GPU_brand[GPU brand], (GPU_brand[GPU brand text]&lt;&gt;"") * ISNUMBER(SEARCH(GPU_brand[GPU brand text], B1224)), ""))</f>
        <v>ASUS</v>
      </c>
      <c r="H1224" t="str">
        <f>_xlfn.TEXTJOIN(",",TRUE,_xlfn._xlws.FILTER(Chipset_Table[Chipset], (Chipset_Table[Chipset text]&lt;&gt;"") * ISNUMBER(SEARCH(Chipset_Table[Chipset text], B1224)), ""))</f>
        <v>GeForce RTX 5070,GeForce RTX 5070 Ti,RTX 5070</v>
      </c>
      <c r="I1224" t="str">
        <f>_xlfn.TEXTJOIN(",",TRUE,_xlfn._xlws.FILTER(VRAM_table[Video memory], (VRAM_table[Video memory text]&lt;&gt;"") * ISNUMBER(SEARCH(VRAM_table[Video memory text], B1224)), ""))</f>
        <v>16GB,16GB,6GB,6GB</v>
      </c>
    </row>
    <row r="1225" spans="1:9" x14ac:dyDescent="0.35">
      <c r="A1225" t="s">
        <v>9</v>
      </c>
      <c r="B1225" t="s">
        <v>298</v>
      </c>
      <c r="C1225">
        <v>33490000</v>
      </c>
      <c r="D1225">
        <v>31990000</v>
      </c>
      <c r="E1225" t="s">
        <v>299</v>
      </c>
      <c r="F1225" t="s">
        <v>1064</v>
      </c>
      <c r="G1225" t="str">
        <f>_xlfn.TEXTJOIN(",",TRUE,_xlfn._xlws.FILTER(GPU_brand[GPU brand], (GPU_brand[GPU brand text]&lt;&gt;"") * ISNUMBER(SEARCH(GPU_brand[GPU brand text], B1225)), ""))</f>
        <v>ASUS</v>
      </c>
      <c r="H1225" t="str">
        <f>_xlfn.TEXTJOIN(",",TRUE,_xlfn._xlws.FILTER(Chipset_Table[Chipset], (Chipset_Table[Chipset text]&lt;&gt;"") * ISNUMBER(SEARCH(Chipset_Table[Chipset text], B1225)), ""))</f>
        <v>GeForce RTX 5070,GeForce RTX 5070 Ti,RTX 5070</v>
      </c>
      <c r="I1225" t="str">
        <f>_xlfn.TEXTJOIN(",",TRUE,_xlfn._xlws.FILTER(VRAM_table[Video memory], (VRAM_table[Video memory text]&lt;&gt;"") * ISNUMBER(SEARCH(VRAM_table[Video memory text], B1225)), ""))</f>
        <v>16GB,16GB,6GB,6GB</v>
      </c>
    </row>
    <row r="1226" spans="1:9" x14ac:dyDescent="0.35">
      <c r="A1226" t="s">
        <v>9</v>
      </c>
      <c r="B1226" t="s">
        <v>300</v>
      </c>
      <c r="C1226">
        <v>40990000</v>
      </c>
      <c r="D1226">
        <v>39990000</v>
      </c>
      <c r="E1226" t="s">
        <v>301</v>
      </c>
      <c r="F1226" t="s">
        <v>1064</v>
      </c>
      <c r="G1226" t="str">
        <f>_xlfn.TEXTJOIN(",",TRUE,_xlfn._xlws.FILTER(GPU_brand[GPU brand], (GPU_brand[GPU brand text]&lt;&gt;"") * ISNUMBER(SEARCH(GPU_brand[GPU brand text], B1226)), ""))</f>
        <v>ASUS</v>
      </c>
      <c r="H1226" t="str">
        <f>_xlfn.TEXTJOIN(",",TRUE,_xlfn._xlws.FILTER(Chipset_Table[Chipset], (Chipset_Table[Chipset text]&lt;&gt;"") * ISNUMBER(SEARCH(Chipset_Table[Chipset text], B1226)), ""))</f>
        <v>GeForce RTX 5080,RTX 5080</v>
      </c>
      <c r="I1226" t="str">
        <f>_xlfn.TEXTJOIN(",",TRUE,_xlfn._xlws.FILTER(VRAM_table[Video memory], (VRAM_table[Video memory text]&lt;&gt;"") * ISNUMBER(SEARCH(VRAM_table[Video memory text], B1226)), ""))</f>
        <v>16GB,16GB,6GB,6GB</v>
      </c>
    </row>
    <row r="1227" spans="1:9" x14ac:dyDescent="0.35">
      <c r="A1227" t="s">
        <v>9</v>
      </c>
      <c r="B1227" t="s">
        <v>302</v>
      </c>
      <c r="C1227">
        <v>41490000</v>
      </c>
      <c r="D1227">
        <v>38690000</v>
      </c>
      <c r="E1227" t="s">
        <v>303</v>
      </c>
      <c r="F1227" t="s">
        <v>1064</v>
      </c>
      <c r="G1227" t="str">
        <f>_xlfn.TEXTJOIN(",",TRUE,_xlfn._xlws.FILTER(GPU_brand[GPU brand], (GPU_brand[GPU brand text]&lt;&gt;"") * ISNUMBER(SEARCH(GPU_brand[GPU brand text], B1227)), ""))</f>
        <v>ASUS</v>
      </c>
      <c r="H1227" t="str">
        <f>_xlfn.TEXTJOIN(",",TRUE,_xlfn._xlws.FILTER(Chipset_Table[Chipset], (Chipset_Table[Chipset text]&lt;&gt;"") * ISNUMBER(SEARCH(Chipset_Table[Chipset text], B1227)), ""))</f>
        <v>GeForce RTX 5080,RTX 5080</v>
      </c>
      <c r="I1227" t="str">
        <f>_xlfn.TEXTJOIN(",",TRUE,_xlfn._xlws.FILTER(VRAM_table[Video memory], (VRAM_table[Video memory text]&lt;&gt;"") * ISNUMBER(SEARCH(VRAM_table[Video memory text], B1227)), ""))</f>
        <v>16GB,16GB,6GB,6GB</v>
      </c>
    </row>
    <row r="1228" spans="1:9" x14ac:dyDescent="0.35">
      <c r="A1228" t="s">
        <v>9</v>
      </c>
      <c r="B1228" t="s">
        <v>304</v>
      </c>
      <c r="C1228">
        <v>45490000</v>
      </c>
      <c r="D1228">
        <v>43990000</v>
      </c>
      <c r="E1228" t="s">
        <v>305</v>
      </c>
      <c r="F1228" t="s">
        <v>1064</v>
      </c>
      <c r="G1228" t="str">
        <f>_xlfn.TEXTJOIN(",",TRUE,_xlfn._xlws.FILTER(GPU_brand[GPU brand], (GPU_brand[GPU brand text]&lt;&gt;"") * ISNUMBER(SEARCH(GPU_brand[GPU brand text], B1228)), ""))</f>
        <v>ASUS</v>
      </c>
      <c r="H1228" t="str">
        <f>_xlfn.TEXTJOIN(",",TRUE,_xlfn._xlws.FILTER(Chipset_Table[Chipset], (Chipset_Table[Chipset text]&lt;&gt;"") * ISNUMBER(SEARCH(Chipset_Table[Chipset text], B1228)), ""))</f>
        <v>GeForce RTX 5080,RTX 5080</v>
      </c>
      <c r="I1228" t="str">
        <f>_xlfn.TEXTJOIN(",",TRUE,_xlfn._xlws.FILTER(VRAM_table[Video memory], (VRAM_table[Video memory text]&lt;&gt;"") * ISNUMBER(SEARCH(VRAM_table[Video memory text], B1228)), ""))</f>
        <v>16GB,16GB,6GB,6GB</v>
      </c>
    </row>
    <row r="1229" spans="1:9" x14ac:dyDescent="0.35">
      <c r="A1229" t="s">
        <v>9</v>
      </c>
      <c r="B1229" t="s">
        <v>306</v>
      </c>
      <c r="C1229">
        <v>48990000</v>
      </c>
      <c r="D1229">
        <v>47290000</v>
      </c>
      <c r="E1229" t="s">
        <v>307</v>
      </c>
      <c r="F1229" t="s">
        <v>1064</v>
      </c>
      <c r="G1229" t="str">
        <f>_xlfn.TEXTJOIN(",",TRUE,_xlfn._xlws.FILTER(GPU_brand[GPU brand], (GPU_brand[GPU brand text]&lt;&gt;"") * ISNUMBER(SEARCH(GPU_brand[GPU brand text], B1229)), ""))</f>
        <v>ASUS</v>
      </c>
      <c r="H1229" t="str">
        <f>_xlfn.TEXTJOIN(",",TRUE,_xlfn._xlws.FILTER(Chipset_Table[Chipset], (Chipset_Table[Chipset text]&lt;&gt;"") * ISNUMBER(SEARCH(Chipset_Table[Chipset text], B1229)), ""))</f>
        <v>GeForce RTX 5080,RTX 5080</v>
      </c>
      <c r="I1229" t="str">
        <f>_xlfn.TEXTJOIN(",",TRUE,_xlfn._xlws.FILTER(VRAM_table[Video memory], (VRAM_table[Video memory text]&lt;&gt;"") * ISNUMBER(SEARCH(VRAM_table[Video memory text], B1229)), ""))</f>
        <v>16GB,16GB,6GB,6GB</v>
      </c>
    </row>
    <row r="1230" spans="1:9" x14ac:dyDescent="0.35">
      <c r="A1230" t="s">
        <v>9</v>
      </c>
      <c r="B1230" t="s">
        <v>308</v>
      </c>
      <c r="C1230">
        <v>104990000</v>
      </c>
      <c r="D1230">
        <v>99990000</v>
      </c>
      <c r="E1230" t="s">
        <v>309</v>
      </c>
      <c r="F1230" t="s">
        <v>1064</v>
      </c>
      <c r="G1230" t="str">
        <f>_xlfn.TEXTJOIN(",",TRUE,_xlfn._xlws.FILTER(GPU_brand[GPU brand], (GPU_brand[GPU brand text]&lt;&gt;"") * ISNUMBER(SEARCH(GPU_brand[GPU brand text], B1230)), ""))</f>
        <v>ASUS</v>
      </c>
      <c r="H1230" t="str">
        <f>_xlfn.TEXTJOIN(",",TRUE,_xlfn._xlws.FILTER(Chipset_Table[Chipset], (Chipset_Table[Chipset text]&lt;&gt;"") * ISNUMBER(SEARCH(Chipset_Table[Chipset text], B1230)), ""))</f>
        <v>GeForce RTX 5090</v>
      </c>
      <c r="I1230" t="str">
        <f>_xlfn.TEXTJOIN(",",TRUE,_xlfn._xlws.FILTER(VRAM_table[Video memory], (VRAM_table[Video memory text]&lt;&gt;"") * ISNUMBER(SEARCH(VRAM_table[Video memory text], B1230)), ""))</f>
        <v>32GB,32GB,2GB</v>
      </c>
    </row>
    <row r="1231" spans="1:9" x14ac:dyDescent="0.35">
      <c r="A1231" t="s">
        <v>9</v>
      </c>
      <c r="B1231" t="s">
        <v>310</v>
      </c>
      <c r="C1231">
        <v>135000000</v>
      </c>
      <c r="D1231">
        <v>108990000</v>
      </c>
      <c r="E1231" t="s">
        <v>311</v>
      </c>
      <c r="F1231" t="s">
        <v>1064</v>
      </c>
      <c r="G1231" t="str">
        <f>_xlfn.TEXTJOIN(",",TRUE,_xlfn._xlws.FILTER(GPU_brand[GPU brand], (GPU_brand[GPU brand text]&lt;&gt;"") * ISNUMBER(SEARCH(GPU_brand[GPU brand text], B1231)), ""))</f>
        <v>ASUS</v>
      </c>
      <c r="H1231" t="str">
        <f>_xlfn.TEXTJOIN(",",TRUE,_xlfn._xlws.FILTER(Chipset_Table[Chipset], (Chipset_Table[Chipset text]&lt;&gt;"") * ISNUMBER(SEARCH(Chipset_Table[Chipset text], B1231)), ""))</f>
        <v>GeForce RTX 5090</v>
      </c>
      <c r="I1231" t="str">
        <f>_xlfn.TEXTJOIN(",",TRUE,_xlfn._xlws.FILTER(VRAM_table[Video memory], (VRAM_table[Video memory text]&lt;&gt;"") * ISNUMBER(SEARCH(VRAM_table[Video memory text], B1231)), ""))</f>
        <v>32GB,32GB,2GB</v>
      </c>
    </row>
    <row r="1232" spans="1:9" x14ac:dyDescent="0.35">
      <c r="A1232" t="s">
        <v>9</v>
      </c>
      <c r="B1232" t="s">
        <v>312</v>
      </c>
      <c r="C1232">
        <v>135000000</v>
      </c>
      <c r="D1232">
        <v>115000000</v>
      </c>
      <c r="E1232" t="s">
        <v>313</v>
      </c>
      <c r="F1232" t="s">
        <v>1064</v>
      </c>
      <c r="G1232" t="str">
        <f>_xlfn.TEXTJOIN(",",TRUE,_xlfn._xlws.FILTER(GPU_brand[GPU brand], (GPU_brand[GPU brand text]&lt;&gt;"") * ISNUMBER(SEARCH(GPU_brand[GPU brand text], B1232)), ""))</f>
        <v>ASUS</v>
      </c>
      <c r="H1232" t="str">
        <f>_xlfn.TEXTJOIN(",",TRUE,_xlfn._xlws.FILTER(Chipset_Table[Chipset], (Chipset_Table[Chipset text]&lt;&gt;"") * ISNUMBER(SEARCH(Chipset_Table[Chipset text], B1232)), ""))</f>
        <v>GeForce RTX 5090</v>
      </c>
      <c r="I1232" t="str">
        <f>_xlfn.TEXTJOIN(",",TRUE,_xlfn._xlws.FILTER(VRAM_table[Video memory], (VRAM_table[Video memory text]&lt;&gt;"") * ISNUMBER(SEARCH(VRAM_table[Video memory text], B1232)), ""))</f>
        <v>32GB,32GB,2GB</v>
      </c>
    </row>
    <row r="1233" spans="1:9" x14ac:dyDescent="0.35">
      <c r="A1233" t="s">
        <v>9</v>
      </c>
      <c r="B1233" t="s">
        <v>314</v>
      </c>
      <c r="C1233">
        <v>139000000</v>
      </c>
      <c r="D1233">
        <v>104990000</v>
      </c>
      <c r="E1233" t="s">
        <v>315</v>
      </c>
      <c r="F1233" t="s">
        <v>1064</v>
      </c>
      <c r="G1233" t="str">
        <f>_xlfn.TEXTJOIN(",",TRUE,_xlfn._xlws.FILTER(GPU_brand[GPU brand], (GPU_brand[GPU brand text]&lt;&gt;"") * ISNUMBER(SEARCH(GPU_brand[GPU brand text], B1233)), ""))</f>
        <v>ASUS</v>
      </c>
      <c r="H1233" t="str">
        <f>_xlfn.TEXTJOIN(",",TRUE,_xlfn._xlws.FILTER(Chipset_Table[Chipset], (Chipset_Table[Chipset text]&lt;&gt;"") * ISNUMBER(SEARCH(Chipset_Table[Chipset text], B1233)), ""))</f>
        <v>GeForce RTX 5090</v>
      </c>
      <c r="I1233" t="str">
        <f>_xlfn.TEXTJOIN(",",TRUE,_xlfn._xlws.FILTER(VRAM_table[Video memory], (VRAM_table[Video memory text]&lt;&gt;"") * ISNUMBER(SEARCH(VRAM_table[Video memory text], B1233)), ""))</f>
        <v>32GB,32GB,2GB</v>
      </c>
    </row>
    <row r="1234" spans="1:9" x14ac:dyDescent="0.35">
      <c r="A1234" t="s">
        <v>9</v>
      </c>
      <c r="B1234" t="s">
        <v>321</v>
      </c>
      <c r="C1234">
        <v>6890000</v>
      </c>
      <c r="D1234">
        <v>5990000</v>
      </c>
      <c r="E1234" t="s">
        <v>322</v>
      </c>
      <c r="F1234" t="s">
        <v>1064</v>
      </c>
      <c r="G1234" t="str">
        <f>_xlfn.TEXTJOIN(",",TRUE,_xlfn._xlws.FILTER(GPU_brand[GPU brand], (GPU_brand[GPU brand text]&lt;&gt;"") * ISNUMBER(SEARCH(GPU_brand[GPU brand text], B1234)), ""))</f>
        <v>ZOTAC</v>
      </c>
      <c r="H1234" t="str">
        <f>_xlfn.TEXTJOIN(",",TRUE,_xlfn._xlws.FILTER(Chipset_Table[Chipset], (Chipset_Table[Chipset text]&lt;&gt;"") * ISNUMBER(SEARCH(Chipset_Table[Chipset text], B1234)), ""))</f>
        <v>GeForce RTX 3050</v>
      </c>
      <c r="I1234" t="str">
        <f>_xlfn.TEXTJOIN(",",TRUE,_xlfn._xlws.FILTER(VRAM_table[Video memory], (VRAM_table[Video memory text]&lt;&gt;"") * ISNUMBER(SEARCH(VRAM_table[Video memory text], B1234)), ""))</f>
        <v>6GB,6GB</v>
      </c>
    </row>
    <row r="1235" spans="1:9" x14ac:dyDescent="0.35">
      <c r="A1235" t="s">
        <v>9</v>
      </c>
      <c r="B1235" t="s">
        <v>62</v>
      </c>
      <c r="C1235">
        <v>13490000</v>
      </c>
      <c r="D1235">
        <v>12490000</v>
      </c>
      <c r="E1235" t="s">
        <v>63</v>
      </c>
      <c r="F1235" t="s">
        <v>1064</v>
      </c>
      <c r="G1235" t="str">
        <f>_xlfn.TEXTJOIN(",",TRUE,_xlfn._xlws.FILTER(GPU_brand[GPU brand], (GPU_brand[GPU brand text]&lt;&gt;"") * ISNUMBER(SEARCH(GPU_brand[GPU brand text], B1235)), ""))</f>
        <v>ZOTAC</v>
      </c>
      <c r="H1235" t="str">
        <f>_xlfn.TEXTJOIN(",",TRUE,_xlfn._xlws.FILTER(Chipset_Table[Chipset], (Chipset_Table[Chipset text]&lt;&gt;"") * ISNUMBER(SEARCH(Chipset_Table[Chipset text], B1235)), ""))</f>
        <v>GeForce RTX 5060,GeForce RTX 5060 Ti,RTX 5060 Ti</v>
      </c>
      <c r="I1235" t="str">
        <f>_xlfn.TEXTJOIN(",",TRUE,_xlfn._xlws.FILTER(VRAM_table[Video memory], (VRAM_table[Video memory text]&lt;&gt;"") * ISNUMBER(SEARCH(VRAM_table[Video memory text], B1235)), ""))</f>
        <v>8GB,8GB</v>
      </c>
    </row>
    <row r="1236" spans="1:9" x14ac:dyDescent="0.35">
      <c r="A1236" t="s">
        <v>9</v>
      </c>
      <c r="B1236" t="s">
        <v>21</v>
      </c>
      <c r="C1236">
        <v>11990000</v>
      </c>
      <c r="D1236">
        <v>11490000</v>
      </c>
      <c r="E1236" t="s">
        <v>22</v>
      </c>
      <c r="F1236" t="s">
        <v>1064</v>
      </c>
      <c r="G1236" t="str">
        <f>_xlfn.TEXTJOIN(",",TRUE,_xlfn._xlws.FILTER(GPU_brand[GPU brand], (GPU_brand[GPU brand text]&lt;&gt;"") * ISNUMBER(SEARCH(GPU_brand[GPU brand text], B1236)), ""))</f>
        <v>Gigabyte</v>
      </c>
      <c r="H1236" t="str">
        <f>_xlfn.TEXTJOIN(",",TRUE,_xlfn._xlws.FILTER(Chipset_Table[Chipset], (Chipset_Table[Chipset text]&lt;&gt;"") * ISNUMBER(SEARCH(Chipset_Table[Chipset text], B1236)), ""))</f>
        <v>GeForce RTX 5060</v>
      </c>
      <c r="I1236" t="str">
        <f>_xlfn.TEXTJOIN(",",TRUE,_xlfn._xlws.FILTER(VRAM_table[Video memory], (VRAM_table[Video memory text]&lt;&gt;"") * ISNUMBER(SEARCH(VRAM_table[Video memory text], B1236)), ""))</f>
        <v>8GB,8GB</v>
      </c>
    </row>
    <row r="1237" spans="1:9" x14ac:dyDescent="0.35">
      <c r="A1237" t="s">
        <v>9</v>
      </c>
      <c r="B1237" t="s">
        <v>24</v>
      </c>
      <c r="C1237">
        <v>9490000</v>
      </c>
      <c r="D1237">
        <v>8990000</v>
      </c>
      <c r="E1237" t="s">
        <v>25</v>
      </c>
      <c r="F1237" t="s">
        <v>1064</v>
      </c>
      <c r="G1237" t="str">
        <f>_xlfn.TEXTJOIN(",",TRUE,_xlfn._xlws.FILTER(GPU_brand[GPU brand], (GPU_brand[GPU brand text]&lt;&gt;"") * ISNUMBER(SEARCH(GPU_brand[GPU brand text], B1237)), ""))</f>
        <v>ZOTAC</v>
      </c>
      <c r="H1237" t="str">
        <f>_xlfn.TEXTJOIN(",",TRUE,_xlfn._xlws.FILTER(Chipset_Table[Chipset], (Chipset_Table[Chipset text]&lt;&gt;"") * ISNUMBER(SEARCH(Chipset_Table[Chipset text], B1237)), ""))</f>
        <v>GEFORCE RTX 5050,RTX 5050</v>
      </c>
      <c r="I1237" t="str">
        <f>_xlfn.TEXTJOIN(",",TRUE,_xlfn._xlws.FILTER(VRAM_table[Video memory], (VRAM_table[Video memory text]&lt;&gt;"") * ISNUMBER(SEARCH(VRAM_table[Video memory text], B1237)), ""))</f>
        <v>8GB,8GB</v>
      </c>
    </row>
    <row r="1238" spans="1:9" x14ac:dyDescent="0.35">
      <c r="A1238" t="s">
        <v>9</v>
      </c>
      <c r="B1238" t="s">
        <v>316</v>
      </c>
      <c r="C1238">
        <v>8490000</v>
      </c>
      <c r="D1238">
        <v>8390000</v>
      </c>
      <c r="E1238" t="s">
        <v>317</v>
      </c>
      <c r="F1238" t="s">
        <v>1064</v>
      </c>
      <c r="G1238" t="str">
        <f>_xlfn.TEXTJOIN(",",TRUE,_xlfn._xlws.FILTER(GPU_brand[GPU brand], (GPU_brand[GPU brand text]&lt;&gt;"") * ISNUMBER(SEARCH(GPU_brand[GPU brand text], B1238)), ""))</f>
        <v>Gigabyte</v>
      </c>
      <c r="H1238" t="str">
        <f>_xlfn.TEXTJOIN(",",TRUE,_xlfn._xlws.FILTER(Chipset_Table[Chipset], (Chipset_Table[Chipset text]&lt;&gt;"") * ISNUMBER(SEARCH(Chipset_Table[Chipset text], B1238)), ""))</f>
        <v>GeForce RTX 3050</v>
      </c>
      <c r="I1238" t="str">
        <f>_xlfn.TEXTJOIN(",",TRUE,_xlfn._xlws.FILTER(VRAM_table[Video memory], (VRAM_table[Video memory text]&lt;&gt;"") * ISNUMBER(SEARCH(VRAM_table[Video memory text], B1238)), ""))</f>
        <v>8GB</v>
      </c>
    </row>
    <row r="1239" spans="1:9" x14ac:dyDescent="0.35">
      <c r="A1239" t="s">
        <v>9</v>
      </c>
      <c r="B1239" t="s">
        <v>32</v>
      </c>
      <c r="C1239">
        <v>11990000</v>
      </c>
      <c r="D1239">
        <v>11490000</v>
      </c>
      <c r="E1239" t="s">
        <v>33</v>
      </c>
      <c r="F1239" t="s">
        <v>1064</v>
      </c>
      <c r="G1239" t="str">
        <f>_xlfn.TEXTJOIN(",",TRUE,_xlfn._xlws.FILTER(GPU_brand[GPU brand], (GPU_brand[GPU brand text]&lt;&gt;"") * ISNUMBER(SEARCH(GPU_brand[GPU brand text], B1239)), ""))</f>
        <v>MSI</v>
      </c>
      <c r="H1239" t="str">
        <f>_xlfn.TEXTJOIN(",",TRUE,_xlfn._xlws.FILTER(Chipset_Table[Chipset], (Chipset_Table[Chipset text]&lt;&gt;"") * ISNUMBER(SEARCH(Chipset_Table[Chipset text], B1239)), ""))</f>
        <v>GeForce RTX 5060</v>
      </c>
      <c r="I1239" t="str">
        <f>_xlfn.TEXTJOIN(",",TRUE,_xlfn._xlws.FILTER(VRAM_table[Video memory], (VRAM_table[Video memory text]&lt;&gt;"") * ISNUMBER(SEARCH(VRAM_table[Video memory text], B1239)), ""))</f>
        <v>8GB,8GB</v>
      </c>
    </row>
    <row r="1240" spans="1:9" x14ac:dyDescent="0.35">
      <c r="A1240" t="s">
        <v>9</v>
      </c>
      <c r="B1240" t="s">
        <v>108</v>
      </c>
      <c r="C1240">
        <v>11990000</v>
      </c>
      <c r="D1240">
        <v>10990000</v>
      </c>
      <c r="E1240" t="s">
        <v>109</v>
      </c>
      <c r="F1240" t="s">
        <v>1064</v>
      </c>
      <c r="G1240" t="str">
        <f>_xlfn.TEXTJOIN(",",TRUE,_xlfn._xlws.FILTER(GPU_brand[GPU brand], (GPU_brand[GPU brand text]&lt;&gt;"") * ISNUMBER(SEARCH(GPU_brand[GPU brand text], B1240)), ""))</f>
        <v>MSI</v>
      </c>
      <c r="H1240" t="str">
        <f>_xlfn.TEXTJOIN(",",TRUE,_xlfn._xlws.FILTER(Chipset_Table[Chipset], (Chipset_Table[Chipset text]&lt;&gt;"") * ISNUMBER(SEARCH(Chipset_Table[Chipset text], B1240)), ""))</f>
        <v>GeForce RTX 5060</v>
      </c>
      <c r="I1240" t="str">
        <f>_xlfn.TEXTJOIN(",",TRUE,_xlfn._xlws.FILTER(VRAM_table[Video memory], (VRAM_table[Video memory text]&lt;&gt;"") * ISNUMBER(SEARCH(VRAM_table[Video memory text], B1240)), ""))</f>
        <v>8GB,8GB</v>
      </c>
    </row>
    <row r="1241" spans="1:9" x14ac:dyDescent="0.35">
      <c r="A1241" t="s">
        <v>9</v>
      </c>
      <c r="B1241" t="s">
        <v>29</v>
      </c>
      <c r="C1241">
        <v>16990000</v>
      </c>
      <c r="D1241">
        <v>15990000</v>
      </c>
      <c r="E1241" t="s">
        <v>30</v>
      </c>
      <c r="F1241" t="s">
        <v>1064</v>
      </c>
      <c r="G1241" t="str">
        <f>_xlfn.TEXTJOIN(",",TRUE,_xlfn._xlws.FILTER(GPU_brand[GPU brand], (GPU_brand[GPU brand text]&lt;&gt;"") * ISNUMBER(SEARCH(GPU_brand[GPU brand text], B1241)), ""))</f>
        <v>ZOTAC</v>
      </c>
      <c r="H1241" t="str">
        <f>_xlfn.TEXTJOIN(",",TRUE,_xlfn._xlws.FILTER(Chipset_Table[Chipset], (Chipset_Table[Chipset text]&lt;&gt;"") * ISNUMBER(SEARCH(Chipset_Table[Chipset text], B1241)), ""))</f>
        <v>GeForce RTX 5060,GeForce RTX 5060 Ti,RTX 5060 Ti</v>
      </c>
      <c r="I1241" t="str">
        <f>_xlfn.TEXTJOIN(",",TRUE,_xlfn._xlws.FILTER(VRAM_table[Video memory], (VRAM_table[Video memory text]&lt;&gt;"") * ISNUMBER(SEARCH(VRAM_table[Video memory text], B1241)), ""))</f>
        <v>16GB,16GB,6GB,6GB</v>
      </c>
    </row>
    <row r="1242" spans="1:9" x14ac:dyDescent="0.35">
      <c r="A1242" t="s">
        <v>9</v>
      </c>
      <c r="B1242" t="s">
        <v>34</v>
      </c>
      <c r="C1242">
        <v>11690000</v>
      </c>
      <c r="D1242">
        <v>9990000</v>
      </c>
      <c r="E1242" t="s">
        <v>35</v>
      </c>
      <c r="F1242" t="s">
        <v>1064</v>
      </c>
      <c r="G1242" t="str">
        <f>_xlfn.TEXTJOIN(",",TRUE,_xlfn._xlws.FILTER(GPU_brand[GPU brand], (GPU_brand[GPU brand text]&lt;&gt;"") * ISNUMBER(SEARCH(GPU_brand[GPU brand text], B1242)), ""))</f>
        <v>Gigabyte</v>
      </c>
      <c r="H1242" t="str">
        <f>_xlfn.TEXTJOIN(",",TRUE,_xlfn._xlws.FILTER(Chipset_Table[Chipset], (Chipset_Table[Chipset text]&lt;&gt;"") * ISNUMBER(SEARCH(Chipset_Table[Chipset text], B1242)), ""))</f>
        <v>GeForce RTX 5060</v>
      </c>
      <c r="I1242" t="str">
        <f>_xlfn.TEXTJOIN(",",TRUE,_xlfn._xlws.FILTER(VRAM_table[Video memory], (VRAM_table[Video memory text]&lt;&gt;"") * ISNUMBER(SEARCH(VRAM_table[Video memory text], B1242)), ""))</f>
        <v>8GB,8GB</v>
      </c>
    </row>
    <row r="1243" spans="1:9" x14ac:dyDescent="0.35">
      <c r="A1243" t="s">
        <v>9</v>
      </c>
      <c r="B1243" t="s">
        <v>324</v>
      </c>
      <c r="C1243">
        <v>20990000</v>
      </c>
      <c r="D1243">
        <v>19490000</v>
      </c>
      <c r="E1243" t="s">
        <v>325</v>
      </c>
      <c r="F1243" t="s">
        <v>1064</v>
      </c>
      <c r="G1243" t="str">
        <f>_xlfn.TEXTJOIN(",",TRUE,_xlfn._xlws.FILTER(GPU_brand[GPU brand], (GPU_brand[GPU brand text]&lt;&gt;"") * ISNUMBER(SEARCH(GPU_brand[GPU brand text], B1243)), ""))</f>
        <v>Gigabyte</v>
      </c>
      <c r="H1243" t="str">
        <f>_xlfn.TEXTJOIN(",",TRUE,_xlfn._xlws.FILTER(Chipset_Table[Chipset], (Chipset_Table[Chipset text]&lt;&gt;"") * ISNUMBER(SEARCH(Chipset_Table[Chipset text], B1243)), ""))</f>
        <v>GeForce RTX 4070 SUPER,GeForce RTX 4070</v>
      </c>
      <c r="I1243" t="str">
        <f>_xlfn.TEXTJOIN(",",TRUE,_xlfn._xlws.FILTER(VRAM_table[Video memory], (VRAM_table[Video memory text]&lt;&gt;"") * ISNUMBER(SEARCH(VRAM_table[Video memory text], B1243)), ""))</f>
        <v>12GB,2GB</v>
      </c>
    </row>
    <row r="1244" spans="1:9" x14ac:dyDescent="0.35">
      <c r="A1244" t="s">
        <v>9</v>
      </c>
      <c r="B1244" t="s">
        <v>194</v>
      </c>
      <c r="C1244">
        <v>118990000</v>
      </c>
      <c r="D1244">
        <v>114990000</v>
      </c>
      <c r="E1244" t="s">
        <v>195</v>
      </c>
      <c r="F1244" t="s">
        <v>1064</v>
      </c>
      <c r="G1244" t="str">
        <f>_xlfn.TEXTJOIN(",",TRUE,_xlfn._xlws.FILTER(GPU_brand[GPU brand], (GPU_brand[GPU brand text]&lt;&gt;"") * ISNUMBER(SEARCH(GPU_brand[GPU brand text], B1244)), ""))</f>
        <v>MSI</v>
      </c>
      <c r="H1244" t="str">
        <f>_xlfn.TEXTJOIN(",",TRUE,_xlfn._xlws.FILTER(Chipset_Table[Chipset], (Chipset_Table[Chipset text]&lt;&gt;"") * ISNUMBER(SEARCH(Chipset_Table[Chipset text], B1244)), ""))</f>
        <v>GeForce RTX 5090</v>
      </c>
      <c r="I1244" t="str">
        <f>_xlfn.TEXTJOIN(",",TRUE,_xlfn._xlws.FILTER(VRAM_table[Video memory], (VRAM_table[Video memory text]&lt;&gt;"") * ISNUMBER(SEARCH(VRAM_table[Video memory text], B1244)), ""))</f>
        <v>32GB,2GB</v>
      </c>
    </row>
    <row r="1245" spans="1:9" x14ac:dyDescent="0.35">
      <c r="A1245" t="s">
        <v>9</v>
      </c>
      <c r="B1245" t="s">
        <v>327</v>
      </c>
      <c r="C1245">
        <v>8990000</v>
      </c>
      <c r="D1245">
        <v>8590000</v>
      </c>
      <c r="E1245" t="s">
        <v>328</v>
      </c>
      <c r="F1245" t="s">
        <v>1064</v>
      </c>
      <c r="G1245" t="str">
        <f>_xlfn.TEXTJOIN(",",TRUE,_xlfn._xlws.FILTER(GPU_brand[GPU brand], (GPU_brand[GPU brand text]&lt;&gt;"") * ISNUMBER(SEARCH(GPU_brand[GPU brand text], B1245)), ""))</f>
        <v>Gigabyte</v>
      </c>
      <c r="H1245" t="str">
        <f>_xlfn.TEXTJOIN(",",TRUE,_xlfn._xlws.FILTER(Chipset_Table[Chipset], (Chipset_Table[Chipset text]&lt;&gt;"") * ISNUMBER(SEARCH(Chipset_Table[Chipset text], B1245)), ""))</f>
        <v>GeForce RTX 3060,RTX 3060</v>
      </c>
      <c r="I1245" t="str">
        <f>_xlfn.TEXTJOIN(",",TRUE,_xlfn._xlws.FILTER(VRAM_table[Video memory], (VRAM_table[Video memory text]&lt;&gt;"") * ISNUMBER(SEARCH(VRAM_table[Video memory text], B1245)), ""))</f>
        <v>12GB,2GB</v>
      </c>
    </row>
    <row r="1246" spans="1:9" x14ac:dyDescent="0.35">
      <c r="A1246" t="s">
        <v>9</v>
      </c>
      <c r="B1246" t="s">
        <v>330</v>
      </c>
      <c r="C1246">
        <v>4990000</v>
      </c>
      <c r="D1246">
        <v>3790000</v>
      </c>
      <c r="E1246" t="s">
        <v>331</v>
      </c>
      <c r="F1246" t="s">
        <v>1064</v>
      </c>
      <c r="G1246" t="str">
        <f>_xlfn.TEXTJOIN(",",TRUE,_xlfn._xlws.FILTER(GPU_brand[GPU brand], (GPU_brand[GPU brand text]&lt;&gt;"") * ISNUMBER(SEARCH(GPU_brand[GPU brand text], B1246)), ""))</f>
        <v>ASUS</v>
      </c>
      <c r="H1246" t="str">
        <f>_xlfn.TEXTJOIN(",",TRUE,_xlfn._xlws.FILTER(Chipset_Table[Chipset], (Chipset_Table[Chipset text]&lt;&gt;"") * ISNUMBER(SEARCH(Chipset_Table[Chipset text], B1246)), ""))</f>
        <v>RX 6500 XT</v>
      </c>
      <c r="I1246" t="str">
        <f>_xlfn.TEXTJOIN(",",TRUE,_xlfn._xlws.FILTER(VRAM_table[Video memory], (VRAM_table[Video memory text]&lt;&gt;"") * ISNUMBER(SEARCH(VRAM_table[Video memory text], B1246)), ""))</f>
        <v>4GB,4GB</v>
      </c>
    </row>
    <row r="1247" spans="1:9" x14ac:dyDescent="0.35">
      <c r="A1247" t="s">
        <v>9</v>
      </c>
      <c r="B1247" t="s">
        <v>333</v>
      </c>
      <c r="C1247">
        <v>8990000</v>
      </c>
      <c r="D1247">
        <v>8490000</v>
      </c>
      <c r="E1247" t="s">
        <v>334</v>
      </c>
      <c r="F1247" t="s">
        <v>1064</v>
      </c>
      <c r="G1247" t="str">
        <f>_xlfn.TEXTJOIN(",",TRUE,_xlfn._xlws.FILTER(GPU_brand[GPU brand], (GPU_brand[GPU brand text]&lt;&gt;"") * ISNUMBER(SEARCH(GPU_brand[GPU brand text], B1247)), ""))</f>
        <v>ASUS</v>
      </c>
      <c r="H1247" t="str">
        <f>_xlfn.TEXTJOIN(",",TRUE,_xlfn._xlws.FILTER(Chipset_Table[Chipset], (Chipset_Table[Chipset text]&lt;&gt;"") * ISNUMBER(SEARCH(Chipset_Table[Chipset text], B1247)), ""))</f>
        <v>GeForce RTX 4060</v>
      </c>
      <c r="I1247" t="str">
        <f>_xlfn.TEXTJOIN(",",TRUE,_xlfn._xlws.FILTER(VRAM_table[Video memory], (VRAM_table[Video memory text]&lt;&gt;"") * ISNUMBER(SEARCH(VRAM_table[Video memory text], B1247)), ""))</f>
        <v>8GB,8GB</v>
      </c>
    </row>
    <row r="1248" spans="1:9" x14ac:dyDescent="0.35">
      <c r="A1248" t="s">
        <v>9</v>
      </c>
      <c r="B1248" t="s">
        <v>335</v>
      </c>
      <c r="C1248">
        <v>7990000</v>
      </c>
      <c r="D1248">
        <v>7790000</v>
      </c>
      <c r="E1248" t="s">
        <v>336</v>
      </c>
      <c r="F1248" t="s">
        <v>1064</v>
      </c>
      <c r="G1248" t="str">
        <f>_xlfn.TEXTJOIN(",",TRUE,_xlfn._xlws.FILTER(GPU_brand[GPU brand], (GPU_brand[GPU brand text]&lt;&gt;"") * ISNUMBER(SEARCH(GPU_brand[GPU brand text], B1248)), ""))</f>
        <v>ASUS</v>
      </c>
      <c r="H1248" t="str">
        <f>_xlfn.TEXTJOIN(",",TRUE,_xlfn._xlws.FILTER(Chipset_Table[Chipset], (Chipset_Table[Chipset text]&lt;&gt;"") * ISNUMBER(SEARCH(Chipset_Table[Chipset text], B1248)), ""))</f>
        <v>RX 7600</v>
      </c>
      <c r="I1248" t="str">
        <f>_xlfn.TEXTJOIN(",",TRUE,_xlfn._xlws.FILTER(VRAM_table[Video memory], (VRAM_table[Video memory text]&lt;&gt;"") * ISNUMBER(SEARCH(VRAM_table[Video memory text], B1248)), ""))</f>
        <v>8GB,8GB</v>
      </c>
    </row>
    <row r="1249" spans="1:9" x14ac:dyDescent="0.35">
      <c r="A1249" t="s">
        <v>9</v>
      </c>
      <c r="B1249" t="s">
        <v>337</v>
      </c>
      <c r="C1249">
        <v>59990000</v>
      </c>
      <c r="D1249">
        <v>39990000</v>
      </c>
      <c r="E1249" t="s">
        <v>338</v>
      </c>
      <c r="F1249" t="s">
        <v>1064</v>
      </c>
      <c r="G1249" t="str">
        <f>_xlfn.TEXTJOIN(",",TRUE,_xlfn._xlws.FILTER(GPU_brand[GPU brand], (GPU_brand[GPU brand text]&lt;&gt;"") * ISNUMBER(SEARCH(GPU_brand[GPU brand text], B1249)), ""))</f>
        <v>Gigabyte</v>
      </c>
      <c r="H1249" t="str">
        <f>_xlfn.TEXTJOIN(",",TRUE,_xlfn._xlws.FILTER(Chipset_Table[Chipset], (Chipset_Table[Chipset text]&lt;&gt;"") * ISNUMBER(SEARCH(Chipset_Table[Chipset text], B1249)), ""))</f>
        <v>GeForce RTX 4080 SUPER,GeForce RTX 4080,GeForce RTX 4080 SUPER XT</v>
      </c>
      <c r="I1249" t="str">
        <f>_xlfn.TEXTJOIN(",",TRUE,_xlfn._xlws.FILTER(VRAM_table[Video memory], (VRAM_table[Video memory text]&lt;&gt;"") * ISNUMBER(SEARCH(VRAM_table[Video memory text], B1249)), ""))</f>
        <v>16GB,6GB</v>
      </c>
    </row>
    <row r="1250" spans="1:9" x14ac:dyDescent="0.35">
      <c r="A1250" t="s">
        <v>9</v>
      </c>
      <c r="B1250" t="s">
        <v>385</v>
      </c>
      <c r="C1250">
        <v>7490000</v>
      </c>
      <c r="D1250">
        <v>6790000</v>
      </c>
      <c r="E1250" t="s">
        <v>386</v>
      </c>
      <c r="F1250" t="s">
        <v>1064</v>
      </c>
      <c r="G1250" t="str">
        <f>_xlfn.TEXTJOIN(",",TRUE,_xlfn._xlws.FILTER(GPU_brand[GPU brand], (GPU_brand[GPU brand text]&lt;&gt;"") * ISNUMBER(SEARCH(GPU_brand[GPU brand text], B1250)), ""))</f>
        <v>Gigabyte</v>
      </c>
      <c r="H1250" t="str">
        <f>_xlfn.TEXTJOIN(",",TRUE,_xlfn._xlws.FILTER(Chipset_Table[Chipset], (Chipset_Table[Chipset text]&lt;&gt;"") * ISNUMBER(SEARCH(Chipset_Table[Chipset text], B1250)), ""))</f>
        <v>GeForce RTX 3050</v>
      </c>
      <c r="I1250" t="str">
        <f>_xlfn.TEXTJOIN(",",TRUE,_xlfn._xlws.FILTER(VRAM_table[Video memory], (VRAM_table[Video memory text]&lt;&gt;"") * ISNUMBER(SEARCH(VRAM_table[Video memory text], B1250)), ""))</f>
        <v>6GB</v>
      </c>
    </row>
    <row r="1251" spans="1:9" x14ac:dyDescent="0.35">
      <c r="A1251" t="s">
        <v>9</v>
      </c>
      <c r="B1251" t="s">
        <v>340</v>
      </c>
      <c r="C1251">
        <v>5690000</v>
      </c>
      <c r="D1251">
        <v>4690000</v>
      </c>
      <c r="E1251" t="s">
        <v>341</v>
      </c>
      <c r="F1251" t="s">
        <v>1064</v>
      </c>
      <c r="G1251" t="str">
        <f>_xlfn.TEXTJOIN(",",TRUE,_xlfn._xlws.FILTER(GPU_brand[GPU brand], (GPU_brand[GPU brand text]&lt;&gt;"") * ISNUMBER(SEARCH(GPU_brand[GPU brand text], B1251)), ""))</f>
        <v>ASUS</v>
      </c>
      <c r="H1251" t="str">
        <f>_xlfn.TEXTJOIN(",",TRUE,_xlfn._xlws.FILTER(Chipset_Table[Chipset], (Chipset_Table[Chipset text]&lt;&gt;"") * ISNUMBER(SEARCH(Chipset_Table[Chipset text], B1251)), ""))</f>
        <v>GeForce RTX 3050</v>
      </c>
      <c r="I1251" t="str">
        <f>_xlfn.TEXTJOIN(",",TRUE,_xlfn._xlws.FILTER(VRAM_table[Video memory], (VRAM_table[Video memory text]&lt;&gt;"") * ISNUMBER(SEARCH(VRAM_table[Video memory text], B1251)), ""))</f>
        <v>6GB,6GB</v>
      </c>
    </row>
    <row r="1252" spans="1:9" x14ac:dyDescent="0.35">
      <c r="A1252" t="s">
        <v>9</v>
      </c>
      <c r="B1252" t="s">
        <v>342</v>
      </c>
      <c r="C1252">
        <v>5790000</v>
      </c>
      <c r="D1252">
        <v>4790000</v>
      </c>
      <c r="E1252" t="s">
        <v>343</v>
      </c>
      <c r="F1252" t="s">
        <v>1064</v>
      </c>
      <c r="G1252" t="str">
        <f>_xlfn.TEXTJOIN(",",TRUE,_xlfn._xlws.FILTER(GPU_brand[GPU brand], (GPU_brand[GPU brand text]&lt;&gt;"") * ISNUMBER(SEARCH(GPU_brand[GPU brand text], B1252)), ""))</f>
        <v>ASUS</v>
      </c>
      <c r="H1252" t="str">
        <f>_xlfn.TEXTJOIN(",",TRUE,_xlfn._xlws.FILTER(Chipset_Table[Chipset], (Chipset_Table[Chipset text]&lt;&gt;"") * ISNUMBER(SEARCH(Chipset_Table[Chipset text], B1252)), ""))</f>
        <v>GeForce RTX 3050</v>
      </c>
      <c r="I1252" t="str">
        <f>_xlfn.TEXTJOIN(",",TRUE,_xlfn._xlws.FILTER(VRAM_table[Video memory], (VRAM_table[Video memory text]&lt;&gt;"") * ISNUMBER(SEARCH(VRAM_table[Video memory text], B1252)), ""))</f>
        <v>6GB,6GB</v>
      </c>
    </row>
    <row r="1253" spans="1:9" x14ac:dyDescent="0.35">
      <c r="A1253" t="s">
        <v>9</v>
      </c>
      <c r="B1253" t="s">
        <v>344</v>
      </c>
      <c r="C1253">
        <v>5990000</v>
      </c>
      <c r="D1253">
        <v>4990000</v>
      </c>
      <c r="E1253" t="s">
        <v>345</v>
      </c>
      <c r="F1253" t="s">
        <v>1064</v>
      </c>
      <c r="G1253" t="str">
        <f>_xlfn.TEXTJOIN(",",TRUE,_xlfn._xlws.FILTER(GPU_brand[GPU brand], (GPU_brand[GPU brand text]&lt;&gt;"") * ISNUMBER(SEARCH(GPU_brand[GPU brand text], B1253)), ""))</f>
        <v>MSI</v>
      </c>
      <c r="H1253" t="str">
        <f>_xlfn.TEXTJOIN(",",TRUE,_xlfn._xlws.FILTER(Chipset_Table[Chipset], (Chipset_Table[Chipset text]&lt;&gt;"") * ISNUMBER(SEARCH(Chipset_Table[Chipset text], B1253)), ""))</f>
        <v>GeForce RTX 3050</v>
      </c>
      <c r="I1253" t="str">
        <f>_xlfn.TEXTJOIN(",",TRUE,_xlfn._xlws.FILTER(VRAM_table[Video memory], (VRAM_table[Video memory text]&lt;&gt;"") * ISNUMBER(SEARCH(VRAM_table[Video memory text], B1253)), ""))</f>
        <v>6GB</v>
      </c>
    </row>
    <row r="1254" spans="1:9" x14ac:dyDescent="0.35">
      <c r="A1254" t="s">
        <v>9</v>
      </c>
      <c r="B1254" t="s">
        <v>346</v>
      </c>
      <c r="C1254">
        <v>4190000</v>
      </c>
      <c r="D1254">
        <v>3690000</v>
      </c>
      <c r="E1254" t="s">
        <v>347</v>
      </c>
      <c r="F1254" t="s">
        <v>1064</v>
      </c>
      <c r="G1254" t="str">
        <f>_xlfn.TEXTJOIN(",",TRUE,_xlfn._xlws.FILTER(GPU_brand[GPU brand], (GPU_brand[GPU brand text]&lt;&gt;"") * ISNUMBER(SEARCH(GPU_brand[GPU brand text], B1254)), ""))</f>
        <v>ASUS</v>
      </c>
      <c r="H1254" t="str">
        <f>_xlfn.TEXTJOIN(",",TRUE,_xlfn._xlws.FILTER(Chipset_Table[Chipset], (Chipset_Table[Chipset text]&lt;&gt;"") * ISNUMBER(SEARCH(Chipset_Table[Chipset text], B1254)), ""))</f>
        <v>GeForce GTX 1650,GTX 1650</v>
      </c>
      <c r="I1254" t="str">
        <f>_xlfn.TEXTJOIN(",",TRUE,_xlfn._xlws.FILTER(VRAM_table[Video memory], (VRAM_table[Video memory text]&lt;&gt;"") * ISNUMBER(SEARCH(VRAM_table[Video memory text], B1254)), ""))</f>
        <v>4GB,4GB</v>
      </c>
    </row>
    <row r="1255" spans="1:9" x14ac:dyDescent="0.35">
      <c r="A1255" t="s">
        <v>9</v>
      </c>
      <c r="B1255" t="s">
        <v>349</v>
      </c>
      <c r="C1255">
        <v>9390000</v>
      </c>
      <c r="D1255">
        <v>8990000</v>
      </c>
      <c r="E1255" t="s">
        <v>350</v>
      </c>
      <c r="F1255" t="s">
        <v>1064</v>
      </c>
      <c r="G1255" t="str">
        <f>_xlfn.TEXTJOIN(",",TRUE,_xlfn._xlws.FILTER(GPU_brand[GPU brand], (GPU_brand[GPU brand text]&lt;&gt;"") * ISNUMBER(SEARCH(GPU_brand[GPU brand text], B1255)), ""))</f>
        <v>MSI</v>
      </c>
      <c r="H1255" t="str">
        <f>_xlfn.TEXTJOIN(",",TRUE,_xlfn._xlws.FILTER(Chipset_Table[Chipset], (Chipset_Table[Chipset text]&lt;&gt;"") * ISNUMBER(SEARCH(Chipset_Table[Chipset text], B1255)), ""))</f>
        <v>GeForce RTX 4060</v>
      </c>
      <c r="I1255" t="str">
        <f>_xlfn.TEXTJOIN(",",TRUE,_xlfn._xlws.FILTER(VRAM_table[Video memory], (VRAM_table[Video memory text]&lt;&gt;"") * ISNUMBER(SEARCH(VRAM_table[Video memory text], B1255)), ""))</f>
        <v>8GB</v>
      </c>
    </row>
    <row r="1256" spans="1:9" x14ac:dyDescent="0.35">
      <c r="A1256" t="s">
        <v>9</v>
      </c>
      <c r="B1256" t="s">
        <v>351</v>
      </c>
      <c r="C1256">
        <v>6990000</v>
      </c>
      <c r="D1256">
        <v>5990000</v>
      </c>
      <c r="E1256" t="s">
        <v>352</v>
      </c>
      <c r="F1256" t="s">
        <v>1064</v>
      </c>
      <c r="G1256" t="str">
        <f>_xlfn.TEXTJOIN(",",TRUE,_xlfn._xlws.FILTER(GPU_brand[GPU brand], (GPU_brand[GPU brand text]&lt;&gt;"") * ISNUMBER(SEARCH(GPU_brand[GPU brand text], B1256)), ""))</f>
        <v>MSI</v>
      </c>
      <c r="H1256" t="str">
        <f>_xlfn.TEXTJOIN(",",TRUE,_xlfn._xlws.FILTER(Chipset_Table[Chipset], (Chipset_Table[Chipset text]&lt;&gt;"") * ISNUMBER(SEARCH(Chipset_Table[Chipset text], B1256)), ""))</f>
        <v>GeForce RTX 3050</v>
      </c>
      <c r="I1256" t="str">
        <f>_xlfn.TEXTJOIN(",",TRUE,_xlfn._xlws.FILTER(VRAM_table[Video memory], (VRAM_table[Video memory text]&lt;&gt;"") * ISNUMBER(SEARCH(VRAM_table[Video memory text], B1256)), ""))</f>
        <v>8GB</v>
      </c>
    </row>
    <row r="1257" spans="1:9" x14ac:dyDescent="0.35">
      <c r="A1257" t="s">
        <v>9</v>
      </c>
      <c r="B1257" t="s">
        <v>353</v>
      </c>
      <c r="C1257">
        <v>9590000</v>
      </c>
      <c r="D1257">
        <v>8490000</v>
      </c>
      <c r="E1257" t="s">
        <v>354</v>
      </c>
      <c r="F1257" t="s">
        <v>1064</v>
      </c>
      <c r="G1257" t="str">
        <f>_xlfn.TEXTJOIN(",",TRUE,_xlfn._xlws.FILTER(GPU_brand[GPU brand], (GPU_brand[GPU brand text]&lt;&gt;"") * ISNUMBER(SEARCH(GPU_brand[GPU brand text], B1257)), ""))</f>
        <v>MSI</v>
      </c>
      <c r="H1257" t="str">
        <f>_xlfn.TEXTJOIN(",",TRUE,_xlfn._xlws.FILTER(Chipset_Table[Chipset], (Chipset_Table[Chipset text]&lt;&gt;"") * ISNUMBER(SEARCH(Chipset_Table[Chipset text], B1257)), ""))</f>
        <v>GeForce RTX 4060</v>
      </c>
      <c r="I1257" t="str">
        <f>_xlfn.TEXTJOIN(",",TRUE,_xlfn._xlws.FILTER(VRAM_table[Video memory], (VRAM_table[Video memory text]&lt;&gt;"") * ISNUMBER(SEARCH(VRAM_table[Video memory text], B1257)), ""))</f>
        <v>8GB</v>
      </c>
    </row>
    <row r="1258" spans="1:9" x14ac:dyDescent="0.35">
      <c r="A1258" t="s">
        <v>9</v>
      </c>
      <c r="B1258" t="s">
        <v>355</v>
      </c>
      <c r="C1258">
        <v>8990000</v>
      </c>
      <c r="D1258">
        <v>8290000</v>
      </c>
      <c r="E1258" t="s">
        <v>356</v>
      </c>
      <c r="F1258" t="s">
        <v>1064</v>
      </c>
      <c r="G1258" t="str">
        <f>_xlfn.TEXTJOIN(",",TRUE,_xlfn._xlws.FILTER(GPU_brand[GPU brand], (GPU_brand[GPU brand text]&lt;&gt;"") * ISNUMBER(SEARCH(GPU_brand[GPU brand text], B1258)), ""))</f>
        <v>MSI</v>
      </c>
      <c r="H1258" t="str">
        <f>_xlfn.TEXTJOIN(",",TRUE,_xlfn._xlws.FILTER(Chipset_Table[Chipset], (Chipset_Table[Chipset text]&lt;&gt;"") * ISNUMBER(SEARCH(Chipset_Table[Chipset text], B1258)), ""))</f>
        <v>GeForce RTX 3060,RTX 3060</v>
      </c>
      <c r="I1258" t="str">
        <f>_xlfn.TEXTJOIN(",",TRUE,_xlfn._xlws.FILTER(VRAM_table[Video memory], (VRAM_table[Video memory text]&lt;&gt;"") * ISNUMBER(SEARCH(VRAM_table[Video memory text], B1258)), ""))</f>
        <v>12GB,2GB</v>
      </c>
    </row>
    <row r="1259" spans="1:9" x14ac:dyDescent="0.35">
      <c r="A1259" t="s">
        <v>9</v>
      </c>
      <c r="B1259" t="s">
        <v>357</v>
      </c>
      <c r="C1259">
        <v>8690000</v>
      </c>
      <c r="D1259">
        <v>7890000</v>
      </c>
      <c r="E1259" t="s">
        <v>358</v>
      </c>
      <c r="F1259" t="s">
        <v>1064</v>
      </c>
      <c r="G1259" t="str">
        <f>_xlfn.TEXTJOIN(",",TRUE,_xlfn._xlws.FILTER(GPU_brand[GPU brand], (GPU_brand[GPU brand text]&lt;&gt;"") * ISNUMBER(SEARCH(GPU_brand[GPU brand text], B1259)), ""))</f>
        <v>ASUS</v>
      </c>
      <c r="H1259" t="str">
        <f>_xlfn.TEXTJOIN(",",TRUE,_xlfn._xlws.FILTER(Chipset_Table[Chipset], (Chipset_Table[Chipset text]&lt;&gt;"") * ISNUMBER(SEARCH(Chipset_Table[Chipset text], B1259)), ""))</f>
        <v>GeForce RTX 3060,RTX 3060</v>
      </c>
      <c r="I1259" t="str">
        <f>_xlfn.TEXTJOIN(",",TRUE,_xlfn._xlws.FILTER(VRAM_table[Video memory], (VRAM_table[Video memory text]&lt;&gt;"") * ISNUMBER(SEARCH(VRAM_table[Video memory text], B1259)), ""))</f>
        <v>12GB,2GB</v>
      </c>
    </row>
    <row r="1260" spans="1:9" x14ac:dyDescent="0.35">
      <c r="A1260" t="s">
        <v>9</v>
      </c>
      <c r="B1260" t="s">
        <v>359</v>
      </c>
      <c r="C1260">
        <v>0</v>
      </c>
      <c r="D1260">
        <v>8590000</v>
      </c>
      <c r="E1260" t="s">
        <v>360</v>
      </c>
      <c r="F1260" t="s">
        <v>1064</v>
      </c>
      <c r="G1260" t="str">
        <f>_xlfn.TEXTJOIN(",",TRUE,_xlfn._xlws.FILTER(GPU_brand[GPU brand], (GPU_brand[GPU brand text]&lt;&gt;"") * ISNUMBER(SEARCH(GPU_brand[GPU brand text], B1260)), ""))</f>
        <v>MSI</v>
      </c>
      <c r="H1260" t="str">
        <f>_xlfn.TEXTJOIN(",",TRUE,_xlfn._xlws.FILTER(Chipset_Table[Chipset], (Chipset_Table[Chipset text]&lt;&gt;"") * ISNUMBER(SEARCH(Chipset_Table[Chipset text], B1260)), ""))</f>
        <v>GeForce GTX 1650,GTX 1650</v>
      </c>
      <c r="I1260" t="str">
        <f>_xlfn.TEXTJOIN(",",TRUE,_xlfn._xlws.FILTER(VRAM_table[Video memory], (VRAM_table[Video memory text]&lt;&gt;"") * ISNUMBER(SEARCH(VRAM_table[Video memory text], B1260)), ""))</f>
        <v>4GB,4GB</v>
      </c>
    </row>
    <row r="1261" spans="1:9" x14ac:dyDescent="0.35">
      <c r="A1261" t="s">
        <v>9</v>
      </c>
      <c r="B1261" t="s">
        <v>361</v>
      </c>
      <c r="C1261">
        <v>10990000</v>
      </c>
      <c r="D1261">
        <v>9690000</v>
      </c>
      <c r="E1261" t="s">
        <v>362</v>
      </c>
      <c r="F1261" t="s">
        <v>1064</v>
      </c>
      <c r="G1261" t="str">
        <f>_xlfn.TEXTJOIN(",",TRUE,_xlfn._xlws.FILTER(GPU_brand[GPU brand], (GPU_brand[GPU brand text]&lt;&gt;"") * ISNUMBER(SEARCH(GPU_brand[GPU brand text], B1261)), ""))</f>
        <v>SPARKLE,ARK</v>
      </c>
      <c r="H1261" t="str">
        <f>_xlfn.TEXTJOIN(",",TRUE,_xlfn._xlws.FILTER(Chipset_Table[Chipset], (Chipset_Table[Chipset text]&lt;&gt;"") * ISNUMBER(SEARCH(Chipset_Table[Chipset text], B1261)), ""))</f>
        <v>Intel Arc B580</v>
      </c>
      <c r="I1261" t="str">
        <f>_xlfn.TEXTJOIN(",",TRUE,_xlfn._xlws.FILTER(VRAM_table[Video memory], (VRAM_table[Video memory text]&lt;&gt;"") * ISNUMBER(SEARCH(VRAM_table[Video memory text], B1261)), ""))</f>
        <v>12GB,2GB</v>
      </c>
    </row>
    <row r="1262" spans="1:9" x14ac:dyDescent="0.35">
      <c r="A1262" t="s">
        <v>9</v>
      </c>
      <c r="B1262" t="s">
        <v>318</v>
      </c>
      <c r="C1262">
        <v>10990000</v>
      </c>
      <c r="D1262">
        <v>9690000</v>
      </c>
      <c r="E1262" t="s">
        <v>319</v>
      </c>
      <c r="F1262" t="s">
        <v>1064</v>
      </c>
      <c r="G1262" t="str">
        <f>_xlfn.TEXTJOIN(",",TRUE,_xlfn._xlws.FILTER(GPU_brand[GPU brand], (GPU_brand[GPU brand text]&lt;&gt;"") * ISNUMBER(SEARCH(GPU_brand[GPU brand text], B1262)), ""))</f>
        <v>SPARKLE,ARK</v>
      </c>
      <c r="H1262" t="str">
        <f>_xlfn.TEXTJOIN(",",TRUE,_xlfn._xlws.FILTER(Chipset_Table[Chipset], (Chipset_Table[Chipset text]&lt;&gt;"") * ISNUMBER(SEARCH(Chipset_Table[Chipset text], B1262)), ""))</f>
        <v>Intel Arc B580</v>
      </c>
      <c r="I1262" t="str">
        <f>_xlfn.TEXTJOIN(",",TRUE,_xlfn._xlws.FILTER(VRAM_table[Video memory], (VRAM_table[Video memory text]&lt;&gt;"") * ISNUMBER(SEARCH(VRAM_table[Video memory text], B1262)), ""))</f>
        <v>12GB,2GB</v>
      </c>
    </row>
    <row r="1263" spans="1:9" x14ac:dyDescent="0.35">
      <c r="A1263" t="s">
        <v>9</v>
      </c>
      <c r="B1263" t="s">
        <v>64</v>
      </c>
      <c r="C1263">
        <v>15990000</v>
      </c>
      <c r="D1263">
        <v>14990000</v>
      </c>
      <c r="E1263" t="s">
        <v>65</v>
      </c>
      <c r="F1263" t="s">
        <v>1064</v>
      </c>
      <c r="G1263" t="str">
        <f>_xlfn.TEXTJOIN(",",TRUE,_xlfn._xlws.FILTER(GPU_brand[GPU brand], (GPU_brand[GPU brand text]&lt;&gt;"") * ISNUMBER(SEARCH(GPU_brand[GPU brand text], B1263)), ""))</f>
        <v>ZOTAC</v>
      </c>
      <c r="H1263" t="str">
        <f>_xlfn.TEXTJOIN(",",TRUE,_xlfn._xlws.FILTER(Chipset_Table[Chipset], (Chipset_Table[Chipset text]&lt;&gt;"") * ISNUMBER(SEARCH(Chipset_Table[Chipset text], B1263)), ""))</f>
        <v>GeForce RTX 5060,GeForce RTX 5060 Ti,RTX 5060 Ti</v>
      </c>
      <c r="I1263" t="str">
        <f>_xlfn.TEXTJOIN(",",TRUE,_xlfn._xlws.FILTER(VRAM_table[Video memory], (VRAM_table[Video memory text]&lt;&gt;"") * ISNUMBER(SEARCH(VRAM_table[Video memory text], B1263)), ""))</f>
        <v>16GB,16GB,6GB,6GB</v>
      </c>
    </row>
    <row r="1264" spans="1:9" x14ac:dyDescent="0.35">
      <c r="A1264" t="s">
        <v>9</v>
      </c>
      <c r="B1264" t="s">
        <v>66</v>
      </c>
      <c r="C1264">
        <v>19990000</v>
      </c>
      <c r="D1264">
        <v>18990000</v>
      </c>
      <c r="E1264" t="s">
        <v>67</v>
      </c>
      <c r="F1264" t="s">
        <v>1064</v>
      </c>
      <c r="G1264" t="str">
        <f>_xlfn.TEXTJOIN(",",TRUE,_xlfn._xlws.FILTER(GPU_brand[GPU brand], (GPU_brand[GPU brand text]&lt;&gt;"") * ISNUMBER(SEARCH(GPU_brand[GPU brand text], B1264)), ""))</f>
        <v>ZOTAC</v>
      </c>
      <c r="H1264" t="str">
        <f>_xlfn.TEXTJOIN(",",TRUE,_xlfn._xlws.FILTER(Chipset_Table[Chipset], (Chipset_Table[Chipset text]&lt;&gt;"") * ISNUMBER(SEARCH(Chipset_Table[Chipset text], B1264)), ""))</f>
        <v>GeForce RTX 5070,RTX 5070</v>
      </c>
      <c r="I1264" t="str">
        <f>_xlfn.TEXTJOIN(",",TRUE,_xlfn._xlws.FILTER(VRAM_table[Video memory], (VRAM_table[Video memory text]&lt;&gt;"") * ISNUMBER(SEARCH(VRAM_table[Video memory text], B1264)), ""))</f>
        <v>12GB</v>
      </c>
    </row>
    <row r="1265" spans="1:9" x14ac:dyDescent="0.35">
      <c r="A1265" t="s">
        <v>9</v>
      </c>
      <c r="B1265" t="s">
        <v>124</v>
      </c>
      <c r="C1265">
        <v>11390000</v>
      </c>
      <c r="D1265">
        <v>10890000</v>
      </c>
      <c r="E1265" t="s">
        <v>125</v>
      </c>
      <c r="F1265" t="s">
        <v>1064</v>
      </c>
      <c r="G1265" t="str">
        <f>_xlfn.TEXTJOIN(",",TRUE,_xlfn._xlws.FILTER(GPU_brand[GPU brand], (GPU_brand[GPU brand text]&lt;&gt;"") * ISNUMBER(SEARCH(GPU_brand[GPU brand text], B1265)), ""))</f>
        <v>Gigabyte</v>
      </c>
      <c r="H1265" t="str">
        <f>_xlfn.TEXTJOIN(",",TRUE,_xlfn._xlws.FILTER(Chipset_Table[Chipset], (Chipset_Table[Chipset text]&lt;&gt;"") * ISNUMBER(SEARCH(Chipset_Table[Chipset text], B1265)), ""))</f>
        <v>GeForce RTX 5060</v>
      </c>
      <c r="I1265" t="str">
        <f>_xlfn.TEXTJOIN(",",TRUE,_xlfn._xlws.FILTER(VRAM_table[Video memory], (VRAM_table[Video memory text]&lt;&gt;"") * ISNUMBER(SEARCH(VRAM_table[Video memory text], B1265)), ""))</f>
        <v>8GB,8GB</v>
      </c>
    </row>
    <row r="1266" spans="1:9" x14ac:dyDescent="0.35">
      <c r="A1266" t="s">
        <v>9</v>
      </c>
      <c r="B1266" t="s">
        <v>122</v>
      </c>
      <c r="C1266">
        <v>14990000</v>
      </c>
      <c r="D1266">
        <v>12990000</v>
      </c>
      <c r="E1266" t="s">
        <v>123</v>
      </c>
      <c r="F1266" t="s">
        <v>1064</v>
      </c>
      <c r="G1266" t="str">
        <f>_xlfn.TEXTJOIN(",",TRUE,_xlfn._xlws.FILTER(GPU_brand[GPU brand], (GPU_brand[GPU brand text]&lt;&gt;"") * ISNUMBER(SEARCH(GPU_brand[GPU brand text], B1266)), ""))</f>
        <v>MSI</v>
      </c>
      <c r="H1266" t="str">
        <f>_xlfn.TEXTJOIN(",",TRUE,_xlfn._xlws.FILTER(Chipset_Table[Chipset], (Chipset_Table[Chipset text]&lt;&gt;"") * ISNUMBER(SEARCH(Chipset_Table[Chipset text], B1266)), ""))</f>
        <v>GeForce RTX 5060,GeForce RTX 5060 Ti,RTX 5060 Ti</v>
      </c>
      <c r="I1266" t="str">
        <f>_xlfn.TEXTJOIN(",",TRUE,_xlfn._xlws.FILTER(VRAM_table[Video memory], (VRAM_table[Video memory text]&lt;&gt;"") * ISNUMBER(SEARCH(VRAM_table[Video memory text], B1266)), ""))</f>
        <v>8GB,8GB</v>
      </c>
    </row>
    <row r="1267" spans="1:9" x14ac:dyDescent="0.35">
      <c r="A1267" t="s">
        <v>9</v>
      </c>
      <c r="B1267" t="s">
        <v>120</v>
      </c>
      <c r="C1267">
        <v>13990000</v>
      </c>
      <c r="D1267">
        <v>12990000</v>
      </c>
      <c r="E1267" t="s">
        <v>121</v>
      </c>
      <c r="F1267" t="s">
        <v>1064</v>
      </c>
      <c r="G1267" t="str">
        <f>_xlfn.TEXTJOIN(",",TRUE,_xlfn._xlws.FILTER(GPU_brand[GPU brand], (GPU_brand[GPU brand text]&lt;&gt;"") * ISNUMBER(SEARCH(GPU_brand[GPU brand text], B1267)), ""))</f>
        <v>MSI</v>
      </c>
      <c r="H1267" t="str">
        <f>_xlfn.TEXTJOIN(",",TRUE,_xlfn._xlws.FILTER(Chipset_Table[Chipset], (Chipset_Table[Chipset text]&lt;&gt;"") * ISNUMBER(SEARCH(Chipset_Table[Chipset text], B1267)), ""))</f>
        <v>GeForce RTX 5060</v>
      </c>
      <c r="I1267" t="str">
        <f>_xlfn.TEXTJOIN(",",TRUE,_xlfn._xlws.FILTER(VRAM_table[Video memory], (VRAM_table[Video memory text]&lt;&gt;"") * ISNUMBER(SEARCH(VRAM_table[Video memory text], B1267)), ""))</f>
        <v>8GB,8GB</v>
      </c>
    </row>
    <row r="1268" spans="1:9" x14ac:dyDescent="0.35">
      <c r="A1268" t="s">
        <v>9</v>
      </c>
      <c r="B1268" t="s">
        <v>118</v>
      </c>
      <c r="C1268">
        <v>13490000</v>
      </c>
      <c r="D1268">
        <v>12990000</v>
      </c>
      <c r="E1268" t="s">
        <v>119</v>
      </c>
      <c r="F1268" t="s">
        <v>1064</v>
      </c>
      <c r="G1268" t="str">
        <f>_xlfn.TEXTJOIN(",",TRUE,_xlfn._xlws.FILTER(GPU_brand[GPU brand], (GPU_brand[GPU brand text]&lt;&gt;"") * ISNUMBER(SEARCH(GPU_brand[GPU brand text], B1268)), ""))</f>
        <v>MSI</v>
      </c>
      <c r="H1268" t="str">
        <f>_xlfn.TEXTJOIN(",",TRUE,_xlfn._xlws.FILTER(Chipset_Table[Chipset], (Chipset_Table[Chipset text]&lt;&gt;"") * ISNUMBER(SEARCH(Chipset_Table[Chipset text], B1268)), ""))</f>
        <v>GeForce RTX 5060</v>
      </c>
      <c r="I1268" t="str">
        <f>_xlfn.TEXTJOIN(",",TRUE,_xlfn._xlws.FILTER(VRAM_table[Video memory], (VRAM_table[Video memory text]&lt;&gt;"") * ISNUMBER(SEARCH(VRAM_table[Video memory text], B1268)), ""))</f>
        <v>8GB,8GB</v>
      </c>
    </row>
    <row r="1269" spans="1:9" x14ac:dyDescent="0.35">
      <c r="A1269" t="s">
        <v>9</v>
      </c>
      <c r="B1269" t="s">
        <v>82</v>
      </c>
      <c r="C1269">
        <v>54990000</v>
      </c>
      <c r="D1269">
        <v>53990000</v>
      </c>
      <c r="E1269" t="s">
        <v>83</v>
      </c>
      <c r="F1269" t="s">
        <v>1064</v>
      </c>
      <c r="G1269" t="str">
        <f>_xlfn.TEXTJOIN(",",TRUE,_xlfn._xlws.FILTER(GPU_brand[GPU brand], (GPU_brand[GPU brand text]&lt;&gt;"") * ISNUMBER(SEARCH(GPU_brand[GPU brand text], B1269)), ""))</f>
        <v>ASUS</v>
      </c>
      <c r="H1269" t="str">
        <f>_xlfn.TEXTJOIN(",",TRUE,_xlfn._xlws.FILTER(Chipset_Table[Chipset], (Chipset_Table[Chipset text]&lt;&gt;"") * ISNUMBER(SEARCH(Chipset_Table[Chipset text], B1269)), ""))</f>
        <v>GeForce RTX 5080,RTX 5080</v>
      </c>
      <c r="I1269" t="str">
        <f>_xlfn.TEXTJOIN(",",TRUE,_xlfn._xlws.FILTER(VRAM_table[Video memory], (VRAM_table[Video memory text]&lt;&gt;"") * ISNUMBER(SEARCH(VRAM_table[Video memory text], B1269)), ""))</f>
        <v>16GB,16GB,6GB,6GB</v>
      </c>
    </row>
    <row r="1270" spans="1:9" x14ac:dyDescent="0.35">
      <c r="A1270" t="s">
        <v>9</v>
      </c>
      <c r="B1270" t="s">
        <v>114</v>
      </c>
      <c r="C1270">
        <v>20490000</v>
      </c>
      <c r="D1270">
        <v>19990000</v>
      </c>
      <c r="E1270" t="s">
        <v>115</v>
      </c>
      <c r="F1270" t="s">
        <v>1064</v>
      </c>
      <c r="G1270" t="str">
        <f>_xlfn.TEXTJOIN(",",TRUE,_xlfn._xlws.FILTER(GPU_brand[GPU brand], (GPU_brand[GPU brand text]&lt;&gt;"") * ISNUMBER(SEARCH(GPU_brand[GPU brand text], B1270)), ""))</f>
        <v>ASUS</v>
      </c>
      <c r="H1270" t="str">
        <f>_xlfn.TEXTJOIN(",",TRUE,_xlfn._xlws.FILTER(Chipset_Table[Chipset], (Chipset_Table[Chipset text]&lt;&gt;"") * ISNUMBER(SEARCH(Chipset_Table[Chipset text], B1270)), ""))</f>
        <v>GeForce RTX 5070,RTX 5070</v>
      </c>
      <c r="I1270" t="str">
        <f>_xlfn.TEXTJOIN(",",TRUE,_xlfn._xlws.FILTER(VRAM_table[Video memory], (VRAM_table[Video memory text]&lt;&gt;"") * ISNUMBER(SEARCH(VRAM_table[Video memory text], B1270)), ""))</f>
        <v>12GB,2GB</v>
      </c>
    </row>
    <row r="1271" spans="1:9" x14ac:dyDescent="0.35">
      <c r="A1271" t="s">
        <v>9</v>
      </c>
      <c r="B1271" t="s">
        <v>112</v>
      </c>
      <c r="C1271">
        <v>9990000</v>
      </c>
      <c r="D1271">
        <v>9690000</v>
      </c>
      <c r="E1271" t="s">
        <v>113</v>
      </c>
      <c r="F1271" t="s">
        <v>1064</v>
      </c>
      <c r="G1271" t="str">
        <f>_xlfn.TEXTJOIN(",",TRUE,_xlfn._xlws.FILTER(GPU_brand[GPU brand], (GPU_brand[GPU brand text]&lt;&gt;"") * ISNUMBER(SEARCH(GPU_brand[GPU brand text], B1271)), ""))</f>
        <v>ZOTAC</v>
      </c>
      <c r="H1271" t="str">
        <f>_xlfn.TEXTJOIN(",",TRUE,_xlfn._xlws.FILTER(Chipset_Table[Chipset], (Chipset_Table[Chipset text]&lt;&gt;"") * ISNUMBER(SEARCH(Chipset_Table[Chipset text], B1271)), ""))</f>
        <v>GeForce RTX 5060</v>
      </c>
      <c r="I1271" t="str">
        <f>_xlfn.TEXTJOIN(",",TRUE,_xlfn._xlws.FILTER(VRAM_table[Video memory], (VRAM_table[Video memory text]&lt;&gt;"") * ISNUMBER(SEARCH(VRAM_table[Video memory text], B1271)), ""))</f>
        <v>8GB,8GB</v>
      </c>
    </row>
    <row r="1272" spans="1:9" x14ac:dyDescent="0.35">
      <c r="A1272" t="s">
        <v>9</v>
      </c>
      <c r="B1272" t="s">
        <v>110</v>
      </c>
      <c r="C1272">
        <v>10490000</v>
      </c>
      <c r="D1272">
        <v>9890000</v>
      </c>
      <c r="E1272" t="s">
        <v>111</v>
      </c>
      <c r="F1272" t="s">
        <v>1064</v>
      </c>
      <c r="G1272" t="str">
        <f>_xlfn.TEXTJOIN(",",TRUE,_xlfn._xlws.FILTER(GPU_brand[GPU brand], (GPU_brand[GPU brand text]&lt;&gt;"") * ISNUMBER(SEARCH(GPU_brand[GPU brand text], B1272)), ""))</f>
        <v>MSI</v>
      </c>
      <c r="H1272" t="str">
        <f>_xlfn.TEXTJOIN(",",TRUE,_xlfn._xlws.FILTER(Chipset_Table[Chipset], (Chipset_Table[Chipset text]&lt;&gt;"") * ISNUMBER(SEARCH(Chipset_Table[Chipset text], B1272)), ""))</f>
        <v>GeForce RTX 5060</v>
      </c>
      <c r="I1272" t="str">
        <f>_xlfn.TEXTJOIN(",",TRUE,_xlfn._xlws.FILTER(VRAM_table[Video memory], (VRAM_table[Video memory text]&lt;&gt;"") * ISNUMBER(SEARCH(VRAM_table[Video memory text], B1272)), ""))</f>
        <v>8GB,8GB</v>
      </c>
    </row>
    <row r="1273" spans="1:9" x14ac:dyDescent="0.35">
      <c r="A1273" t="s">
        <v>9</v>
      </c>
      <c r="B1273" t="s">
        <v>106</v>
      </c>
      <c r="C1273">
        <v>8990000</v>
      </c>
      <c r="D1273">
        <v>8790000</v>
      </c>
      <c r="E1273" t="s">
        <v>107</v>
      </c>
      <c r="F1273" t="s">
        <v>1064</v>
      </c>
      <c r="G1273" t="str">
        <f>_xlfn.TEXTJOIN(",",TRUE,_xlfn._xlws.FILTER(GPU_brand[GPU brand], (GPU_brand[GPU brand text]&lt;&gt;"") * ISNUMBER(SEARCH(GPU_brand[GPU brand text], B1273)), ""))</f>
        <v>MSI</v>
      </c>
      <c r="H1273" t="str">
        <f>_xlfn.TEXTJOIN(",",TRUE,_xlfn._xlws.FILTER(Chipset_Table[Chipset], (Chipset_Table[Chipset text]&lt;&gt;"") * ISNUMBER(SEARCH(Chipset_Table[Chipset text], B1273)), ""))</f>
        <v>GEFORCE RTX 5050,RTX 5050</v>
      </c>
      <c r="I1273" t="str">
        <f>_xlfn.TEXTJOIN(",",TRUE,_xlfn._xlws.FILTER(VRAM_table[Video memory], (VRAM_table[Video memory text]&lt;&gt;"") * ISNUMBER(SEARCH(VRAM_table[Video memory text], B1273)), ""))</f>
        <v>8GB,8GB</v>
      </c>
    </row>
    <row r="1274" spans="1:9" x14ac:dyDescent="0.35">
      <c r="A1274" t="s">
        <v>9</v>
      </c>
      <c r="B1274" t="s">
        <v>104</v>
      </c>
      <c r="C1274">
        <v>8590000</v>
      </c>
      <c r="D1274">
        <v>8390000</v>
      </c>
      <c r="E1274" t="s">
        <v>105</v>
      </c>
      <c r="F1274" t="s">
        <v>1064</v>
      </c>
      <c r="G1274" t="str">
        <f>_xlfn.TEXTJOIN(",",TRUE,_xlfn._xlws.FILTER(GPU_brand[GPU brand], (GPU_brand[GPU brand text]&lt;&gt;"") * ISNUMBER(SEARCH(GPU_brand[GPU brand text], B1274)), ""))</f>
        <v>MSI</v>
      </c>
      <c r="H1274" t="str">
        <f>_xlfn.TEXTJOIN(",",TRUE,_xlfn._xlws.FILTER(Chipset_Table[Chipset], (Chipset_Table[Chipset text]&lt;&gt;"") * ISNUMBER(SEARCH(Chipset_Table[Chipset text], B1274)), ""))</f>
        <v>GEFORCE RTX 5050,RTX 5050</v>
      </c>
      <c r="I1274" t="str">
        <f>_xlfn.TEXTJOIN(",",TRUE,_xlfn._xlws.FILTER(VRAM_table[Video memory], (VRAM_table[Video memory text]&lt;&gt;"") * ISNUMBER(SEARCH(VRAM_table[Video memory text], B1274)), ""))</f>
        <v>8GB,8GB</v>
      </c>
    </row>
    <row r="1275" spans="1:9" x14ac:dyDescent="0.35">
      <c r="A1275" t="s">
        <v>9</v>
      </c>
      <c r="B1275" t="s">
        <v>102</v>
      </c>
      <c r="C1275">
        <v>7890000</v>
      </c>
      <c r="D1275">
        <v>7490000</v>
      </c>
      <c r="E1275" t="s">
        <v>103</v>
      </c>
      <c r="F1275" t="s">
        <v>1064</v>
      </c>
      <c r="G1275" t="str">
        <f>_xlfn.TEXTJOIN(",",TRUE,_xlfn._xlws.FILTER(GPU_brand[GPU brand], (GPU_brand[GPU brand text]&lt;&gt;"") * ISNUMBER(SEARCH(GPU_brand[GPU brand text], B1275)), ""))</f>
        <v>MSI</v>
      </c>
      <c r="H1275" t="str">
        <f>_xlfn.TEXTJOIN(",",TRUE,_xlfn._xlws.FILTER(Chipset_Table[Chipset], (Chipset_Table[Chipset text]&lt;&gt;"") * ISNUMBER(SEARCH(Chipset_Table[Chipset text], B1275)), ""))</f>
        <v>GEFORCE RTX 5050,RTX 5050</v>
      </c>
      <c r="I1275" t="str">
        <f>_xlfn.TEXTJOIN(",",TRUE,_xlfn._xlws.FILTER(VRAM_table[Video memory], (VRAM_table[Video memory text]&lt;&gt;"") * ISNUMBER(SEARCH(VRAM_table[Video memory text], B1275)), ""))</f>
        <v>8GB,8GB</v>
      </c>
    </row>
    <row r="1276" spans="1:9" x14ac:dyDescent="0.35">
      <c r="A1276" t="s">
        <v>9</v>
      </c>
      <c r="B1276" t="s">
        <v>88</v>
      </c>
      <c r="C1276">
        <v>8290000</v>
      </c>
      <c r="D1276">
        <v>7890000</v>
      </c>
      <c r="E1276" t="s">
        <v>89</v>
      </c>
      <c r="F1276" t="s">
        <v>1064</v>
      </c>
      <c r="G1276" t="str">
        <f>_xlfn.TEXTJOIN(",",TRUE,_xlfn._xlws.FILTER(GPU_brand[GPU brand], (GPU_brand[GPU brand text]&lt;&gt;"") * ISNUMBER(SEARCH(GPU_brand[GPU brand text], B1276)), ""))</f>
        <v>ASUS</v>
      </c>
      <c r="H1276" t="str">
        <f>_xlfn.TEXTJOIN(",",TRUE,_xlfn._xlws.FILTER(Chipset_Table[Chipset], (Chipset_Table[Chipset text]&lt;&gt;"") * ISNUMBER(SEARCH(Chipset_Table[Chipset text], B1276)), ""))</f>
        <v>GEFORCE RTX 5050,RTX 5050</v>
      </c>
      <c r="I1276" t="str">
        <f>_xlfn.TEXTJOIN(",",TRUE,_xlfn._xlws.FILTER(VRAM_table[Video memory], (VRAM_table[Video memory text]&lt;&gt;"") * ISNUMBER(SEARCH(VRAM_table[Video memory text], B1276)), ""))</f>
        <v>8GB,8GB</v>
      </c>
    </row>
    <row r="1277" spans="1:9" x14ac:dyDescent="0.35">
      <c r="A1277" t="s">
        <v>9</v>
      </c>
      <c r="B1277" t="s">
        <v>96</v>
      </c>
      <c r="C1277">
        <v>9290000</v>
      </c>
      <c r="D1277">
        <v>7490000</v>
      </c>
      <c r="E1277" t="s">
        <v>97</v>
      </c>
      <c r="F1277" t="s">
        <v>1064</v>
      </c>
      <c r="G1277" t="str">
        <f>_xlfn.TEXTJOIN(",",TRUE,_xlfn._xlws.FILTER(GPU_brand[GPU brand], (GPU_brand[GPU brand text]&lt;&gt;"") * ISNUMBER(SEARCH(GPU_brand[GPU brand text], B1277)), ""))</f>
        <v>ASUS</v>
      </c>
      <c r="H1277" t="str">
        <f>_xlfn.TEXTJOIN(",",TRUE,_xlfn._xlws.FILTER(Chipset_Table[Chipset], (Chipset_Table[Chipset text]&lt;&gt;"") * ISNUMBER(SEARCH(Chipset_Table[Chipset text], B1277)), ""))</f>
        <v>GEFORCE RTX 5050,RTX 5050</v>
      </c>
      <c r="I1277" t="str">
        <f>_xlfn.TEXTJOIN(",",TRUE,_xlfn._xlws.FILTER(VRAM_table[Video memory], (VRAM_table[Video memory text]&lt;&gt;"") * ISNUMBER(SEARCH(VRAM_table[Video memory text], B1277)), ""))</f>
        <v>8GB,8GB</v>
      </c>
    </row>
    <row r="1278" spans="1:9" x14ac:dyDescent="0.35">
      <c r="A1278" t="s">
        <v>9</v>
      </c>
      <c r="B1278" t="s">
        <v>94</v>
      </c>
      <c r="C1278">
        <v>9890000</v>
      </c>
      <c r="D1278">
        <v>8690000</v>
      </c>
      <c r="E1278" t="s">
        <v>95</v>
      </c>
      <c r="F1278" t="s">
        <v>1064</v>
      </c>
      <c r="G1278" t="str">
        <f>_xlfn.TEXTJOIN(",",TRUE,_xlfn._xlws.FILTER(GPU_brand[GPU brand], (GPU_brand[GPU brand text]&lt;&gt;"") * ISNUMBER(SEARCH(GPU_brand[GPU brand text], B1278)), ""))</f>
        <v>ASUS</v>
      </c>
      <c r="H1278" t="str">
        <f>_xlfn.TEXTJOIN(",",TRUE,_xlfn._xlws.FILTER(Chipset_Table[Chipset], (Chipset_Table[Chipset text]&lt;&gt;"") * ISNUMBER(SEARCH(Chipset_Table[Chipset text], B1278)), ""))</f>
        <v>GEFORCE RTX 5050,RTX 5050</v>
      </c>
      <c r="I1278" t="str">
        <f>_xlfn.TEXTJOIN(",",TRUE,_xlfn._xlws.FILTER(VRAM_table[Video memory], (VRAM_table[Video memory text]&lt;&gt;"") * ISNUMBER(SEARCH(VRAM_table[Video memory text], B1278)), ""))</f>
        <v>8GB,8GB</v>
      </c>
    </row>
    <row r="1279" spans="1:9" x14ac:dyDescent="0.35">
      <c r="A1279" t="s">
        <v>9</v>
      </c>
      <c r="B1279" t="s">
        <v>90</v>
      </c>
      <c r="C1279">
        <v>9590000</v>
      </c>
      <c r="D1279">
        <v>9390000</v>
      </c>
      <c r="E1279" t="s">
        <v>91</v>
      </c>
      <c r="F1279" t="s">
        <v>1064</v>
      </c>
      <c r="G1279" t="str">
        <f>_xlfn.TEXTJOIN(",",TRUE,_xlfn._xlws.FILTER(GPU_brand[GPU brand], (GPU_brand[GPU brand text]&lt;&gt;"") * ISNUMBER(SEARCH(GPU_brand[GPU brand text], B1279)), ""))</f>
        <v>ASUS</v>
      </c>
      <c r="H1279" t="str">
        <f>_xlfn.TEXTJOIN(",",TRUE,_xlfn._xlws.FILTER(Chipset_Table[Chipset], (Chipset_Table[Chipset text]&lt;&gt;"") * ISNUMBER(SEARCH(Chipset_Table[Chipset text], B1279)), ""))</f>
        <v>GEFORCE RTX 5050,RTX 5050</v>
      </c>
      <c r="I1279" t="str">
        <f>_xlfn.TEXTJOIN(",",TRUE,_xlfn._xlws.FILTER(VRAM_table[Video memory], (VRAM_table[Video memory text]&lt;&gt;"") * ISNUMBER(SEARCH(VRAM_table[Video memory text], B1279)), ""))</f>
        <v>8GB,8GB</v>
      </c>
    </row>
    <row r="1280" spans="1:9" x14ac:dyDescent="0.35">
      <c r="A1280" t="s">
        <v>9</v>
      </c>
      <c r="B1280" t="s">
        <v>84</v>
      </c>
      <c r="C1280">
        <v>114990000</v>
      </c>
      <c r="D1280">
        <v>102990000</v>
      </c>
      <c r="E1280" t="s">
        <v>85</v>
      </c>
      <c r="F1280" t="s">
        <v>1064</v>
      </c>
      <c r="G1280" t="str">
        <f>_xlfn.TEXTJOIN(",",TRUE,_xlfn._xlws.FILTER(GPU_brand[GPU brand], (GPU_brand[GPU brand text]&lt;&gt;"") * ISNUMBER(SEARCH(GPU_brand[GPU brand text], B1280)), ""))</f>
        <v>ASUS</v>
      </c>
      <c r="H1280" t="str">
        <f>_xlfn.TEXTJOIN(",",TRUE,_xlfn._xlws.FILTER(Chipset_Table[Chipset], (Chipset_Table[Chipset text]&lt;&gt;"") * ISNUMBER(SEARCH(Chipset_Table[Chipset text], B1280)), ""))</f>
        <v>GeForce RTX 5090</v>
      </c>
      <c r="I1280" t="str">
        <f>_xlfn.TEXTJOIN(",",TRUE,_xlfn._xlws.FILTER(VRAM_table[Video memory], (VRAM_table[Video memory text]&lt;&gt;"") * ISNUMBER(SEARCH(VRAM_table[Video memory text], B1280)), ""))</f>
        <v>32GB,32GB,2GB</v>
      </c>
    </row>
    <row r="1281" spans="1:9" x14ac:dyDescent="0.35">
      <c r="A1281" t="s">
        <v>9</v>
      </c>
      <c r="B1281" t="s">
        <v>100</v>
      </c>
      <c r="C1281">
        <v>9490000</v>
      </c>
      <c r="D1281">
        <v>8890000</v>
      </c>
      <c r="E1281" t="s">
        <v>101</v>
      </c>
      <c r="F1281" t="s">
        <v>1064</v>
      </c>
      <c r="G1281" t="str">
        <f>_xlfn.TEXTJOIN(",",TRUE,_xlfn._xlws.FILTER(GPU_brand[GPU brand], (GPU_brand[GPU brand text]&lt;&gt;"") * ISNUMBER(SEARCH(GPU_brand[GPU brand text], B1281)), ""))</f>
        <v>Gigabyte</v>
      </c>
      <c r="H1281" t="str">
        <f>_xlfn.TEXTJOIN(",",TRUE,_xlfn._xlws.FILTER(Chipset_Table[Chipset], (Chipset_Table[Chipset text]&lt;&gt;"") * ISNUMBER(SEARCH(Chipset_Table[Chipset text], B1281)), ""))</f>
        <v>GEFORCE RTX 5050,RTX 5050</v>
      </c>
      <c r="I1281" t="str">
        <f>_xlfn.TEXTJOIN(",",TRUE,_xlfn._xlws.FILTER(VRAM_table[Video memory], (VRAM_table[Video memory text]&lt;&gt;"") * ISNUMBER(SEARCH(VRAM_table[Video memory text], B1281)), ""))</f>
        <v>8GB,8GB</v>
      </c>
    </row>
    <row r="1282" spans="1:9" x14ac:dyDescent="0.35">
      <c r="A1282" t="s">
        <v>9</v>
      </c>
      <c r="B1282" t="s">
        <v>98</v>
      </c>
      <c r="C1282">
        <v>8690000</v>
      </c>
      <c r="D1282">
        <v>8390000</v>
      </c>
      <c r="E1282" t="s">
        <v>99</v>
      </c>
      <c r="F1282" t="s">
        <v>1064</v>
      </c>
      <c r="G1282" t="str">
        <f>_xlfn.TEXTJOIN(",",TRUE,_xlfn._xlws.FILTER(GPU_brand[GPU brand], (GPU_brand[GPU brand text]&lt;&gt;"") * ISNUMBER(SEARCH(GPU_brand[GPU brand text], B1282)), ""))</f>
        <v>Gigabyte</v>
      </c>
      <c r="H1282" t="str">
        <f>_xlfn.TEXTJOIN(",",TRUE,_xlfn._xlws.FILTER(Chipset_Table[Chipset], (Chipset_Table[Chipset text]&lt;&gt;"") * ISNUMBER(SEARCH(Chipset_Table[Chipset text], B1282)), ""))</f>
        <v>GEFORCE RTX 5050,RTX 5050</v>
      </c>
      <c r="I1282" t="str">
        <f>_xlfn.TEXTJOIN(",",TRUE,_xlfn._xlws.FILTER(VRAM_table[Video memory], (VRAM_table[Video memory text]&lt;&gt;"") * ISNUMBER(SEARCH(VRAM_table[Video memory text], B1282)), ""))</f>
        <v>8GB,8GB</v>
      </c>
    </row>
    <row r="1283" spans="1:9" x14ac:dyDescent="0.35">
      <c r="A1283" t="s">
        <v>9</v>
      </c>
      <c r="B1283" t="s">
        <v>92</v>
      </c>
      <c r="C1283">
        <v>31990000</v>
      </c>
      <c r="D1283">
        <v>29490000</v>
      </c>
      <c r="E1283" t="s">
        <v>93</v>
      </c>
      <c r="F1283" t="s">
        <v>1064</v>
      </c>
      <c r="G1283" t="str">
        <f>_xlfn.TEXTJOIN(",",TRUE,_xlfn._xlws.FILTER(GPU_brand[GPU brand], (GPU_brand[GPU brand text]&lt;&gt;"") * ISNUMBER(SEARCH(GPU_brand[GPU brand text], B1283)), ""))</f>
        <v>MSI</v>
      </c>
      <c r="H1283" t="str">
        <f>_xlfn.TEXTJOIN(",",TRUE,_xlfn._xlws.FILTER(Chipset_Table[Chipset], (Chipset_Table[Chipset text]&lt;&gt;"") * ISNUMBER(SEARCH(Chipset_Table[Chipset text], B1283)), ""))</f>
        <v>GeForce RTX 5070,GeForce RTX 5070 Ti,RTX 5070</v>
      </c>
      <c r="I1283" t="str">
        <f>_xlfn.TEXTJOIN(",",TRUE,_xlfn._xlws.FILTER(VRAM_table[Video memory], (VRAM_table[Video memory text]&lt;&gt;"") * ISNUMBER(SEARCH(VRAM_table[Video memory text], B1283)), ""))</f>
        <v>16GB,6GB</v>
      </c>
    </row>
    <row r="1284" spans="1:9" x14ac:dyDescent="0.35">
      <c r="A1284" t="s">
        <v>9</v>
      </c>
      <c r="B1284" t="s">
        <v>78</v>
      </c>
      <c r="C1284">
        <v>0</v>
      </c>
      <c r="D1284">
        <v>32990000</v>
      </c>
      <c r="E1284" t="s">
        <v>79</v>
      </c>
      <c r="F1284" t="s">
        <v>1064</v>
      </c>
      <c r="G1284" t="str">
        <f>_xlfn.TEXTJOIN(",",TRUE,_xlfn._xlws.FILTER(GPU_brand[GPU brand], (GPU_brand[GPU brand text]&lt;&gt;"") * ISNUMBER(SEARCH(GPU_brand[GPU brand text], B1284)), ""))</f>
        <v>MSI</v>
      </c>
      <c r="H1284" t="str">
        <f>_xlfn.TEXTJOIN(",",TRUE,_xlfn._xlws.FILTER(Chipset_Table[Chipset], (Chipset_Table[Chipset text]&lt;&gt;"") * ISNUMBER(SEARCH(Chipset_Table[Chipset text], B1284)), ""))</f>
        <v>GeForce RTX 5070,GeForce RTX 5070 Ti,RTX 5070</v>
      </c>
      <c r="I1284" t="str">
        <f>_xlfn.TEXTJOIN(",",TRUE,_xlfn._xlws.FILTER(VRAM_table[Video memory], (VRAM_table[Video memory text]&lt;&gt;"") * ISNUMBER(SEARCH(VRAM_table[Video memory text], B1284)), ""))</f>
        <v>16GB,6GB</v>
      </c>
    </row>
    <row r="1285" spans="1:9" x14ac:dyDescent="0.35">
      <c r="A1285" t="s">
        <v>9</v>
      </c>
      <c r="B1285" t="s">
        <v>80</v>
      </c>
      <c r="C1285">
        <v>0</v>
      </c>
      <c r="D1285">
        <v>54120000</v>
      </c>
      <c r="E1285" t="s">
        <v>81</v>
      </c>
      <c r="F1285" t="s">
        <v>1064</v>
      </c>
      <c r="G1285" t="str">
        <f>_xlfn.TEXTJOIN(",",TRUE,_xlfn._xlws.FILTER(GPU_brand[GPU brand], (GPU_brand[GPU brand text]&lt;&gt;"") * ISNUMBER(SEARCH(GPU_brand[GPU brand text], B1285)), ""))</f>
        <v>ASUS</v>
      </c>
      <c r="H1285" t="str">
        <f>_xlfn.TEXTJOIN(",",TRUE,_xlfn._xlws.FILTER(Chipset_Table[Chipset], (Chipset_Table[Chipset text]&lt;&gt;"") * ISNUMBER(SEARCH(Chipset_Table[Chipset text], B1285)), ""))</f>
        <v>GeForce RTX 5080,RTX 5080</v>
      </c>
      <c r="I1285" t="str">
        <f>_xlfn.TEXTJOIN(",",TRUE,_xlfn._xlws.FILTER(VRAM_table[Video memory], (VRAM_table[Video memory text]&lt;&gt;"") * ISNUMBER(SEARCH(VRAM_table[Video memory text], B1285)), ""))</f>
        <v>16GB,16GB,6GB,6GB</v>
      </c>
    </row>
    <row r="1286" spans="1:9" x14ac:dyDescent="0.35">
      <c r="A1286" t="s">
        <v>9</v>
      </c>
      <c r="B1286" t="s">
        <v>116</v>
      </c>
      <c r="C1286">
        <v>33990000</v>
      </c>
      <c r="D1286">
        <v>32490000</v>
      </c>
      <c r="E1286" t="s">
        <v>117</v>
      </c>
      <c r="F1286" t="s">
        <v>1064</v>
      </c>
      <c r="G1286" t="str">
        <f>_xlfn.TEXTJOIN(",",TRUE,_xlfn._xlws.FILTER(GPU_brand[GPU brand], (GPU_brand[GPU brand text]&lt;&gt;"") * ISNUMBER(SEARCH(GPU_brand[GPU brand text], B1286)), ""))</f>
        <v>MSI</v>
      </c>
      <c r="H1286" t="str">
        <f>_xlfn.TEXTJOIN(",",TRUE,_xlfn._xlws.FILTER(Chipset_Table[Chipset], (Chipset_Table[Chipset text]&lt;&gt;"") * ISNUMBER(SEARCH(Chipset_Table[Chipset text], B1286)), ""))</f>
        <v>GeForce RTX 5070,GeForce RTX 5070 Ti,RTX 5070</v>
      </c>
      <c r="I1286" t="str">
        <f>_xlfn.TEXTJOIN(",",TRUE,_xlfn._xlws.FILTER(VRAM_table[Video memory], (VRAM_table[Video memory text]&lt;&gt;"") * ISNUMBER(SEARCH(VRAM_table[Video memory text], B1286)), ""))</f>
        <v>16GB,6GB</v>
      </c>
    </row>
    <row r="1287" spans="1:9" x14ac:dyDescent="0.35">
      <c r="A1287" t="s">
        <v>9</v>
      </c>
      <c r="B1287" t="s">
        <v>128</v>
      </c>
      <c r="C1287">
        <v>10990000</v>
      </c>
      <c r="D1287">
        <v>10490000</v>
      </c>
      <c r="E1287" t="s">
        <v>129</v>
      </c>
      <c r="F1287" t="s">
        <v>1064</v>
      </c>
      <c r="G1287" t="str">
        <f>_xlfn.TEXTJOIN(",",TRUE,_xlfn._xlws.FILTER(GPU_brand[GPU brand], (GPU_brand[GPU brand text]&lt;&gt;"") * ISNUMBER(SEARCH(GPU_brand[GPU brand text], B1287)), ""))</f>
        <v>Gigabyte</v>
      </c>
      <c r="H1287" t="str">
        <f>_xlfn.TEXTJOIN(",",TRUE,_xlfn._xlws.FILTER(Chipset_Table[Chipset], (Chipset_Table[Chipset text]&lt;&gt;"") * ISNUMBER(SEARCH(Chipset_Table[Chipset text], B1287)), ""))</f>
        <v>GeForce RTX 5060</v>
      </c>
      <c r="I1287" t="str">
        <f>_xlfn.TEXTJOIN(",",TRUE,_xlfn._xlws.FILTER(VRAM_table[Video memory], (VRAM_table[Video memory text]&lt;&gt;"") * ISNUMBER(SEARCH(VRAM_table[Video memory text], B1287)), ""))</f>
        <v>8GB,8GB</v>
      </c>
    </row>
    <row r="1288" spans="1:9" x14ac:dyDescent="0.35">
      <c r="A1288" t="s">
        <v>9</v>
      </c>
      <c r="B1288" t="s">
        <v>126</v>
      </c>
      <c r="C1288">
        <v>0</v>
      </c>
      <c r="D1288">
        <v>9990000</v>
      </c>
      <c r="E1288" t="s">
        <v>127</v>
      </c>
      <c r="F1288" t="s">
        <v>1064</v>
      </c>
      <c r="G1288" t="str">
        <f>_xlfn.TEXTJOIN(",",TRUE,_xlfn._xlws.FILTER(GPU_brand[GPU brand], (GPU_brand[GPU brand text]&lt;&gt;"") * ISNUMBER(SEARCH(GPU_brand[GPU brand text], B1288)), ""))</f>
        <v>Gigabyte</v>
      </c>
      <c r="H1288" t="str">
        <f>_xlfn.TEXTJOIN(",",TRUE,_xlfn._xlws.FILTER(Chipset_Table[Chipset], (Chipset_Table[Chipset text]&lt;&gt;"") * ISNUMBER(SEARCH(Chipset_Table[Chipset text], B1288)), ""))</f>
        <v>GeForce RTX 5060</v>
      </c>
      <c r="I1288" t="str">
        <f>_xlfn.TEXTJOIN(",",TRUE,_xlfn._xlws.FILTER(VRAM_table[Video memory], (VRAM_table[Video memory text]&lt;&gt;"") * ISNUMBER(SEARCH(VRAM_table[Video memory text], B1288)), ""))</f>
        <v>8GB,8GB</v>
      </c>
    </row>
    <row r="1289" spans="1:9" x14ac:dyDescent="0.35">
      <c r="A1289" t="s">
        <v>9</v>
      </c>
      <c r="B1289" t="s">
        <v>38</v>
      </c>
      <c r="C1289">
        <v>53990000</v>
      </c>
      <c r="D1289">
        <v>49990000</v>
      </c>
      <c r="E1289" t="s">
        <v>39</v>
      </c>
      <c r="F1289" t="s">
        <v>1064</v>
      </c>
      <c r="G1289" t="str">
        <f>_xlfn.TEXTJOIN(",",TRUE,_xlfn._xlws.FILTER(GPU_brand[GPU brand], (GPU_brand[GPU brand text]&lt;&gt;"") * ISNUMBER(SEARCH(GPU_brand[GPU brand text], B1289)), ""))</f>
        <v>MSI</v>
      </c>
      <c r="H1289" t="str">
        <f>_xlfn.TEXTJOIN(",",TRUE,_xlfn._xlws.FILTER(Chipset_Table[Chipset], (Chipset_Table[Chipset text]&lt;&gt;"") * ISNUMBER(SEARCH(Chipset_Table[Chipset text], B1289)), ""))</f>
        <v>GeForce RTX 5080,RTX 5080</v>
      </c>
      <c r="I1289" t="str">
        <f>_xlfn.TEXTJOIN(",",TRUE,_xlfn._xlws.FILTER(VRAM_table[Video memory], (VRAM_table[Video memory text]&lt;&gt;"") * ISNUMBER(SEARCH(VRAM_table[Video memory text], B1289)), ""))</f>
        <v>16GB,6GB</v>
      </c>
    </row>
    <row r="1290" spans="1:9" x14ac:dyDescent="0.35">
      <c r="A1290" t="s">
        <v>9</v>
      </c>
      <c r="B1290" t="s">
        <v>363</v>
      </c>
      <c r="C1290">
        <v>22990000</v>
      </c>
      <c r="D1290">
        <v>19990000</v>
      </c>
      <c r="E1290" t="s">
        <v>364</v>
      </c>
      <c r="F1290" t="s">
        <v>1064</v>
      </c>
      <c r="G1290" t="str">
        <f>_xlfn.TEXTJOIN(",",TRUE,_xlfn._xlws.FILTER(GPU_brand[GPU brand], (GPU_brand[GPU brand text]&lt;&gt;"") * ISNUMBER(SEARCH(GPU_brand[GPU brand text], B1290)), ""))</f>
        <v>Gigabyte</v>
      </c>
      <c r="H1290" t="str">
        <f>_xlfn.TEXTJOIN(",",TRUE,_xlfn._xlws.FILTER(Chipset_Table[Chipset], (Chipset_Table[Chipset text]&lt;&gt;"") * ISNUMBER(SEARCH(Chipset_Table[Chipset text], B1290)), ""))</f>
        <v>RX 9070</v>
      </c>
      <c r="I1290" t="str">
        <f>_xlfn.TEXTJOIN(",",TRUE,_xlfn._xlws.FILTER(VRAM_table[Video memory], (VRAM_table[Video memory text]&lt;&gt;"") * ISNUMBER(SEARCH(VRAM_table[Video memory text], B1290)), ""))</f>
        <v>16GB,6GB</v>
      </c>
    </row>
    <row r="1291" spans="1:9" x14ac:dyDescent="0.35">
      <c r="A1291" t="s">
        <v>9</v>
      </c>
      <c r="B1291" t="s">
        <v>365</v>
      </c>
      <c r="C1291">
        <v>24990000</v>
      </c>
      <c r="D1291">
        <v>23490000</v>
      </c>
      <c r="E1291" t="s">
        <v>366</v>
      </c>
      <c r="F1291" t="s">
        <v>1064</v>
      </c>
      <c r="G1291" t="str">
        <f>_xlfn.TEXTJOIN(",",TRUE,_xlfn._xlws.FILTER(GPU_brand[GPU brand], (GPU_brand[GPU brand text]&lt;&gt;"") * ISNUMBER(SEARCH(GPU_brand[GPU brand text], B1291)), ""))</f>
        <v>ASUS</v>
      </c>
      <c r="H1291" t="str">
        <f>_xlfn.TEXTJOIN(",",TRUE,_xlfn._xlws.FILTER(Chipset_Table[Chipset], (Chipset_Table[Chipset text]&lt;&gt;"") * ISNUMBER(SEARCH(Chipset_Table[Chipset text], B1291)), ""))</f>
        <v>RX 9070</v>
      </c>
      <c r="I1291" t="str">
        <f>_xlfn.TEXTJOIN(",",TRUE,_xlfn._xlws.FILTER(VRAM_table[Video memory], (VRAM_table[Video memory text]&lt;&gt;"") * ISNUMBER(SEARCH(VRAM_table[Video memory text], B1291)), ""))</f>
        <v>16GB,16GB,6GB,6GB</v>
      </c>
    </row>
    <row r="1292" spans="1:9" x14ac:dyDescent="0.35">
      <c r="A1292" t="s">
        <v>9</v>
      </c>
      <c r="B1292" t="s">
        <v>367</v>
      </c>
      <c r="C1292">
        <v>5990000</v>
      </c>
      <c r="D1292">
        <v>4890000</v>
      </c>
      <c r="E1292" t="s">
        <v>368</v>
      </c>
      <c r="F1292" t="s">
        <v>1064</v>
      </c>
      <c r="G1292" t="str">
        <f>_xlfn.TEXTJOIN(",",TRUE,_xlfn._xlws.FILTER(GPU_brand[GPU brand], (GPU_brand[GPU brand text]&lt;&gt;"") * ISNUMBER(SEARCH(GPU_brand[GPU brand text], B1292)), ""))</f>
        <v>MSI</v>
      </c>
      <c r="H1292" t="str">
        <f>_xlfn.TEXTJOIN(",",TRUE,_xlfn._xlws.FILTER(Chipset_Table[Chipset], (Chipset_Table[Chipset text]&lt;&gt;"") * ISNUMBER(SEARCH(Chipset_Table[Chipset text], B1292)), ""))</f>
        <v>GeForce RTX 3050</v>
      </c>
      <c r="I1292" t="str">
        <f>_xlfn.TEXTJOIN(",",TRUE,_xlfn._xlws.FILTER(VRAM_table[Video memory], (VRAM_table[Video memory text]&lt;&gt;"") * ISNUMBER(SEARCH(VRAM_table[Video memory text], B1292)), ""))</f>
        <v>6GB</v>
      </c>
    </row>
    <row r="1293" spans="1:9" x14ac:dyDescent="0.35">
      <c r="A1293" t="s">
        <v>9</v>
      </c>
      <c r="B1293" t="s">
        <v>369</v>
      </c>
      <c r="C1293">
        <v>0</v>
      </c>
      <c r="D1293">
        <v>20490000</v>
      </c>
      <c r="E1293" t="s">
        <v>370</v>
      </c>
      <c r="F1293" t="s">
        <v>1064</v>
      </c>
      <c r="G1293" t="str">
        <f>_xlfn.TEXTJOIN(",",TRUE,_xlfn._xlws.FILTER(GPU_brand[GPU brand], (GPU_brand[GPU brand text]&lt;&gt;"") * ISNUMBER(SEARCH(GPU_brand[GPU brand text], B1293)), ""))</f>
        <v>MSI</v>
      </c>
      <c r="H1293" t="str">
        <f>_xlfn.TEXTJOIN(",",TRUE,_xlfn._xlws.FILTER(Chipset_Table[Chipset], (Chipset_Table[Chipset text]&lt;&gt;"") * ISNUMBER(SEARCH(Chipset_Table[Chipset text], B1293)), ""))</f>
        <v>GeForce RTX 4070 SUPER,GeForce RTX 4070</v>
      </c>
      <c r="I1293" t="str">
        <f>_xlfn.TEXTJOIN(",",TRUE,_xlfn._xlws.FILTER(VRAM_table[Video memory], (VRAM_table[Video memory text]&lt;&gt;"") * ISNUMBER(SEARCH(VRAM_table[Video memory text], B1293)), ""))</f>
        <v>12GB,2GB</v>
      </c>
    </row>
    <row r="1294" spans="1:9" x14ac:dyDescent="0.35">
      <c r="A1294" t="s">
        <v>9</v>
      </c>
      <c r="B1294" t="s">
        <v>371</v>
      </c>
      <c r="C1294">
        <v>66990000</v>
      </c>
      <c r="D1294">
        <v>62990000</v>
      </c>
      <c r="E1294" t="s">
        <v>372</v>
      </c>
      <c r="F1294" t="s">
        <v>1064</v>
      </c>
      <c r="G1294" t="s">
        <v>1065</v>
      </c>
      <c r="H1294" t="s">
        <v>1066</v>
      </c>
      <c r="I1294">
        <v>24</v>
      </c>
    </row>
    <row r="1295" spans="1:9" x14ac:dyDescent="0.35">
      <c r="A1295" t="s">
        <v>9</v>
      </c>
      <c r="B1295" t="s">
        <v>374</v>
      </c>
      <c r="C1295">
        <v>0</v>
      </c>
      <c r="D1295">
        <v>12990000</v>
      </c>
      <c r="E1295" t="s">
        <v>375</v>
      </c>
      <c r="F1295" t="s">
        <v>1064</v>
      </c>
      <c r="G1295" t="str">
        <f>_xlfn.TEXTJOIN(",",TRUE,_xlfn._xlws.FILTER(GPU_brand[GPU brand], (GPU_brand[GPU brand text]&lt;&gt;"") * ISNUMBER(SEARCH(GPU_brand[GPU brand text], B1295)), ""))</f>
        <v>ASUS</v>
      </c>
      <c r="H1295" t="str">
        <f>_xlfn.TEXTJOIN(",",TRUE,_xlfn._xlws.FILTER(Chipset_Table[Chipset], (Chipset_Table[Chipset text]&lt;&gt;"") * ISNUMBER(SEARCH(Chipset_Table[Chipset text], B1295)), ""))</f>
        <v>GeForce RTX 4060</v>
      </c>
      <c r="I1295" t="str">
        <f>_xlfn.TEXTJOIN(",",TRUE,_xlfn._xlws.FILTER(VRAM_table[Video memory], (VRAM_table[Video memory text]&lt;&gt;"") * ISNUMBER(SEARCH(VRAM_table[Video memory text], B1295)), ""))</f>
        <v>8GB,8GB</v>
      </c>
    </row>
    <row r="1296" spans="1:9" x14ac:dyDescent="0.35">
      <c r="A1296" t="s">
        <v>9</v>
      </c>
      <c r="B1296" t="s">
        <v>376</v>
      </c>
      <c r="C1296">
        <v>15990000</v>
      </c>
      <c r="D1296">
        <v>14990000</v>
      </c>
      <c r="E1296" t="s">
        <v>377</v>
      </c>
      <c r="F1296" t="s">
        <v>1064</v>
      </c>
      <c r="G1296" t="str">
        <f>_xlfn.TEXTJOIN(",",TRUE,_xlfn._xlws.FILTER(GPU_brand[GPU brand], (GPU_brand[GPU brand text]&lt;&gt;"") * ISNUMBER(SEARCH(GPU_brand[GPU brand text], B1296)), ""))</f>
        <v>ASUS</v>
      </c>
      <c r="H1296" t="str">
        <f>_xlfn.TEXTJOIN(",",TRUE,_xlfn._xlws.FILTER(Chipset_Table[Chipset], (Chipset_Table[Chipset text]&lt;&gt;"") * ISNUMBER(SEARCH(Chipset_Table[Chipset text], B1296)), ""))</f>
        <v>GeForce RTX 4060</v>
      </c>
      <c r="I1296" t="str">
        <f>_xlfn.TEXTJOIN(",",TRUE,_xlfn._xlws.FILTER(VRAM_table[Video memory], (VRAM_table[Video memory text]&lt;&gt;"") * ISNUMBER(SEARCH(VRAM_table[Video memory text], B1296)), ""))</f>
        <v>16GB,16GB,6GB,6GB</v>
      </c>
    </row>
    <row r="1297" spans="1:9" x14ac:dyDescent="0.35">
      <c r="A1297" t="s">
        <v>9</v>
      </c>
      <c r="B1297" t="s">
        <v>378</v>
      </c>
      <c r="C1297">
        <v>5990000</v>
      </c>
      <c r="D1297">
        <v>5490000</v>
      </c>
      <c r="E1297" t="s">
        <v>379</v>
      </c>
      <c r="F1297" t="s">
        <v>1064</v>
      </c>
      <c r="G1297" t="str">
        <f>_xlfn.TEXTJOIN(",",TRUE,_xlfn._xlws.FILTER(GPU_brand[GPU brand], (GPU_brand[GPU brand text]&lt;&gt;"") * ISNUMBER(SEARCH(GPU_brand[GPU brand text], B1297)), ""))</f>
        <v>ASUS</v>
      </c>
      <c r="H1297" t="str">
        <f>_xlfn.TEXTJOIN(",",TRUE,_xlfn._xlws.FILTER(Chipset_Table[Chipset], (Chipset_Table[Chipset text]&lt;&gt;"") * ISNUMBER(SEARCH(Chipset_Table[Chipset text], B1297)), ""))</f>
        <v>RX 6600</v>
      </c>
      <c r="I1297" t="str">
        <f>_xlfn.TEXTJOIN(",",TRUE,_xlfn._xlws.FILTER(VRAM_table[Video memory], (VRAM_table[Video memory text]&lt;&gt;"") * ISNUMBER(SEARCH(VRAM_table[Video memory text], B1297)), ""))</f>
        <v>8GB,8GB</v>
      </c>
    </row>
    <row r="1298" spans="1:9" x14ac:dyDescent="0.35">
      <c r="A1298" t="s">
        <v>9</v>
      </c>
      <c r="B1298" t="s">
        <v>380</v>
      </c>
      <c r="C1298">
        <v>14990000</v>
      </c>
      <c r="D1298">
        <v>13990000</v>
      </c>
      <c r="E1298" t="s">
        <v>381</v>
      </c>
      <c r="F1298" t="s">
        <v>1064</v>
      </c>
      <c r="G1298" t="str">
        <f>_xlfn.TEXTJOIN(",",TRUE,_xlfn._xlws.FILTER(GPU_brand[GPU brand], (GPU_brand[GPU brand text]&lt;&gt;"") * ISNUMBER(SEARCH(GPU_brand[GPU brand text], B1298)), ""))</f>
        <v>MSI</v>
      </c>
      <c r="H1298" t="str">
        <f>_xlfn.TEXTJOIN(",",TRUE,_xlfn._xlws.FILTER(Chipset_Table[Chipset], (Chipset_Table[Chipset text]&lt;&gt;"") * ISNUMBER(SEARCH(Chipset_Table[Chipset text], B1298)), ""))</f>
        <v>GeForce RTX 4060</v>
      </c>
      <c r="I1298" t="str">
        <f>_xlfn.TEXTJOIN(",",TRUE,_xlfn._xlws.FILTER(VRAM_table[Video memory], (VRAM_table[Video memory text]&lt;&gt;"") * ISNUMBER(SEARCH(VRAM_table[Video memory text], B1298)), ""))</f>
        <v>8GB</v>
      </c>
    </row>
    <row r="1299" spans="1:9" x14ac:dyDescent="0.35">
      <c r="A1299" t="s">
        <v>9</v>
      </c>
      <c r="B1299" t="s">
        <v>382</v>
      </c>
      <c r="C1299">
        <v>31990000</v>
      </c>
      <c r="D1299">
        <v>29490000</v>
      </c>
      <c r="E1299" t="s">
        <v>383</v>
      </c>
      <c r="F1299" t="s">
        <v>1064</v>
      </c>
      <c r="G1299" t="str">
        <f>_xlfn.TEXTJOIN(",",TRUE,_xlfn._xlws.FILTER(GPU_brand[GPU brand], (GPU_brand[GPU brand text]&lt;&gt;"") * ISNUMBER(SEARCH(GPU_brand[GPU brand text], B1299)), ""))</f>
        <v>ASUS</v>
      </c>
      <c r="H1299" t="str">
        <f>_xlfn.TEXTJOIN(",",TRUE,_xlfn._xlws.FILTER(Chipset_Table[Chipset], (Chipset_Table[Chipset text]&lt;&gt;"") * ISNUMBER(SEARCH(Chipset_Table[Chipset text], B1299)), ""))</f>
        <v>GeForce RTX 4070 Ti SUPER,GeForce RTX 4070</v>
      </c>
      <c r="I1299" t="str">
        <f>_xlfn.TEXTJOIN(",",TRUE,_xlfn._xlws.FILTER(VRAM_table[Video memory], (VRAM_table[Video memory text]&lt;&gt;"") * ISNUMBER(SEARCH(VRAM_table[Video memory text], B1299)), ""))</f>
        <v>16GB,16GB,6GB,6GB</v>
      </c>
    </row>
    <row r="1300" spans="1:9" x14ac:dyDescent="0.35">
      <c r="A1300" t="s">
        <v>9</v>
      </c>
      <c r="B1300" t="s">
        <v>387</v>
      </c>
      <c r="C1300">
        <v>29990000</v>
      </c>
      <c r="D1300">
        <v>29190000</v>
      </c>
      <c r="E1300" t="s">
        <v>388</v>
      </c>
      <c r="F1300" t="s">
        <v>1064</v>
      </c>
      <c r="G1300" t="str">
        <f>_xlfn.TEXTJOIN(",",TRUE,_xlfn._xlws.FILTER(GPU_brand[GPU brand], (GPU_brand[GPU brand text]&lt;&gt;"") * ISNUMBER(SEARCH(GPU_brand[GPU brand text], B1300)), ""))</f>
        <v>ASUS</v>
      </c>
      <c r="H1300" t="str">
        <f>_xlfn.TEXTJOIN(",",TRUE,_xlfn._xlws.FILTER(Chipset_Table[Chipset], (Chipset_Table[Chipset text]&lt;&gt;"") * ISNUMBER(SEARCH(Chipset_Table[Chipset text], B1300)), ""))</f>
        <v>GeForce RTX 4070 Ti SUPER,GeForce RTX 4070</v>
      </c>
      <c r="I1300" t="str">
        <f>_xlfn.TEXTJOIN(",",TRUE,_xlfn._xlws.FILTER(VRAM_table[Video memory], (VRAM_table[Video memory text]&lt;&gt;"") * ISNUMBER(SEARCH(VRAM_table[Video memory text], B1300)), ""))</f>
        <v>16GB,16GB,6GB,6GB</v>
      </c>
    </row>
    <row r="1301" spans="1:9" x14ac:dyDescent="0.35">
      <c r="A1301" t="s">
        <v>9</v>
      </c>
      <c r="B1301" t="s">
        <v>389</v>
      </c>
      <c r="C1301">
        <v>5990000</v>
      </c>
      <c r="D1301">
        <v>5090000</v>
      </c>
      <c r="E1301" t="s">
        <v>390</v>
      </c>
      <c r="F1301" t="s">
        <v>1064</v>
      </c>
      <c r="G1301" t="str">
        <f>_xlfn.TEXTJOIN(",",TRUE,_xlfn._xlws.FILTER(GPU_brand[GPU brand], (GPU_brand[GPU brand text]&lt;&gt;"") * ISNUMBER(SEARCH(GPU_brand[GPU brand text], B1301)), ""))</f>
        <v>Gigabyte</v>
      </c>
      <c r="H1301" t="str">
        <f>_xlfn.TEXTJOIN(",",TRUE,_xlfn._xlws.FILTER(Chipset_Table[Chipset], (Chipset_Table[Chipset text]&lt;&gt;"") * ISNUMBER(SEARCH(Chipset_Table[Chipset text], B1301)), ""))</f>
        <v>GeForce RTX 3050</v>
      </c>
      <c r="I1301" t="str">
        <f>_xlfn.TEXTJOIN(",",TRUE,_xlfn._xlws.FILTER(VRAM_table[Video memory], (VRAM_table[Video memory text]&lt;&gt;"") * ISNUMBER(SEARCH(VRAM_table[Video memory text], B1301)), ""))</f>
        <v>6GB</v>
      </c>
    </row>
    <row r="1302" spans="1:9" x14ac:dyDescent="0.35">
      <c r="A1302" t="s">
        <v>9</v>
      </c>
      <c r="B1302" t="s">
        <v>391</v>
      </c>
      <c r="C1302">
        <v>18990000</v>
      </c>
      <c r="D1302">
        <v>17390000</v>
      </c>
      <c r="E1302" t="s">
        <v>392</v>
      </c>
      <c r="F1302" t="s">
        <v>1064</v>
      </c>
      <c r="G1302" t="str">
        <f>_xlfn.TEXTJOIN(",",TRUE,_xlfn._xlws.FILTER(GPU_brand[GPU brand], (GPU_brand[GPU brand text]&lt;&gt;"") * ISNUMBER(SEARCH(GPU_brand[GPU brand text], B1302)), ""))</f>
        <v>MSI</v>
      </c>
      <c r="H1302" t="str">
        <f>_xlfn.TEXTJOIN(",",TRUE,_xlfn._xlws.FILTER(Chipset_Table[Chipset], (Chipset_Table[Chipset text]&lt;&gt;"") * ISNUMBER(SEARCH(Chipset_Table[Chipset text], B1302)), ""))</f>
        <v>GeForce RTX 4070</v>
      </c>
      <c r="I1302" t="str">
        <f>_xlfn.TEXTJOIN(",",TRUE,_xlfn._xlws.FILTER(VRAM_table[Video memory], (VRAM_table[Video memory text]&lt;&gt;"") * ISNUMBER(SEARCH(VRAM_table[Video memory text], B1302)), ""))</f>
        <v>12GB,2GB</v>
      </c>
    </row>
    <row r="1303" spans="1:9" x14ac:dyDescent="0.35">
      <c r="A1303" t="s">
        <v>9</v>
      </c>
      <c r="B1303" t="s">
        <v>393</v>
      </c>
      <c r="C1303">
        <v>0</v>
      </c>
      <c r="D1303">
        <v>27990000</v>
      </c>
      <c r="E1303" t="s">
        <v>394</v>
      </c>
      <c r="F1303" t="s">
        <v>1064</v>
      </c>
      <c r="G1303" t="str">
        <f>_xlfn.TEXTJOIN(",",TRUE,_xlfn._xlws.FILTER(GPU_brand[GPU brand], (GPU_brand[GPU brand text]&lt;&gt;"") * ISNUMBER(SEARCH(GPU_brand[GPU brand text], B1303)), ""))</f>
        <v>Gigabyte</v>
      </c>
      <c r="H1303" t="str">
        <f>_xlfn.TEXTJOIN(",",TRUE,_xlfn._xlws.FILTER(Chipset_Table[Chipset], (Chipset_Table[Chipset text]&lt;&gt;"") * ISNUMBER(SEARCH(Chipset_Table[Chipset text], B1303)), ""))</f>
        <v>GeForce RTX 4070</v>
      </c>
      <c r="I1303" t="str">
        <f>_xlfn.TEXTJOIN(",",TRUE,_xlfn._xlws.FILTER(VRAM_table[Video memory], (VRAM_table[Video memory text]&lt;&gt;"") * ISNUMBER(SEARCH(VRAM_table[Video memory text], B1303)), ""))</f>
        <v>12GB,2GB</v>
      </c>
    </row>
    <row r="1304" spans="1:9" x14ac:dyDescent="0.35">
      <c r="A1304" t="s">
        <v>9</v>
      </c>
      <c r="B1304" t="s">
        <v>395</v>
      </c>
      <c r="C1304">
        <v>0</v>
      </c>
      <c r="D1304">
        <v>19490000</v>
      </c>
      <c r="E1304" t="s">
        <v>396</v>
      </c>
      <c r="F1304" t="s">
        <v>1064</v>
      </c>
      <c r="G1304" t="str">
        <f>_xlfn.TEXTJOIN(",",TRUE,_xlfn._xlws.FILTER(GPU_brand[GPU brand], (GPU_brand[GPU brand text]&lt;&gt;"") * ISNUMBER(SEARCH(GPU_brand[GPU brand text], B1304)), ""))</f>
        <v>MSI</v>
      </c>
      <c r="H1304" t="str">
        <f>_xlfn.TEXTJOIN(",",TRUE,_xlfn._xlws.FILTER(Chipset_Table[Chipset], (Chipset_Table[Chipset text]&lt;&gt;"") * ISNUMBER(SEARCH(Chipset_Table[Chipset text], B1304)), ""))</f>
        <v>GeForce RTX 4070 SUPER,GeForce RTX 4070</v>
      </c>
      <c r="I1304" t="str">
        <f>_xlfn.TEXTJOIN(",",TRUE,_xlfn._xlws.FILTER(VRAM_table[Video memory], (VRAM_table[Video memory text]&lt;&gt;"") * ISNUMBER(SEARCH(VRAM_table[Video memory text], B1304)), ""))</f>
        <v>12GB,2GB</v>
      </c>
    </row>
    <row r="1305" spans="1:9" x14ac:dyDescent="0.35">
      <c r="A1305" t="s">
        <v>9</v>
      </c>
      <c r="B1305" t="s">
        <v>397</v>
      </c>
      <c r="C1305">
        <v>0</v>
      </c>
      <c r="D1305">
        <v>21490000</v>
      </c>
      <c r="E1305" t="s">
        <v>398</v>
      </c>
      <c r="F1305" t="s">
        <v>1064</v>
      </c>
      <c r="G1305" t="str">
        <f>_xlfn.TEXTJOIN(",",TRUE,_xlfn._xlws.FILTER(GPU_brand[GPU brand], (GPU_brand[GPU brand text]&lt;&gt;"") * ISNUMBER(SEARCH(GPU_brand[GPU brand text], B1305)), ""))</f>
        <v>Gigabyte</v>
      </c>
      <c r="H1305" t="str">
        <f>_xlfn.TEXTJOIN(",",TRUE,_xlfn._xlws.FILTER(Chipset_Table[Chipset], (Chipset_Table[Chipset text]&lt;&gt;"") * ISNUMBER(SEARCH(Chipset_Table[Chipset text], B1305)), ""))</f>
        <v>GeForce RTX 4070 SUPER,GeForce RTX 4070</v>
      </c>
      <c r="I1305" t="str">
        <f>_xlfn.TEXTJOIN(",",TRUE,_xlfn._xlws.FILTER(VRAM_table[Video memory], (VRAM_table[Video memory text]&lt;&gt;"") * ISNUMBER(SEARCH(VRAM_table[Video memory text], B1305)), ""))</f>
        <v>12GB,2GB</v>
      </c>
    </row>
    <row r="1306" spans="1:9" x14ac:dyDescent="0.35">
      <c r="A1306" t="s">
        <v>9</v>
      </c>
      <c r="B1306" t="s">
        <v>399</v>
      </c>
      <c r="C1306">
        <v>0</v>
      </c>
      <c r="D1306">
        <v>59990000</v>
      </c>
      <c r="E1306" t="s">
        <v>400</v>
      </c>
      <c r="F1306" t="s">
        <v>1064</v>
      </c>
      <c r="G1306" t="str">
        <f>_xlfn.TEXTJOIN(",",TRUE,_xlfn._xlws.FILTER(GPU_brand[GPU brand], (GPU_brand[GPU brand text]&lt;&gt;"") * ISNUMBER(SEARCH(GPU_brand[GPU brand text], B1306)), ""))</f>
        <v>Gigabyte</v>
      </c>
      <c r="H1306" t="str">
        <f>_xlfn.TEXTJOIN(",",TRUE,_xlfn._xlws.FILTER(Chipset_Table[Chipset], (Chipset_Table[Chipset text]&lt;&gt;"") * ISNUMBER(SEARCH(Chipset_Table[Chipset text], B1306)), ""))</f>
        <v>GeForce RTX 4090</v>
      </c>
      <c r="I1306" t="str">
        <f>_xlfn.TEXTJOIN(",",TRUE,_xlfn._xlws.FILTER(VRAM_table[Video memory], (VRAM_table[Video memory text]&lt;&gt;"") * ISNUMBER(SEARCH(VRAM_table[Video memory text], B1306)), ""))</f>
        <v>24GB,4GB</v>
      </c>
    </row>
    <row r="1307" spans="1:9" x14ac:dyDescent="0.35">
      <c r="A1307" t="s">
        <v>9</v>
      </c>
      <c r="B1307" t="s">
        <v>401</v>
      </c>
      <c r="C1307">
        <v>20990000</v>
      </c>
      <c r="D1307">
        <v>17990000</v>
      </c>
      <c r="E1307" t="s">
        <v>402</v>
      </c>
      <c r="F1307" t="s">
        <v>1064</v>
      </c>
      <c r="G1307" t="str">
        <f>_xlfn.TEXTJOIN(",",TRUE,_xlfn._xlws.FILTER(GPU_brand[GPU brand], (GPU_brand[GPU brand text]&lt;&gt;"") * ISNUMBER(SEARCH(GPU_brand[GPU brand text], B1307)), ""))</f>
        <v>MSI</v>
      </c>
      <c r="H1307" t="str">
        <f>_xlfn.TEXTJOIN(",",TRUE,_xlfn._xlws.FILTER(Chipset_Table[Chipset], (Chipset_Table[Chipset text]&lt;&gt;"") * ISNUMBER(SEARCH(Chipset_Table[Chipset text], B1307)), ""))</f>
        <v>GeForce RTX 4070</v>
      </c>
      <c r="I1307" t="str">
        <f>_xlfn.TEXTJOIN(",",TRUE,_xlfn._xlws.FILTER(VRAM_table[Video memory], (VRAM_table[Video memory text]&lt;&gt;"") * ISNUMBER(SEARCH(VRAM_table[Video memory text], B1307)), ""))</f>
        <v>12GB,2GB</v>
      </c>
    </row>
    <row r="1308" spans="1:9" x14ac:dyDescent="0.35">
      <c r="A1308" t="s">
        <v>9</v>
      </c>
      <c r="B1308" t="s">
        <v>403</v>
      </c>
      <c r="C1308">
        <v>27990000</v>
      </c>
      <c r="D1308">
        <v>24990000</v>
      </c>
      <c r="E1308" t="s">
        <v>404</v>
      </c>
      <c r="F1308" t="s">
        <v>1064</v>
      </c>
      <c r="G1308" t="str">
        <f>_xlfn.TEXTJOIN(",",TRUE,_xlfn._xlws.FILTER(GPU_brand[GPU brand], (GPU_brand[GPU brand text]&lt;&gt;"") * ISNUMBER(SEARCH(GPU_brand[GPU brand text], B1308)), ""))</f>
        <v>MSI</v>
      </c>
      <c r="H1308" t="str">
        <f>_xlfn.TEXTJOIN(",",TRUE,_xlfn._xlws.FILTER(Chipset_Table[Chipset], (Chipset_Table[Chipset text]&lt;&gt;"") * ISNUMBER(SEARCH(Chipset_Table[Chipset text], B1308)), ""))</f>
        <v>GeForce RTX 4070</v>
      </c>
      <c r="I1308" t="str">
        <f>_xlfn.TEXTJOIN(",",TRUE,_xlfn._xlws.FILTER(VRAM_table[Video memory], (VRAM_table[Video memory text]&lt;&gt;"") * ISNUMBER(SEARCH(VRAM_table[Video memory text], B1308)), ""))</f>
        <v>12GB,2GB</v>
      </c>
    </row>
    <row r="1309" spans="1:9" x14ac:dyDescent="0.35">
      <c r="A1309" t="s">
        <v>9</v>
      </c>
      <c r="B1309" t="s">
        <v>405</v>
      </c>
      <c r="C1309">
        <v>5690000</v>
      </c>
      <c r="D1309">
        <v>5190000</v>
      </c>
      <c r="E1309" t="s">
        <v>406</v>
      </c>
      <c r="F1309" t="s">
        <v>1064</v>
      </c>
      <c r="G1309" t="str">
        <f>_xlfn.TEXTJOIN(",",TRUE,_xlfn._xlws.FILTER(GPU_brand[GPU brand], (GPU_brand[GPU brand text]&lt;&gt;"") * ISNUMBER(SEARCH(GPU_brand[GPU brand text], B1309)), ""))</f>
        <v>Colorful</v>
      </c>
      <c r="H1309" t="str">
        <f>_xlfn.TEXTJOIN(",",TRUE,_xlfn._xlws.FILTER(Chipset_Table[Chipset], (Chipset_Table[Chipset text]&lt;&gt;"") * ISNUMBER(SEARCH(Chipset_Table[Chipset text], B1309)), ""))</f>
        <v>GeForce GTX 1660 SUPER,GeForce GTX 1660, GTX 1660 Super</v>
      </c>
      <c r="I1309" t="str">
        <f>_xlfn.TEXTJOIN(",",TRUE,_xlfn._xlws.FILTER(VRAM_table[Video memory], (VRAM_table[Video memory text]&lt;&gt;"") * ISNUMBER(SEARCH(VRAM_table[Video memory text], B1309)), ""))</f>
        <v>6GB</v>
      </c>
    </row>
    <row r="1310" spans="1:9" x14ac:dyDescent="0.35">
      <c r="A1310" t="s">
        <v>9</v>
      </c>
      <c r="B1310" t="s">
        <v>408</v>
      </c>
      <c r="C1310">
        <v>4490000</v>
      </c>
      <c r="D1310">
        <v>3790000</v>
      </c>
      <c r="E1310" t="s">
        <v>409</v>
      </c>
      <c r="F1310" t="s">
        <v>1064</v>
      </c>
      <c r="G1310" t="str">
        <f>_xlfn.TEXTJOIN(",",TRUE,_xlfn._xlws.FILTER(GPU_brand[GPU brand], (GPU_brand[GPU brand text]&lt;&gt;"") * ISNUMBER(SEARCH(GPU_brand[GPU brand text], B1310)), ""))</f>
        <v>Colorful</v>
      </c>
      <c r="H1310" t="str">
        <f>_xlfn.TEXTJOIN(",",TRUE,_xlfn._xlws.FILTER(Chipset_Table[Chipset], (Chipset_Table[Chipset text]&lt;&gt;"") * ISNUMBER(SEARCH(Chipset_Table[Chipset text], B1310)), ""))</f>
        <v>GeForce GTX 1650,GTX 1650</v>
      </c>
      <c r="I1310" t="str">
        <f>_xlfn.TEXTJOIN(",",TRUE,_xlfn._xlws.FILTER(VRAM_table[Video memory], (VRAM_table[Video memory text]&lt;&gt;"") * ISNUMBER(SEARCH(VRAM_table[Video memory text], B1310)), ""))</f>
        <v>4GB</v>
      </c>
    </row>
    <row r="1311" spans="1:9" x14ac:dyDescent="0.35">
      <c r="A1311" t="s">
        <v>9</v>
      </c>
      <c r="B1311" t="s">
        <v>410</v>
      </c>
      <c r="C1311">
        <v>0</v>
      </c>
      <c r="D1311">
        <v>19290000</v>
      </c>
      <c r="E1311" t="s">
        <v>411</v>
      </c>
      <c r="F1311" t="s">
        <v>1064</v>
      </c>
      <c r="G1311" t="str">
        <f>_xlfn.TEXTJOIN(",",TRUE,_xlfn._xlws.FILTER(GPU_brand[GPU brand], (GPU_brand[GPU brand text]&lt;&gt;"") * ISNUMBER(SEARCH(GPU_brand[GPU brand text], B1311)), ""))</f>
        <v>Gigabyte</v>
      </c>
      <c r="H1311" t="str">
        <f>_xlfn.TEXTJOIN(",",TRUE,_xlfn._xlws.FILTER(Chipset_Table[Chipset], (Chipset_Table[Chipset text]&lt;&gt;"") * ISNUMBER(SEARCH(Chipset_Table[Chipset text], B1311)), ""))</f>
        <v>GeForce RTX 4070</v>
      </c>
      <c r="I1311" t="str">
        <f>_xlfn.TEXTJOIN(",",TRUE,_xlfn._xlws.FILTER(VRAM_table[Video memory], (VRAM_table[Video memory text]&lt;&gt;"") * ISNUMBER(SEARCH(VRAM_table[Video memory text], B1311)), ""))</f>
        <v>12GB,2GB</v>
      </c>
    </row>
    <row r="1312" spans="1:9" x14ac:dyDescent="0.35">
      <c r="A1312" t="s">
        <v>9</v>
      </c>
      <c r="B1312" t="s">
        <v>412</v>
      </c>
      <c r="C1312">
        <v>22190000</v>
      </c>
      <c r="D1312">
        <v>19990000</v>
      </c>
      <c r="E1312" t="s">
        <v>413</v>
      </c>
      <c r="F1312" t="s">
        <v>1064</v>
      </c>
      <c r="G1312" t="str">
        <f>_xlfn.TEXTJOIN(",",TRUE,_xlfn._xlws.FILTER(GPU_brand[GPU brand], (GPU_brand[GPU brand text]&lt;&gt;"") * ISNUMBER(SEARCH(GPU_brand[GPU brand text], B1312)), ""))</f>
        <v>Colorful</v>
      </c>
      <c r="H1312" t="str">
        <f>_xlfn.TEXTJOIN(",",TRUE,_xlfn._xlws.FILTER(Chipset_Table[Chipset], (Chipset_Table[Chipset text]&lt;&gt;"") * ISNUMBER(SEARCH(Chipset_Table[Chipset text], B1312)), ""))</f>
        <v>GeForce RTX 4070</v>
      </c>
      <c r="I1312" t="str">
        <f>_xlfn.TEXTJOIN(",",TRUE,_xlfn._xlws.FILTER(VRAM_table[Video memory], (VRAM_table[Video memory text]&lt;&gt;"") * ISNUMBER(SEARCH(VRAM_table[Video memory text], B1312)), ""))</f>
        <v>12GB,2GB</v>
      </c>
    </row>
    <row r="1313" spans="1:9" x14ac:dyDescent="0.35">
      <c r="A1313" t="s">
        <v>9</v>
      </c>
      <c r="B1313" t="s">
        <v>414</v>
      </c>
      <c r="C1313">
        <v>9490000</v>
      </c>
      <c r="D1313">
        <v>9290000</v>
      </c>
      <c r="E1313" t="s">
        <v>415</v>
      </c>
      <c r="F1313" t="s">
        <v>1064</v>
      </c>
      <c r="G1313" t="str">
        <f>_xlfn.TEXTJOIN(",",TRUE,_xlfn._xlws.FILTER(GPU_brand[GPU brand], (GPU_brand[GPU brand text]&lt;&gt;"") * ISNUMBER(SEARCH(GPU_brand[GPU brand text], B1313)), ""))</f>
        <v>Gigabyte</v>
      </c>
      <c r="H1313" t="str">
        <f>_xlfn.TEXTJOIN(",",TRUE,_xlfn._xlws.FILTER(Chipset_Table[Chipset], (Chipset_Table[Chipset text]&lt;&gt;"") * ISNUMBER(SEARCH(Chipset_Table[Chipset text], B1313)), ""))</f>
        <v>GeForce RTX 4060</v>
      </c>
      <c r="I1313" t="str">
        <f>_xlfn.TEXTJOIN(",",TRUE,_xlfn._xlws.FILTER(VRAM_table[Video memory], (VRAM_table[Video memory text]&lt;&gt;"") * ISNUMBER(SEARCH(VRAM_table[Video memory text], B1313)), ""))</f>
        <v>8GB</v>
      </c>
    </row>
    <row r="1314" spans="1:9" x14ac:dyDescent="0.35">
      <c r="A1314" t="s">
        <v>9</v>
      </c>
      <c r="B1314" t="s">
        <v>416</v>
      </c>
      <c r="C1314">
        <v>4990000</v>
      </c>
      <c r="D1314">
        <v>3690000</v>
      </c>
      <c r="E1314" t="s">
        <v>417</v>
      </c>
      <c r="F1314" t="s">
        <v>1064</v>
      </c>
      <c r="G1314" t="str">
        <f>_xlfn.TEXTJOIN(",",TRUE,_xlfn._xlws.FILTER(GPU_brand[GPU brand], (GPU_brand[GPU brand text]&lt;&gt;"") * ISNUMBER(SEARCH(GPU_brand[GPU brand text], B1314)), ""))</f>
        <v>ASUS</v>
      </c>
      <c r="H1314" t="str">
        <f>_xlfn.TEXTJOIN(",",TRUE,_xlfn._xlws.FILTER(Chipset_Table[Chipset], (Chipset_Table[Chipset text]&lt;&gt;"") * ISNUMBER(SEARCH(Chipset_Table[Chipset text], B1314)), ""))</f>
        <v>GeForce GTX 1650,GTX 1650</v>
      </c>
      <c r="I1314" t="str">
        <f>_xlfn.TEXTJOIN(",",TRUE,_xlfn._xlws.FILTER(VRAM_table[Video memory], (VRAM_table[Video memory text]&lt;&gt;"") * ISNUMBER(SEARCH(VRAM_table[Video memory text], B1314)), ""))</f>
        <v>4GB,4GB</v>
      </c>
    </row>
    <row r="1315" spans="1:9" x14ac:dyDescent="0.35">
      <c r="A1315" t="s">
        <v>9</v>
      </c>
      <c r="B1315" t="s">
        <v>418</v>
      </c>
      <c r="C1315">
        <v>0</v>
      </c>
      <c r="D1315">
        <v>15990000</v>
      </c>
      <c r="E1315" t="s">
        <v>419</v>
      </c>
      <c r="F1315" t="s">
        <v>1064</v>
      </c>
      <c r="G1315" t="str">
        <f>_xlfn.TEXTJOIN(",",TRUE,_xlfn._xlws.FILTER(GPU_brand[GPU brand], (GPU_brand[GPU brand text]&lt;&gt;"") * ISNUMBER(SEARCH(GPU_brand[GPU brand text], B1315)), ""))</f>
        <v>Gigabyte</v>
      </c>
      <c r="H1315" t="str">
        <f>_xlfn.TEXTJOIN(",",TRUE,_xlfn._xlws.FILTER(Chipset_Table[Chipset], (Chipset_Table[Chipset text]&lt;&gt;"") * ISNUMBER(SEARCH(Chipset_Table[Chipset text], B1315)), ""))</f>
        <v>GeForce RTX 4060</v>
      </c>
      <c r="I1315" t="str">
        <f>_xlfn.TEXTJOIN(",",TRUE,_xlfn._xlws.FILTER(VRAM_table[Video memory], (VRAM_table[Video memory text]&lt;&gt;"") * ISNUMBER(SEARCH(VRAM_table[Video memory text], B1315)), ""))</f>
        <v>16GB,6GB</v>
      </c>
    </row>
    <row r="1316" spans="1:9" x14ac:dyDescent="0.35">
      <c r="A1316" t="s">
        <v>9</v>
      </c>
      <c r="B1316" t="s">
        <v>420</v>
      </c>
      <c r="C1316">
        <v>4190000</v>
      </c>
      <c r="D1316">
        <v>3790000</v>
      </c>
      <c r="E1316" t="s">
        <v>421</v>
      </c>
      <c r="F1316" t="s">
        <v>1064</v>
      </c>
      <c r="G1316" t="str">
        <f>_xlfn.TEXTJOIN(",",TRUE,_xlfn._xlws.FILTER(GPU_brand[GPU brand], (GPU_brand[GPU brand text]&lt;&gt;"") * ISNUMBER(SEARCH(GPU_brand[GPU brand text], B1316)), ""))</f>
        <v>MSI</v>
      </c>
      <c r="H1316" t="str">
        <f>_xlfn.TEXTJOIN(",",TRUE,_xlfn._xlws.FILTER(Chipset_Table[Chipset], (Chipset_Table[Chipset text]&lt;&gt;"") * ISNUMBER(SEARCH(Chipset_Table[Chipset text], B1316)), ""))</f>
        <v>GeForce GTX 1650,GTX 1650</v>
      </c>
      <c r="I1316" t="str">
        <f>_xlfn.TEXTJOIN(",",TRUE,_xlfn._xlws.FILTER(VRAM_table[Video memory], (VRAM_table[Video memory text]&lt;&gt;"") * ISNUMBER(SEARCH(VRAM_table[Video memory text], B1316)), ""))</f>
        <v>4GB,4GB</v>
      </c>
    </row>
    <row r="1317" spans="1:9" x14ac:dyDescent="0.35">
      <c r="A1317" t="s">
        <v>9</v>
      </c>
      <c r="B1317" t="s">
        <v>422</v>
      </c>
      <c r="C1317">
        <v>5990000</v>
      </c>
      <c r="D1317">
        <v>3890000</v>
      </c>
      <c r="E1317" t="s">
        <v>423</v>
      </c>
      <c r="F1317" t="s">
        <v>1064</v>
      </c>
      <c r="G1317" t="str">
        <f>_xlfn.TEXTJOIN(",",TRUE,_xlfn._xlws.FILTER(GPU_brand[GPU brand], (GPU_brand[GPU brand text]&lt;&gt;"") * ISNUMBER(SEARCH(GPU_brand[GPU brand text], B1317)), ""))</f>
        <v>ASUS</v>
      </c>
      <c r="H1317" t="str">
        <f>_xlfn.TEXTJOIN(",",TRUE,_xlfn._xlws.FILTER(Chipset_Table[Chipset], (Chipset_Table[Chipset text]&lt;&gt;"") * ISNUMBER(SEARCH(Chipset_Table[Chipset text], B1317)), ""))</f>
        <v>GeForce GTX 1650,GTX 1650</v>
      </c>
      <c r="I1317" t="str">
        <f>_xlfn.TEXTJOIN(",",TRUE,_xlfn._xlws.FILTER(VRAM_table[Video memory], (VRAM_table[Video memory text]&lt;&gt;"") * ISNUMBER(SEARCH(VRAM_table[Video memory text], B1317)), ""))</f>
        <v>4GB,4GB</v>
      </c>
    </row>
    <row r="1318" spans="1:9" x14ac:dyDescent="0.35">
      <c r="A1318" t="s">
        <v>9</v>
      </c>
      <c r="B1318" t="s">
        <v>424</v>
      </c>
      <c r="C1318">
        <v>11990000</v>
      </c>
      <c r="D1318">
        <v>10990000</v>
      </c>
      <c r="E1318" t="s">
        <v>425</v>
      </c>
      <c r="F1318" t="s">
        <v>1064</v>
      </c>
      <c r="G1318" t="str">
        <f>_xlfn.TEXTJOIN(",",TRUE,_xlfn._xlws.FILTER(GPU_brand[GPU brand], (GPU_brand[GPU brand text]&lt;&gt;"") * ISNUMBER(SEARCH(GPU_brand[GPU brand text], B1318)), ""))</f>
        <v>ASUS</v>
      </c>
      <c r="H1318" t="str">
        <f>_xlfn.TEXTJOIN(",",TRUE,_xlfn._xlws.FILTER(Chipset_Table[Chipset], (Chipset_Table[Chipset text]&lt;&gt;"") * ISNUMBER(SEARCH(Chipset_Table[Chipset text], B1318)), ""))</f>
        <v>GeForce RTX 4060</v>
      </c>
      <c r="I1318" t="str">
        <f>_xlfn.TEXTJOIN(",",TRUE,_xlfn._xlws.FILTER(VRAM_table[Video memory], (VRAM_table[Video memory text]&lt;&gt;"") * ISNUMBER(SEARCH(VRAM_table[Video memory text], B1318)), ""))</f>
        <v>8GB,8GB</v>
      </c>
    </row>
    <row r="1319" spans="1:9" x14ac:dyDescent="0.35">
      <c r="A1319" t="s">
        <v>9</v>
      </c>
      <c r="B1319" t="s">
        <v>426</v>
      </c>
      <c r="C1319">
        <v>0</v>
      </c>
      <c r="D1319">
        <v>61990000</v>
      </c>
      <c r="E1319" t="s">
        <v>427</v>
      </c>
      <c r="F1319" t="s">
        <v>1064</v>
      </c>
      <c r="G1319" t="s">
        <v>1065</v>
      </c>
      <c r="H1319" t="s">
        <v>1066</v>
      </c>
      <c r="I1319">
        <v>24</v>
      </c>
    </row>
    <row r="1320" spans="1:9" x14ac:dyDescent="0.35">
      <c r="A1320" t="s">
        <v>9</v>
      </c>
      <c r="B1320" t="s">
        <v>428</v>
      </c>
      <c r="C1320">
        <v>0</v>
      </c>
      <c r="D1320">
        <v>19390000</v>
      </c>
      <c r="E1320" t="s">
        <v>429</v>
      </c>
      <c r="F1320" t="s">
        <v>1064</v>
      </c>
      <c r="G1320" t="str">
        <f>_xlfn.TEXTJOIN(",",TRUE,_xlfn._xlws.FILTER(GPU_brand[GPU brand], (GPU_brand[GPU brand text]&lt;&gt;"") * ISNUMBER(SEARCH(GPU_brand[GPU brand text], B1320)), ""))</f>
        <v>MSI</v>
      </c>
      <c r="H1320" t="str">
        <f>_xlfn.TEXTJOIN(",",TRUE,_xlfn._xlws.FILTER(Chipset_Table[Chipset], (Chipset_Table[Chipset text]&lt;&gt;"") * ISNUMBER(SEARCH(Chipset_Table[Chipset text], B1320)), ""))</f>
        <v>GeForce RTX 4070</v>
      </c>
      <c r="I1320" t="str">
        <f>_xlfn.TEXTJOIN(",",TRUE,_xlfn._xlws.FILTER(VRAM_table[Video memory], (VRAM_table[Video memory text]&lt;&gt;"") * ISNUMBER(SEARCH(VRAM_table[Video memory text], B1320)), ""))</f>
        <v>12GB,2GB</v>
      </c>
    </row>
    <row r="1321" spans="1:9" x14ac:dyDescent="0.35">
      <c r="A1321" t="s">
        <v>9</v>
      </c>
      <c r="B1321" t="s">
        <v>430</v>
      </c>
      <c r="C1321">
        <v>107000000</v>
      </c>
      <c r="D1321">
        <v>98990000</v>
      </c>
      <c r="E1321" t="s">
        <v>431</v>
      </c>
      <c r="F1321" t="s">
        <v>1064</v>
      </c>
      <c r="G1321" t="s">
        <v>1065</v>
      </c>
      <c r="H1321" t="s">
        <v>1066</v>
      </c>
      <c r="I1321">
        <v>24</v>
      </c>
    </row>
    <row r="1322" spans="1:9" x14ac:dyDescent="0.35">
      <c r="A1322" t="s">
        <v>9</v>
      </c>
      <c r="B1322" t="s">
        <v>432</v>
      </c>
      <c r="C1322">
        <v>15990000</v>
      </c>
      <c r="D1322">
        <v>15490000</v>
      </c>
      <c r="E1322" t="s">
        <v>433</v>
      </c>
      <c r="F1322" t="s">
        <v>1064</v>
      </c>
      <c r="G1322" t="str">
        <f>_xlfn.TEXTJOIN(",",TRUE,_xlfn._xlws.FILTER(GPU_brand[GPU brand], (GPU_brand[GPU brand text]&lt;&gt;"") * ISNUMBER(SEARCH(GPU_brand[GPU brand text], B1322)), ""))</f>
        <v>ASUS</v>
      </c>
      <c r="H1322" t="str">
        <f>_xlfn.TEXTJOIN(",",TRUE,_xlfn._xlws.FILTER(Chipset_Table[Chipset], (Chipset_Table[Chipset text]&lt;&gt;"") * ISNUMBER(SEARCH(Chipset_Table[Chipset text], B1322)), ""))</f>
        <v>GeForce RTX 4060</v>
      </c>
      <c r="I1322" t="str">
        <f>_xlfn.TEXTJOIN(",",TRUE,_xlfn._xlws.FILTER(VRAM_table[Video memory], (VRAM_table[Video memory text]&lt;&gt;"") * ISNUMBER(SEARCH(VRAM_table[Video memory text], B1322)), ""))</f>
        <v>16GB,16GB,6GB,6GB</v>
      </c>
    </row>
    <row r="1323" spans="1:9" x14ac:dyDescent="0.35">
      <c r="A1323" t="s">
        <v>9</v>
      </c>
      <c r="B1323" t="s">
        <v>434</v>
      </c>
      <c r="C1323">
        <v>6490000</v>
      </c>
      <c r="D1323">
        <v>5790000</v>
      </c>
      <c r="E1323" t="s">
        <v>435</v>
      </c>
      <c r="F1323" t="s">
        <v>1064</v>
      </c>
      <c r="G1323" t="str">
        <f>_xlfn.TEXTJOIN(",",TRUE,_xlfn._xlws.FILTER(GPU_brand[GPU brand], (GPU_brand[GPU brand text]&lt;&gt;"") * ISNUMBER(SEARCH(GPU_brand[GPU brand text], B1323)), ""))</f>
        <v>Gigabyte</v>
      </c>
      <c r="H1323" t="str">
        <f>_xlfn.TEXTJOIN(",",TRUE,_xlfn._xlws.FILTER(Chipset_Table[Chipset], (Chipset_Table[Chipset text]&lt;&gt;"") * ISNUMBER(SEARCH(Chipset_Table[Chipset text], B1323)), ""))</f>
        <v>GeForce RTX 3050</v>
      </c>
      <c r="I1323" t="str">
        <f>_xlfn.TEXTJOIN(",",TRUE,_xlfn._xlws.FILTER(VRAM_table[Video memory], (VRAM_table[Video memory text]&lt;&gt;"") * ISNUMBER(SEARCH(VRAM_table[Video memory text], B1323)), ""))</f>
        <v>8GB</v>
      </c>
    </row>
    <row r="1324" spans="1:9" x14ac:dyDescent="0.35">
      <c r="A1324" t="s">
        <v>9</v>
      </c>
      <c r="B1324" t="s">
        <v>436</v>
      </c>
      <c r="C1324">
        <v>60990000</v>
      </c>
      <c r="D1324">
        <v>59990000</v>
      </c>
      <c r="E1324" t="s">
        <v>437</v>
      </c>
      <c r="F1324" t="s">
        <v>1064</v>
      </c>
      <c r="G1324" t="s">
        <v>1065</v>
      </c>
      <c r="H1324" t="s">
        <v>1066</v>
      </c>
      <c r="I1324">
        <v>24</v>
      </c>
    </row>
    <row r="1325" spans="1:9" x14ac:dyDescent="0.35">
      <c r="A1325" t="s">
        <v>9</v>
      </c>
      <c r="B1325" t="s">
        <v>438</v>
      </c>
      <c r="C1325">
        <v>9990000</v>
      </c>
      <c r="D1325">
        <v>9390000</v>
      </c>
      <c r="E1325" t="s">
        <v>439</v>
      </c>
      <c r="F1325" t="s">
        <v>1064</v>
      </c>
      <c r="G1325" t="str">
        <f>_xlfn.TEXTJOIN(",",TRUE,_xlfn._xlws.FILTER(GPU_brand[GPU brand], (GPU_brand[GPU brand text]&lt;&gt;"") * ISNUMBER(SEARCH(GPU_brand[GPU brand text], B1325)), ""))</f>
        <v>Gigabyte</v>
      </c>
      <c r="H1325" t="str">
        <f>_xlfn.TEXTJOIN(",",TRUE,_xlfn._xlws.FILTER(Chipset_Table[Chipset], (Chipset_Table[Chipset text]&lt;&gt;"") * ISNUMBER(SEARCH(Chipset_Table[Chipset text], B1325)), ""))</f>
        <v>GeForce RTX 4060</v>
      </c>
      <c r="I1325" t="str">
        <f>_xlfn.TEXTJOIN(",",TRUE,_xlfn._xlws.FILTER(VRAM_table[Video memory], (VRAM_table[Video memory text]&lt;&gt;"") * ISNUMBER(SEARCH(VRAM_table[Video memory text], B1325)), ""))</f>
        <v>8GB</v>
      </c>
    </row>
    <row r="1326" spans="1:9" x14ac:dyDescent="0.35">
      <c r="A1326" t="s">
        <v>9</v>
      </c>
      <c r="B1326" t="s">
        <v>440</v>
      </c>
      <c r="C1326">
        <v>11990000</v>
      </c>
      <c r="D1326">
        <v>10990000</v>
      </c>
      <c r="E1326" t="s">
        <v>441</v>
      </c>
      <c r="F1326" t="s">
        <v>1064</v>
      </c>
      <c r="G1326" t="str">
        <f>_xlfn.TEXTJOIN(",",TRUE,_xlfn._xlws.FILTER(GPU_brand[GPU brand], (GPU_brand[GPU brand text]&lt;&gt;"") * ISNUMBER(SEARCH(GPU_brand[GPU brand text], B1326)), ""))</f>
        <v>Gigabyte</v>
      </c>
      <c r="H1326" t="str">
        <f>_xlfn.TEXTJOIN(",",TRUE,_xlfn._xlws.FILTER(Chipset_Table[Chipset], (Chipset_Table[Chipset text]&lt;&gt;"") * ISNUMBER(SEARCH(Chipset_Table[Chipset text], B1326)), ""))</f>
        <v>GeForce RTX 4060</v>
      </c>
      <c r="I1326" t="str">
        <f>_xlfn.TEXTJOIN(",",TRUE,_xlfn._xlws.FILTER(VRAM_table[Video memory], (VRAM_table[Video memory text]&lt;&gt;"") * ISNUMBER(SEARCH(VRAM_table[Video memory text], B1326)), ""))</f>
        <v>8GB</v>
      </c>
    </row>
    <row r="1327" spans="1:9" x14ac:dyDescent="0.35">
      <c r="A1327" t="s">
        <v>9</v>
      </c>
      <c r="B1327" t="s">
        <v>442</v>
      </c>
      <c r="C1327">
        <v>3990000</v>
      </c>
      <c r="D1327">
        <v>3790000</v>
      </c>
      <c r="E1327" t="s">
        <v>443</v>
      </c>
      <c r="F1327" t="s">
        <v>1064</v>
      </c>
      <c r="G1327" t="str">
        <f>_xlfn.TEXTJOIN(",",TRUE,_xlfn._xlws.FILTER(GPU_brand[GPU brand], (GPU_brand[GPU brand text]&lt;&gt;"") * ISNUMBER(SEARCH(GPU_brand[GPU brand text], B1327)), ""))</f>
        <v>MSI</v>
      </c>
      <c r="H1327" t="str">
        <f>_xlfn.TEXTJOIN(",",TRUE,_xlfn._xlws.FILTER(Chipset_Table[Chipset], (Chipset_Table[Chipset text]&lt;&gt;"") * ISNUMBER(SEARCH(Chipset_Table[Chipset text], B1327)), ""))</f>
        <v>GeForce GTX 1650,GTX 1650</v>
      </c>
      <c r="I1327" t="str">
        <f>_xlfn.TEXTJOIN(",",TRUE,_xlfn._xlws.FILTER(VRAM_table[Video memory], (VRAM_table[Video memory text]&lt;&gt;"") * ISNUMBER(SEARCH(VRAM_table[Video memory text], B1327)), ""))</f>
        <v>4GB,4GB</v>
      </c>
    </row>
    <row r="1328" spans="1:9" x14ac:dyDescent="0.35">
      <c r="A1328" t="s">
        <v>9</v>
      </c>
      <c r="B1328" t="s">
        <v>444</v>
      </c>
      <c r="C1328">
        <v>0</v>
      </c>
      <c r="D1328">
        <v>12990000</v>
      </c>
      <c r="E1328" t="s">
        <v>445</v>
      </c>
      <c r="F1328" t="s">
        <v>1064</v>
      </c>
      <c r="G1328" t="str">
        <f>_xlfn.TEXTJOIN(",",TRUE,_xlfn._xlws.FILTER(GPU_brand[GPU brand], (GPU_brand[GPU brand text]&lt;&gt;"") * ISNUMBER(SEARCH(GPU_brand[GPU brand text], B1328)), ""))</f>
        <v>INNO3D</v>
      </c>
      <c r="H1328" t="str">
        <f>_xlfn.TEXTJOIN(",",TRUE,_xlfn._xlws.FILTER(Chipset_Table[Chipset], (Chipset_Table[Chipset text]&lt;&gt;"") * ISNUMBER(SEARCH(Chipset_Table[Chipset text], B1328)), ""))</f>
        <v>GeForce GTX 1660 SUPER,GeForce GTX 1660, GTX 1660 Super</v>
      </c>
      <c r="I1328" t="str">
        <f>_xlfn.TEXTJOIN(",",TRUE,_xlfn._xlws.FILTER(VRAM_table[Video memory], (VRAM_table[Video memory text]&lt;&gt;"") * ISNUMBER(SEARCH(VRAM_table[Video memory text], B1328)), ""))</f>
        <v>6GB,6GB</v>
      </c>
    </row>
    <row r="1329" spans="1:9" x14ac:dyDescent="0.35">
      <c r="A1329" t="s">
        <v>9</v>
      </c>
      <c r="B1329" t="s">
        <v>446</v>
      </c>
      <c r="C1329">
        <v>0</v>
      </c>
      <c r="D1329">
        <v>14490000</v>
      </c>
      <c r="E1329" t="s">
        <v>447</v>
      </c>
      <c r="F1329" t="s">
        <v>1064</v>
      </c>
      <c r="G1329" t="str">
        <f>_xlfn.TEXTJOIN(",",TRUE,_xlfn._xlws.FILTER(GPU_brand[GPU brand], (GPU_brand[GPU brand text]&lt;&gt;"") * ISNUMBER(SEARCH(GPU_brand[GPU brand text], B1329)), ""))</f>
        <v>Gigabyte</v>
      </c>
      <c r="H1329" t="str">
        <f>_xlfn.TEXTJOIN(",",TRUE,_xlfn._xlws.FILTER(Chipset_Table[Chipset], (Chipset_Table[Chipset text]&lt;&gt;"") * ISNUMBER(SEARCH(Chipset_Table[Chipset text], B1329)), ""))</f>
        <v>GeForce GTX 1660 SUPER,GeForce GTX 1660, GTX 1660 Super</v>
      </c>
      <c r="I1329" t="str">
        <f>_xlfn.TEXTJOIN(",",TRUE,_xlfn._xlws.FILTER(VRAM_table[Video memory], (VRAM_table[Video memory text]&lt;&gt;"") * ISNUMBER(SEARCH(VRAM_table[Video memory text], B1329)), ""))</f>
        <v>6GB</v>
      </c>
    </row>
    <row r="1330" spans="1:9" x14ac:dyDescent="0.35">
      <c r="A1330" t="s">
        <v>9</v>
      </c>
      <c r="B1330" t="s">
        <v>448</v>
      </c>
      <c r="C1330">
        <v>0</v>
      </c>
      <c r="D1330">
        <v>5090000</v>
      </c>
      <c r="E1330" t="s">
        <v>449</v>
      </c>
      <c r="F1330" t="s">
        <v>1064</v>
      </c>
      <c r="G1330" t="str">
        <f>_xlfn.TEXTJOIN(",",TRUE,_xlfn._xlws.FILTER(GPU_brand[GPU brand], (GPU_brand[GPU brand text]&lt;&gt;"") * ISNUMBER(SEARCH(GPU_brand[GPU brand text], B1330)), ""))</f>
        <v>ASUS</v>
      </c>
      <c r="H1330" t="str">
        <f>_xlfn.TEXTJOIN(",",TRUE,_xlfn._xlws.FILTER(Chipset_Table[Chipset], (Chipset_Table[Chipset text]&lt;&gt;"") * ISNUMBER(SEARCH(Chipset_Table[Chipset text], B1330)), ""))</f>
        <v>GeForce GTX 1660 SUPER,GeForce GTX 1660, GTX 1660 Super</v>
      </c>
      <c r="I1330" t="str">
        <f>_xlfn.TEXTJOIN(",",TRUE,_xlfn._xlws.FILTER(VRAM_table[Video memory], (VRAM_table[Video memory text]&lt;&gt;"") * ISNUMBER(SEARCH(VRAM_table[Video memory text], B1330)), ""))</f>
        <v>6GB,6GB</v>
      </c>
    </row>
    <row r="1331" spans="1:9" x14ac:dyDescent="0.35">
      <c r="A1331" t="s">
        <v>9</v>
      </c>
      <c r="B1331" t="s">
        <v>450</v>
      </c>
      <c r="C1331">
        <v>7990000</v>
      </c>
      <c r="D1331">
        <v>4390000</v>
      </c>
      <c r="E1331" t="s">
        <v>451</v>
      </c>
      <c r="F1331" t="s">
        <v>1064</v>
      </c>
      <c r="G1331" t="str">
        <f>_xlfn.TEXTJOIN(",",TRUE,_xlfn._xlws.FILTER(GPU_brand[GPU brand], (GPU_brand[GPU brand text]&lt;&gt;"") * ISNUMBER(SEARCH(GPU_brand[GPU brand text], B1331)), ""))</f>
        <v>ASUS</v>
      </c>
      <c r="H1331" t="str">
        <f>_xlfn.TEXTJOIN(",",TRUE,_xlfn._xlws.FILTER(Chipset_Table[Chipset], (Chipset_Table[Chipset text]&lt;&gt;"") * ISNUMBER(SEARCH(Chipset_Table[Chipset text], B1331)), ""))</f>
        <v>GeForce GTX 1650,GTX 1650</v>
      </c>
      <c r="I1331" t="str">
        <f>_xlfn.TEXTJOIN(",",TRUE,_xlfn._xlws.FILTER(VRAM_table[Video memory], (VRAM_table[Video memory text]&lt;&gt;"") * ISNUMBER(SEARCH(VRAM_table[Video memory text], B1331)), ""))</f>
        <v>4GB,4GB</v>
      </c>
    </row>
    <row r="1332" spans="1:9" x14ac:dyDescent="0.35">
      <c r="A1332" t="s">
        <v>9</v>
      </c>
      <c r="B1332" t="s">
        <v>452</v>
      </c>
      <c r="C1332">
        <v>0</v>
      </c>
      <c r="D1332">
        <v>5690000</v>
      </c>
      <c r="E1332" t="s">
        <v>453</v>
      </c>
      <c r="F1332" t="s">
        <v>1064</v>
      </c>
      <c r="G1332" t="str">
        <f>_xlfn.TEXTJOIN(",",TRUE,_xlfn._xlws.FILTER(GPU_brand[GPU brand], (GPU_brand[GPU brand text]&lt;&gt;"") * ISNUMBER(SEARCH(GPU_brand[GPU brand text], B1332)), ""))</f>
        <v>ASUS</v>
      </c>
      <c r="H1332" t="str">
        <f>_xlfn.TEXTJOIN(",",TRUE,_xlfn._xlws.FILTER(Chipset_Table[Chipset], (Chipset_Table[Chipset text]&lt;&gt;"") * ISNUMBER(SEARCH(Chipset_Table[Chipset text], B1332)), ""))</f>
        <v>GeForce GTX 1660 SUPER,GeForce GTX 1660, GTX 1660 Super</v>
      </c>
      <c r="I1332" t="str">
        <f>_xlfn.TEXTJOIN(",",TRUE,_xlfn._xlws.FILTER(VRAM_table[Video memory], (VRAM_table[Video memory text]&lt;&gt;"") * ISNUMBER(SEARCH(VRAM_table[Video memory text], B1332)), ""))</f>
        <v>6GB,6GB</v>
      </c>
    </row>
    <row r="1333" spans="1:9" x14ac:dyDescent="0.35">
      <c r="A1333" t="s">
        <v>9</v>
      </c>
      <c r="B1333" t="s">
        <v>454</v>
      </c>
      <c r="C1333">
        <v>18490000</v>
      </c>
      <c r="D1333">
        <v>12200000</v>
      </c>
      <c r="E1333" t="s">
        <v>455</v>
      </c>
      <c r="F1333" t="s">
        <v>1064</v>
      </c>
      <c r="G1333" t="str">
        <f>_xlfn.TEXTJOIN(",",TRUE,_xlfn._xlws.FILTER(GPU_brand[GPU brand], (GPU_brand[GPU brand text]&lt;&gt;"") * ISNUMBER(SEARCH(GPU_brand[GPU brand text], B1333)), ""))</f>
        <v>MSI</v>
      </c>
      <c r="H1333" t="str">
        <f>_xlfn.TEXTJOIN(",",TRUE,_xlfn._xlws.FILTER(Chipset_Table[Chipset], (Chipset_Table[Chipset text]&lt;&gt;"") * ISNUMBER(SEARCH(Chipset_Table[Chipset text], B1333)), ""))</f>
        <v>GeForce RTX 3060,GeForce RTX 3060 Ti,RTX 3060</v>
      </c>
      <c r="I1333" t="str">
        <f>_xlfn.TEXTJOIN(",",TRUE,_xlfn._xlws.FILTER(VRAM_table[Video memory], (VRAM_table[Video memory text]&lt;&gt;"") * ISNUMBER(SEARCH(VRAM_table[Video memory text], B1333)), ""))</f>
        <v>8GB</v>
      </c>
    </row>
    <row r="1334" spans="1:9" x14ac:dyDescent="0.35">
      <c r="A1334" t="s">
        <v>9</v>
      </c>
      <c r="B1334" t="s">
        <v>457</v>
      </c>
      <c r="C1334">
        <v>17990000</v>
      </c>
      <c r="D1334">
        <v>13790000</v>
      </c>
      <c r="E1334" t="s">
        <v>458</v>
      </c>
      <c r="F1334" t="s">
        <v>1064</v>
      </c>
      <c r="G1334" t="str">
        <f>_xlfn.TEXTJOIN(",",TRUE,_xlfn._xlws.FILTER(GPU_brand[GPU brand], (GPU_brand[GPU brand text]&lt;&gt;"") * ISNUMBER(SEARCH(GPU_brand[GPU brand text], B1334)), ""))</f>
        <v>MSI</v>
      </c>
      <c r="H1334" t="str">
        <f>_xlfn.TEXTJOIN(",",TRUE,_xlfn._xlws.FILTER(Chipset_Table[Chipset], (Chipset_Table[Chipset text]&lt;&gt;"") * ISNUMBER(SEARCH(Chipset_Table[Chipset text], B1334)), ""))</f>
        <v>GeForce RTX 3060,GeForce RTX 3060 Ti,RTX 3060</v>
      </c>
      <c r="I1334" t="str">
        <f>_xlfn.TEXTJOIN(",",TRUE,_xlfn._xlws.FILTER(VRAM_table[Video memory], (VRAM_table[Video memory text]&lt;&gt;"") * ISNUMBER(SEARCH(VRAM_table[Video memory text], B1334)), ""))</f>
        <v>8GB</v>
      </c>
    </row>
    <row r="1335" spans="1:9" x14ac:dyDescent="0.35">
      <c r="A1335" t="s">
        <v>9</v>
      </c>
      <c r="B1335" t="s">
        <v>459</v>
      </c>
      <c r="C1335">
        <v>16990000</v>
      </c>
      <c r="D1335">
        <v>13490000</v>
      </c>
      <c r="E1335" t="s">
        <v>460</v>
      </c>
      <c r="F1335" t="s">
        <v>1064</v>
      </c>
      <c r="G1335" t="str">
        <f>_xlfn.TEXTJOIN(",",TRUE,_xlfn._xlws.FILTER(GPU_brand[GPU brand], (GPU_brand[GPU brand text]&lt;&gt;"") * ISNUMBER(SEARCH(GPU_brand[GPU brand text], B1335)), ""))</f>
        <v>MSI</v>
      </c>
      <c r="H1335" t="str">
        <f>_xlfn.TEXTJOIN(",",TRUE,_xlfn._xlws.FILTER(Chipset_Table[Chipset], (Chipset_Table[Chipset text]&lt;&gt;"") * ISNUMBER(SEARCH(Chipset_Table[Chipset text], B1335)), ""))</f>
        <v>GeForce RTX 3060,GeForce RTX 3060 Ti,RTX 3060</v>
      </c>
      <c r="I1335" t="str">
        <f>_xlfn.TEXTJOIN(",",TRUE,_xlfn._xlws.FILTER(VRAM_table[Video memory], (VRAM_table[Video memory text]&lt;&gt;"") * ISNUMBER(SEARCH(VRAM_table[Video memory text], B1335)), ""))</f>
        <v>8GB</v>
      </c>
    </row>
    <row r="1336" spans="1:9" x14ac:dyDescent="0.35">
      <c r="A1336" t="s">
        <v>9</v>
      </c>
      <c r="B1336" t="s">
        <v>461</v>
      </c>
      <c r="C1336">
        <v>0</v>
      </c>
      <c r="D1336">
        <v>100000000</v>
      </c>
      <c r="E1336" t="s">
        <v>462</v>
      </c>
      <c r="F1336" t="s">
        <v>1064</v>
      </c>
      <c r="G1336" t="str">
        <f>_xlfn.TEXTJOIN(",",TRUE,_xlfn._xlws.FILTER(GPU_brand[GPU brand], (GPU_brand[GPU brand text]&lt;&gt;"") * ISNUMBER(SEARCH(GPU_brand[GPU brand text], B1336)), ""))</f>
        <v>MSI</v>
      </c>
      <c r="H1336" t="str">
        <f>_xlfn.TEXTJOIN(",",TRUE,_xlfn._xlws.FILTER(Chipset_Table[Chipset], (Chipset_Table[Chipset text]&lt;&gt;"") * ISNUMBER(SEARCH(Chipset_Table[Chipset text], B1336)), ""))</f>
        <v>GeForce RTX 3060,RTX 3060</v>
      </c>
      <c r="I1336" t="str">
        <f>_xlfn.TEXTJOIN(",",TRUE,_xlfn._xlws.FILTER(VRAM_table[Video memory], (VRAM_table[Video memory text]&lt;&gt;"") * ISNUMBER(SEARCH(VRAM_table[Video memory text], B1336)), ""))</f>
        <v>12GB,2GB</v>
      </c>
    </row>
    <row r="1337" spans="1:9" x14ac:dyDescent="0.35">
      <c r="A1337" t="s">
        <v>9</v>
      </c>
      <c r="B1337" t="s">
        <v>463</v>
      </c>
      <c r="C1337">
        <v>0</v>
      </c>
      <c r="D1337">
        <v>13990000</v>
      </c>
      <c r="E1337" t="s">
        <v>464</v>
      </c>
      <c r="F1337" t="s">
        <v>1064</v>
      </c>
      <c r="G1337" t="str">
        <f>_xlfn.TEXTJOIN(",",TRUE,_xlfn._xlws.FILTER(GPU_brand[GPU brand], (GPU_brand[GPU brand text]&lt;&gt;"") * ISNUMBER(SEARCH(GPU_brand[GPU brand text], B1337)), ""))</f>
        <v>MSI</v>
      </c>
      <c r="H1337" t="str">
        <f>_xlfn.TEXTJOIN(",",TRUE,_xlfn._xlws.FILTER(Chipset_Table[Chipset], (Chipset_Table[Chipset text]&lt;&gt;"") * ISNUMBER(SEARCH(Chipset_Table[Chipset text], B1337)), ""))</f>
        <v>GeForce GTX 1660 SUPER,GeForce GTX 1660, GTX 1660 Super</v>
      </c>
      <c r="I1337" t="str">
        <f>_xlfn.TEXTJOIN(",",TRUE,_xlfn._xlws.FILTER(VRAM_table[Video memory], (VRAM_table[Video memory text]&lt;&gt;"") * ISNUMBER(SEARCH(VRAM_table[Video memory text], B1337)), ""))</f>
        <v>6GB,6GB</v>
      </c>
    </row>
    <row r="1338" spans="1:9" x14ac:dyDescent="0.35">
      <c r="A1338" t="s">
        <v>9</v>
      </c>
      <c r="B1338" t="s">
        <v>465</v>
      </c>
      <c r="C1338">
        <v>0</v>
      </c>
      <c r="D1338">
        <v>14990000</v>
      </c>
      <c r="E1338" t="s">
        <v>466</v>
      </c>
      <c r="F1338" t="s">
        <v>1064</v>
      </c>
      <c r="G1338" t="str">
        <f>_xlfn.TEXTJOIN(",",TRUE,_xlfn._xlws.FILTER(GPU_brand[GPU brand], (GPU_brand[GPU brand text]&lt;&gt;"") * ISNUMBER(SEARCH(GPU_brand[GPU brand text], B1338)), ""))</f>
        <v>MSI</v>
      </c>
      <c r="H1338" t="str">
        <f>_xlfn.TEXTJOIN(",",TRUE,_xlfn._xlws.FILTER(Chipset_Table[Chipset], (Chipset_Table[Chipset text]&lt;&gt;"") * ISNUMBER(SEARCH(Chipset_Table[Chipset text], B1338)), ""))</f>
        <v>GeForce GTX 1660 SUPER,GeForce GTX 1660, GTX 1660 Super</v>
      </c>
      <c r="I1338" t="str">
        <f>_xlfn.TEXTJOIN(",",TRUE,_xlfn._xlws.FILTER(VRAM_table[Video memory], (VRAM_table[Video memory text]&lt;&gt;"") * ISNUMBER(SEARCH(VRAM_table[Video memory text], B1338)), ""))</f>
        <v>6GB,6GB</v>
      </c>
    </row>
    <row r="1339" spans="1:9" x14ac:dyDescent="0.35">
      <c r="A1339" t="s">
        <v>9</v>
      </c>
      <c r="B1339" t="s">
        <v>467</v>
      </c>
      <c r="C1339">
        <v>17990000</v>
      </c>
      <c r="D1339">
        <v>11990000</v>
      </c>
      <c r="E1339" t="s">
        <v>468</v>
      </c>
      <c r="F1339" t="s">
        <v>1064</v>
      </c>
      <c r="G1339" t="str">
        <f>_xlfn.TEXTJOIN(",",TRUE,_xlfn._xlws.FILTER(GPU_brand[GPU brand], (GPU_brand[GPU brand text]&lt;&gt;"") * ISNUMBER(SEARCH(GPU_brand[GPU brand text], B1339)), ""))</f>
        <v>Gigabyte</v>
      </c>
      <c r="H1339" t="str">
        <f>_xlfn.TEXTJOIN(",",TRUE,_xlfn._xlws.FILTER(Chipset_Table[Chipset], (Chipset_Table[Chipset text]&lt;&gt;"") * ISNUMBER(SEARCH(Chipset_Table[Chipset text], B1339)), ""))</f>
        <v>GeForce RTX 3060,GeForce RTX 3060 Ti,RTX 3060</v>
      </c>
      <c r="I1339" t="str">
        <f>_xlfn.TEXTJOIN(",",TRUE,_xlfn._xlws.FILTER(VRAM_table[Video memory], (VRAM_table[Video memory text]&lt;&gt;"") * ISNUMBER(SEARCH(VRAM_table[Video memory text], B1339)), ""))</f>
        <v>8GB</v>
      </c>
    </row>
    <row r="1340" spans="1:9" x14ac:dyDescent="0.35">
      <c r="A1340" t="s">
        <v>9</v>
      </c>
      <c r="B1340" t="s">
        <v>469</v>
      </c>
      <c r="C1340">
        <v>11490000</v>
      </c>
      <c r="D1340">
        <v>10690000</v>
      </c>
      <c r="E1340" t="s">
        <v>470</v>
      </c>
      <c r="F1340" t="s">
        <v>1064</v>
      </c>
      <c r="G1340" t="str">
        <f>_xlfn.TEXTJOIN(",",TRUE,_xlfn._xlws.FILTER(GPU_brand[GPU brand], (GPU_brand[GPU brand text]&lt;&gt;"") * ISNUMBER(SEARCH(GPU_brand[GPU brand text], B1340)), ""))</f>
        <v>Gigabyte</v>
      </c>
      <c r="H1340" t="str">
        <f>_xlfn.TEXTJOIN(",",TRUE,_xlfn._xlws.FILTER(Chipset_Table[Chipset], (Chipset_Table[Chipset text]&lt;&gt;"") * ISNUMBER(SEARCH(Chipset_Table[Chipset text], B1340)), ""))</f>
        <v>GeForce RTX 3060,GeForce RTX 3060 Ti,RTX 3060</v>
      </c>
      <c r="I1340" t="str">
        <f>_xlfn.TEXTJOIN(",",TRUE,_xlfn._xlws.FILTER(VRAM_table[Video memory], (VRAM_table[Video memory text]&lt;&gt;"") * ISNUMBER(SEARCH(VRAM_table[Video memory text], B1340)), ""))</f>
        <v>8GB</v>
      </c>
    </row>
    <row r="1341" spans="1:9" x14ac:dyDescent="0.35">
      <c r="A1341" t="s">
        <v>9</v>
      </c>
      <c r="B1341" t="s">
        <v>471</v>
      </c>
      <c r="C1341">
        <v>19990000</v>
      </c>
      <c r="D1341">
        <v>15990000</v>
      </c>
      <c r="E1341" t="s">
        <v>472</v>
      </c>
      <c r="F1341" t="s">
        <v>1064</v>
      </c>
      <c r="G1341" t="str">
        <f>_xlfn.TEXTJOIN(",",TRUE,_xlfn._xlws.FILTER(GPU_brand[GPU brand], (GPU_brand[GPU brand text]&lt;&gt;"") * ISNUMBER(SEARCH(GPU_brand[GPU brand text], B1341)), ""))</f>
        <v>Gigabyte</v>
      </c>
      <c r="H1341" t="str">
        <f>_xlfn.TEXTJOIN(",",TRUE,_xlfn._xlws.FILTER(Chipset_Table[Chipset], (Chipset_Table[Chipset text]&lt;&gt;"") * ISNUMBER(SEARCH(Chipset_Table[Chipset text], B1341)), ""))</f>
        <v>GeForce RTX 3060,GeForce RTX 3060 Ti,RTX 3060</v>
      </c>
      <c r="I1341" t="str">
        <f>_xlfn.TEXTJOIN(",",TRUE,_xlfn._xlws.FILTER(VRAM_table[Video memory], (VRAM_table[Video memory text]&lt;&gt;"") * ISNUMBER(SEARCH(VRAM_table[Video memory text], B1341)), ""))</f>
        <v>8GB</v>
      </c>
    </row>
    <row r="1342" spans="1:9" x14ac:dyDescent="0.35">
      <c r="A1342" t="s">
        <v>9</v>
      </c>
      <c r="B1342" t="s">
        <v>473</v>
      </c>
      <c r="C1342">
        <v>18990000</v>
      </c>
      <c r="D1342">
        <v>14990000</v>
      </c>
      <c r="E1342" t="s">
        <v>474</v>
      </c>
      <c r="F1342" t="s">
        <v>1064</v>
      </c>
      <c r="G1342" t="str">
        <f>_xlfn.TEXTJOIN(",",TRUE,_xlfn._xlws.FILTER(GPU_brand[GPU brand], (GPU_brand[GPU brand text]&lt;&gt;"") * ISNUMBER(SEARCH(GPU_brand[GPU brand text], B1342)), ""))</f>
        <v>Gigabyte</v>
      </c>
      <c r="H1342" t="str">
        <f>_xlfn.TEXTJOIN(",",TRUE,_xlfn._xlws.FILTER(Chipset_Table[Chipset], (Chipset_Table[Chipset text]&lt;&gt;"") * ISNUMBER(SEARCH(Chipset_Table[Chipset text], B1342)), ""))</f>
        <v>GeForce RTX 3060,GeForce RTX 3060 Ti,RTX 3060</v>
      </c>
      <c r="I1342" t="str">
        <f>_xlfn.TEXTJOIN(",",TRUE,_xlfn._xlws.FILTER(VRAM_table[Video memory], (VRAM_table[Video memory text]&lt;&gt;"") * ISNUMBER(SEARCH(VRAM_table[Video memory text], B1342)), ""))</f>
        <v>8GB</v>
      </c>
    </row>
    <row r="1343" spans="1:9" x14ac:dyDescent="0.35">
      <c r="A1343" t="s">
        <v>9</v>
      </c>
      <c r="B1343" t="s">
        <v>475</v>
      </c>
      <c r="C1343">
        <v>17990000</v>
      </c>
      <c r="D1343">
        <v>12990000</v>
      </c>
      <c r="E1343" t="s">
        <v>476</v>
      </c>
      <c r="F1343" t="s">
        <v>1064</v>
      </c>
      <c r="G1343" t="str">
        <f>_xlfn.TEXTJOIN(",",TRUE,_xlfn._xlws.FILTER(GPU_brand[GPU brand], (GPU_brand[GPU brand text]&lt;&gt;"") * ISNUMBER(SEARCH(GPU_brand[GPU brand text], B1343)), ""))</f>
        <v>ASUS</v>
      </c>
      <c r="H1343" t="str">
        <f>_xlfn.TEXTJOIN(",",TRUE,_xlfn._xlws.FILTER(Chipset_Table[Chipset], (Chipset_Table[Chipset text]&lt;&gt;"") * ISNUMBER(SEARCH(Chipset_Table[Chipset text], B1343)), ""))</f>
        <v>GeForce RTX 3060,GeForce RTX 3060 Ti,RTX 3060</v>
      </c>
      <c r="I1343" t="str">
        <f>_xlfn.TEXTJOIN(",",TRUE,_xlfn._xlws.FILTER(VRAM_table[Video memory], (VRAM_table[Video memory text]&lt;&gt;"") * ISNUMBER(SEARCH(VRAM_table[Video memory text], B1343)), ""))</f>
        <v>8GB,8GB</v>
      </c>
    </row>
    <row r="1344" spans="1:9" x14ac:dyDescent="0.35">
      <c r="A1344" t="s">
        <v>9</v>
      </c>
      <c r="B1344" t="s">
        <v>477</v>
      </c>
      <c r="C1344">
        <v>15490000</v>
      </c>
      <c r="D1344">
        <v>14990000</v>
      </c>
      <c r="E1344" t="s">
        <v>478</v>
      </c>
      <c r="F1344" t="s">
        <v>1064</v>
      </c>
      <c r="G1344" t="str">
        <f>_xlfn.TEXTJOIN(",",TRUE,_xlfn._xlws.FILTER(GPU_brand[GPU brand], (GPU_brand[GPU brand text]&lt;&gt;"") * ISNUMBER(SEARCH(GPU_brand[GPU brand text], B1344)), ""))</f>
        <v>ASUS</v>
      </c>
      <c r="H1344" t="str">
        <f>_xlfn.TEXTJOIN(",",TRUE,_xlfn._xlws.FILTER(Chipset_Table[Chipset], (Chipset_Table[Chipset text]&lt;&gt;"") * ISNUMBER(SEARCH(Chipset_Table[Chipset text], B1344)), ""))</f>
        <v>GeForce RTX 3060,GeForce RTX 3060 Ti,RTX 3060</v>
      </c>
      <c r="I1344" t="str">
        <f>_xlfn.TEXTJOIN(",",TRUE,_xlfn._xlws.FILTER(VRAM_table[Video memory], (VRAM_table[Video memory text]&lt;&gt;"") * ISNUMBER(SEARCH(VRAM_table[Video memory text], B1344)), ""))</f>
        <v>8GB,8GB</v>
      </c>
    </row>
    <row r="1345" spans="1:9" x14ac:dyDescent="0.35">
      <c r="A1345" t="s">
        <v>9</v>
      </c>
      <c r="B1345" t="s">
        <v>479</v>
      </c>
      <c r="C1345">
        <v>0</v>
      </c>
      <c r="D1345">
        <v>13990000</v>
      </c>
      <c r="E1345" t="s">
        <v>480</v>
      </c>
      <c r="F1345" t="s">
        <v>1064</v>
      </c>
      <c r="G1345" t="str">
        <f>_xlfn.TEXTJOIN(",",TRUE,_xlfn._xlws.FILTER(GPU_brand[GPU brand], (GPU_brand[GPU brand text]&lt;&gt;"") * ISNUMBER(SEARCH(GPU_brand[GPU brand text], B1345)), ""))</f>
        <v>ASUS</v>
      </c>
      <c r="H1345" t="str">
        <f>_xlfn.TEXTJOIN(",",TRUE,_xlfn._xlws.FILTER(Chipset_Table[Chipset], (Chipset_Table[Chipset text]&lt;&gt;"") * ISNUMBER(SEARCH(Chipset_Table[Chipset text], B1345)), ""))</f>
        <v>GeForce RTX 3060,GeForce RTX 3060 Ti,RTX 3060</v>
      </c>
      <c r="I1345" t="str">
        <f>_xlfn.TEXTJOIN(",",TRUE,_xlfn._xlws.FILTER(VRAM_table[Video memory], (VRAM_table[Video memory text]&lt;&gt;"") * ISNUMBER(SEARCH(VRAM_table[Video memory text], B1345)), ""))</f>
        <v>8GB,8GB</v>
      </c>
    </row>
    <row r="1346" spans="1:9" x14ac:dyDescent="0.35">
      <c r="A1346" t="s">
        <v>9</v>
      </c>
      <c r="B1346" t="s">
        <v>481</v>
      </c>
      <c r="C1346">
        <v>0</v>
      </c>
      <c r="D1346">
        <v>13690000</v>
      </c>
      <c r="E1346" t="s">
        <v>482</v>
      </c>
      <c r="F1346" t="s">
        <v>1064</v>
      </c>
      <c r="G1346" t="str">
        <f>_xlfn.TEXTJOIN(",",TRUE,_xlfn._xlws.FILTER(GPU_brand[GPU brand], (GPU_brand[GPU brand text]&lt;&gt;"") * ISNUMBER(SEARCH(GPU_brand[GPU brand text], B1346)), ""))</f>
        <v>ASUS</v>
      </c>
      <c r="H1346" t="str">
        <f>_xlfn.TEXTJOIN(",",TRUE,_xlfn._xlws.FILTER(Chipset_Table[Chipset], (Chipset_Table[Chipset text]&lt;&gt;"") * ISNUMBER(SEARCH(Chipset_Table[Chipset text], B1346)), ""))</f>
        <v>GeForce RTX 3060,GeForce RTX 3060 Ti,RTX 3060</v>
      </c>
      <c r="I1346" t="str">
        <f>_xlfn.TEXTJOIN(",",TRUE,_xlfn._xlws.FILTER(VRAM_table[Video memory], (VRAM_table[Video memory text]&lt;&gt;"") * ISNUMBER(SEARCH(VRAM_table[Video memory text], B1346)), ""))</f>
        <v>8GB,8GB</v>
      </c>
    </row>
    <row r="1347" spans="1:9" x14ac:dyDescent="0.35">
      <c r="A1347" t="s">
        <v>9</v>
      </c>
      <c r="B1347" t="s">
        <v>483</v>
      </c>
      <c r="C1347">
        <v>15490000</v>
      </c>
      <c r="D1347">
        <v>10990000</v>
      </c>
      <c r="E1347" t="s">
        <v>484</v>
      </c>
      <c r="F1347" t="s">
        <v>1064</v>
      </c>
      <c r="G1347" t="str">
        <f>_xlfn.TEXTJOIN(",",TRUE,_xlfn._xlws.FILTER(GPU_brand[GPU brand], (GPU_brand[GPU brand text]&lt;&gt;"") * ISNUMBER(SEARCH(GPU_brand[GPU brand text], B1347)), ""))</f>
        <v>ASUS</v>
      </c>
      <c r="H1347" t="str">
        <f>_xlfn.TEXTJOIN(",",TRUE,_xlfn._xlws.FILTER(Chipset_Table[Chipset], (Chipset_Table[Chipset text]&lt;&gt;"") * ISNUMBER(SEARCH(Chipset_Table[Chipset text], B1347)), ""))</f>
        <v>GeForce RTX 3060,GeForce RTX 3060 Ti,RTX 3060</v>
      </c>
      <c r="I1347" t="str">
        <f>_xlfn.TEXTJOIN(",",TRUE,_xlfn._xlws.FILTER(VRAM_table[Video memory], (VRAM_table[Video memory text]&lt;&gt;"") * ISNUMBER(SEARCH(VRAM_table[Video memory text], B1347)), ""))</f>
        <v>8GB,8GB</v>
      </c>
    </row>
    <row r="1348" spans="1:9" x14ac:dyDescent="0.35">
      <c r="A1348" t="s">
        <v>9</v>
      </c>
      <c r="B1348" t="s">
        <v>485</v>
      </c>
      <c r="C1348">
        <v>14990000</v>
      </c>
      <c r="D1348">
        <v>12990000</v>
      </c>
      <c r="E1348" t="s">
        <v>486</v>
      </c>
      <c r="F1348" t="s">
        <v>1064</v>
      </c>
      <c r="G1348" t="str">
        <f>_xlfn.TEXTJOIN(",",TRUE,_xlfn._xlws.FILTER(GPU_brand[GPU brand], (GPU_brand[GPU brand text]&lt;&gt;"") * ISNUMBER(SEARCH(GPU_brand[GPU brand text], B1348)), ""))</f>
        <v>ASUS</v>
      </c>
      <c r="H1348" t="str">
        <f>_xlfn.TEXTJOIN(",",TRUE,_xlfn._xlws.FILTER(Chipset_Table[Chipset], (Chipset_Table[Chipset text]&lt;&gt;"") * ISNUMBER(SEARCH(Chipset_Table[Chipset text], B1348)), ""))</f>
        <v>GeForce RTX 3060,GeForce RTX 3060 Ti,RTX 3060</v>
      </c>
      <c r="I1348" t="str">
        <f>_xlfn.TEXTJOIN(",",TRUE,_xlfn._xlws.FILTER(VRAM_table[Video memory], (VRAM_table[Video memory text]&lt;&gt;"") * ISNUMBER(SEARCH(VRAM_table[Video memory text], B1348)), ""))</f>
        <v>8GB,8GB</v>
      </c>
    </row>
    <row r="1349" spans="1:9" x14ac:dyDescent="0.35">
      <c r="A1349" t="s">
        <v>9</v>
      </c>
      <c r="B1349" t="s">
        <v>487</v>
      </c>
      <c r="C1349">
        <v>9990000</v>
      </c>
      <c r="D1349">
        <v>8090000</v>
      </c>
      <c r="E1349" t="s">
        <v>488</v>
      </c>
      <c r="F1349" t="s">
        <v>1064</v>
      </c>
      <c r="G1349" t="str">
        <f>_xlfn.TEXTJOIN(",",TRUE,_xlfn._xlws.FILTER(GPU_brand[GPU brand], (GPU_brand[GPU brand text]&lt;&gt;"") * ISNUMBER(SEARCH(GPU_brand[GPU brand text], B1349)), ""))</f>
        <v>Gigabyte</v>
      </c>
      <c r="H1349" t="str">
        <f>_xlfn.TEXTJOIN(",",TRUE,_xlfn._xlws.FILTER(Chipset_Table[Chipset], (Chipset_Table[Chipset text]&lt;&gt;"") * ISNUMBER(SEARCH(Chipset_Table[Chipset text], B1349)), ""))</f>
        <v>GeForce RTX 3060,RTX 3060</v>
      </c>
      <c r="I1349" t="str">
        <f>_xlfn.TEXTJOIN(",",TRUE,_xlfn._xlws.FILTER(VRAM_table[Video memory], (VRAM_table[Video memory text]&lt;&gt;"") * ISNUMBER(SEARCH(VRAM_table[Video memory text], B1349)), ""))</f>
        <v>12GB,2GB</v>
      </c>
    </row>
    <row r="1350" spans="1:9" x14ac:dyDescent="0.35">
      <c r="A1350" t="s">
        <v>9</v>
      </c>
      <c r="B1350" t="s">
        <v>489</v>
      </c>
      <c r="C1350">
        <v>9990000</v>
      </c>
      <c r="D1350">
        <v>6290000</v>
      </c>
      <c r="E1350" t="s">
        <v>490</v>
      </c>
      <c r="F1350" t="s">
        <v>1064</v>
      </c>
      <c r="G1350" t="str">
        <f>_xlfn.TEXTJOIN(",",TRUE,_xlfn._xlws.FILTER(GPU_brand[GPU brand], (GPU_brand[GPU brand text]&lt;&gt;"") * ISNUMBER(SEARCH(GPU_brand[GPU brand text], B1350)), ""))</f>
        <v>Gigabyte</v>
      </c>
      <c r="H1350" t="str">
        <f>_xlfn.TEXTJOIN(",",TRUE,_xlfn._xlws.FILTER(Chipset_Table[Chipset], (Chipset_Table[Chipset text]&lt;&gt;"") * ISNUMBER(SEARCH(Chipset_Table[Chipset text], B1350)), ""))</f>
        <v>GeForce RTX 2060,RTX 2060</v>
      </c>
      <c r="I1350" t="str">
        <f>_xlfn.TEXTJOIN(",",TRUE,_xlfn._xlws.FILTER(VRAM_table[Video memory], (VRAM_table[Video memory text]&lt;&gt;"") * ISNUMBER(SEARCH(VRAM_table[Video memory text], B1350)), ""))</f>
        <v>6GB</v>
      </c>
    </row>
    <row r="1351" spans="1:9" x14ac:dyDescent="0.35">
      <c r="A1351" t="s">
        <v>9</v>
      </c>
      <c r="B1351" t="s">
        <v>492</v>
      </c>
      <c r="C1351">
        <v>0</v>
      </c>
      <c r="D1351">
        <v>4490000</v>
      </c>
      <c r="E1351" t="s">
        <v>493</v>
      </c>
      <c r="F1351" t="s">
        <v>1064</v>
      </c>
      <c r="G1351" t="str">
        <f>_xlfn.TEXTJOIN(",",TRUE,_xlfn._xlws.FILTER(GPU_brand[GPU brand], (GPU_brand[GPU brand text]&lt;&gt;"") * ISNUMBER(SEARCH(GPU_brand[GPU brand text], B1351)), ""))</f>
        <v>ASUS</v>
      </c>
      <c r="H1351" t="str">
        <f>_xlfn.TEXTJOIN(",",TRUE,_xlfn._xlws.FILTER(Chipset_Table[Chipset], (Chipset_Table[Chipset text]&lt;&gt;"") * ISNUMBER(SEARCH(Chipset_Table[Chipset text], B1351)), ""))</f>
        <v>GeForce GTX 1650,GTX 1650</v>
      </c>
      <c r="I1351" t="str">
        <f>_xlfn.TEXTJOIN(",",TRUE,_xlfn._xlws.FILTER(VRAM_table[Video memory], (VRAM_table[Video memory text]&lt;&gt;"") * ISNUMBER(SEARCH(VRAM_table[Video memory text], B1351)), ""))</f>
        <v>4GB,4GB</v>
      </c>
    </row>
    <row r="1352" spans="1:9" x14ac:dyDescent="0.35">
      <c r="A1352" t="s">
        <v>9</v>
      </c>
      <c r="B1352" t="s">
        <v>494</v>
      </c>
      <c r="C1352">
        <v>10990000</v>
      </c>
      <c r="D1352">
        <v>10690000</v>
      </c>
      <c r="E1352" t="s">
        <v>495</v>
      </c>
      <c r="F1352" t="s">
        <v>1064</v>
      </c>
      <c r="G1352" t="str">
        <f>_xlfn.TEXTJOIN(",",TRUE,_xlfn._xlws.FILTER(GPU_brand[GPU brand], (GPU_brand[GPU brand text]&lt;&gt;"") * ISNUMBER(SEARCH(GPU_brand[GPU brand text], B1352)), ""))</f>
        <v>ASUS</v>
      </c>
      <c r="H1352" t="str">
        <f>_xlfn.TEXTJOIN(",",TRUE,_xlfn._xlws.FILTER(Chipset_Table[Chipset], (Chipset_Table[Chipset text]&lt;&gt;"") * ISNUMBER(SEARCH(Chipset_Table[Chipset text], B1352)), ""))</f>
        <v>GeForce GTX 1660</v>
      </c>
      <c r="I1352" t="str">
        <f>_xlfn.TEXTJOIN(",",TRUE,_xlfn._xlws.FILTER(VRAM_table[Video memory], (VRAM_table[Video memory text]&lt;&gt;"") * ISNUMBER(SEARCH(VRAM_table[Video memory text], B1352)), ""))</f>
        <v>6GB,6GB</v>
      </c>
    </row>
    <row r="1353" spans="1:9" x14ac:dyDescent="0.35">
      <c r="A1353" t="s">
        <v>9</v>
      </c>
      <c r="B1353" t="s">
        <v>496</v>
      </c>
      <c r="C1353">
        <v>0</v>
      </c>
      <c r="D1353">
        <v>10690000</v>
      </c>
      <c r="E1353" t="s">
        <v>497</v>
      </c>
      <c r="F1353" t="s">
        <v>1064</v>
      </c>
      <c r="G1353" t="str">
        <f>_xlfn.TEXTJOIN(",",TRUE,_xlfn._xlws.FILTER(GPU_brand[GPU brand], (GPU_brand[GPU brand text]&lt;&gt;"") * ISNUMBER(SEARCH(GPU_brand[GPU brand text], B1353)), ""))</f>
        <v>ASUS</v>
      </c>
      <c r="H1353" t="str">
        <f>_xlfn.TEXTJOIN(",",TRUE,_xlfn._xlws.FILTER(Chipset_Table[Chipset], (Chipset_Table[Chipset text]&lt;&gt;"") * ISNUMBER(SEARCH(Chipset_Table[Chipset text], B1353)), ""))</f>
        <v>GeForce GTX 1660 SUPER,GeForce GTX 1660, GTX 1660 Super</v>
      </c>
      <c r="I1353" t="str">
        <f>_xlfn.TEXTJOIN(",",TRUE,_xlfn._xlws.FILTER(VRAM_table[Video memory], (VRAM_table[Video memory text]&lt;&gt;"") * ISNUMBER(SEARCH(VRAM_table[Video memory text], B1353)), ""))</f>
        <v>6GB,6GB</v>
      </c>
    </row>
    <row r="1354" spans="1:9" x14ac:dyDescent="0.35">
      <c r="A1354" t="s">
        <v>9</v>
      </c>
      <c r="B1354" t="s">
        <v>498</v>
      </c>
      <c r="C1354">
        <v>6990000</v>
      </c>
      <c r="D1354">
        <v>3890000</v>
      </c>
      <c r="E1354" t="s">
        <v>499</v>
      </c>
      <c r="F1354" t="s">
        <v>1064</v>
      </c>
      <c r="G1354" t="str">
        <f>_xlfn.TEXTJOIN(",",TRUE,_xlfn._xlws.FILTER(GPU_brand[GPU brand], (GPU_brand[GPU brand text]&lt;&gt;"") * ISNUMBER(SEARCH(GPU_brand[GPU brand text], B1354)), ""))</f>
        <v>MSI</v>
      </c>
      <c r="H1354" t="str">
        <f>_xlfn.TEXTJOIN(",",TRUE,_xlfn._xlws.FILTER(Chipset_Table[Chipset], (Chipset_Table[Chipset text]&lt;&gt;"") * ISNUMBER(SEARCH(Chipset_Table[Chipset text], B1354)), ""))</f>
        <v>GeForce GTX 1650,GTX 1650</v>
      </c>
      <c r="I1354" t="str">
        <f>_xlfn.TEXTJOIN(",",TRUE,_xlfn._xlws.FILTER(VRAM_table[Video memory], (VRAM_table[Video memory text]&lt;&gt;"") * ISNUMBER(SEARCH(VRAM_table[Video memory text], B1354)), ""))</f>
        <v>4GB,4GB</v>
      </c>
    </row>
    <row r="1355" spans="1:9" x14ac:dyDescent="0.35">
      <c r="A1355" t="s">
        <v>9</v>
      </c>
      <c r="B1355" t="s">
        <v>500</v>
      </c>
      <c r="C1355">
        <v>8490000</v>
      </c>
      <c r="D1355">
        <v>7690000</v>
      </c>
      <c r="E1355" t="s">
        <v>501</v>
      </c>
      <c r="F1355" t="s">
        <v>1064</v>
      </c>
      <c r="G1355" t="str">
        <f>_xlfn.TEXTJOIN(",",TRUE,_xlfn._xlws.FILTER(GPU_brand[GPU brand], (GPU_brand[GPU brand text]&lt;&gt;"") * ISNUMBER(SEARCH(GPU_brand[GPU brand text], B1355)), ""))</f>
        <v>MSI</v>
      </c>
      <c r="H1355" t="str">
        <f>_xlfn.TEXTJOIN(",",TRUE,_xlfn._xlws.FILTER(Chipset_Table[Chipset], (Chipset_Table[Chipset text]&lt;&gt;"") * ISNUMBER(SEARCH(Chipset_Table[Chipset text], B1355)), ""))</f>
        <v>GeForce GTX 1650,GTX 1650</v>
      </c>
      <c r="I1355" t="str">
        <f>_xlfn.TEXTJOIN(",",TRUE,_xlfn._xlws.FILTER(VRAM_table[Video memory], (VRAM_table[Video memory text]&lt;&gt;"") * ISNUMBER(SEARCH(VRAM_table[Video memory text], B1355)), ""))</f>
        <v>4GB,4GB</v>
      </c>
    </row>
    <row r="1356" spans="1:9" x14ac:dyDescent="0.35">
      <c r="A1356" t="s">
        <v>9</v>
      </c>
      <c r="B1356" t="s">
        <v>502</v>
      </c>
      <c r="C1356">
        <v>0</v>
      </c>
      <c r="D1356">
        <v>6990000</v>
      </c>
      <c r="E1356" t="s">
        <v>503</v>
      </c>
      <c r="F1356" t="s">
        <v>1064</v>
      </c>
      <c r="G1356" t="str">
        <f>_xlfn.TEXTJOIN(",",TRUE,_xlfn._xlws.FILTER(GPU_brand[GPU brand], (GPU_brand[GPU brand text]&lt;&gt;"") * ISNUMBER(SEARCH(GPU_brand[GPU brand text], B1356)), ""))</f>
        <v>MSI</v>
      </c>
      <c r="H1356" t="str">
        <f>_xlfn.TEXTJOIN(",",TRUE,_xlfn._xlws.FILTER(Chipset_Table[Chipset], (Chipset_Table[Chipset text]&lt;&gt;"") * ISNUMBER(SEARCH(Chipset_Table[Chipset text], B1356)), ""))</f>
        <v>GeForce GTX 1650,GTX 1650</v>
      </c>
      <c r="I1356" t="str">
        <f>_xlfn.TEXTJOIN(",",TRUE,_xlfn._xlws.FILTER(VRAM_table[Video memory], (VRAM_table[Video memory text]&lt;&gt;"") * ISNUMBER(SEARCH(VRAM_table[Video memory text], B1356)), ""))</f>
        <v>4GB</v>
      </c>
    </row>
    <row r="1357" spans="1:9" x14ac:dyDescent="0.35">
      <c r="A1357" t="s">
        <v>9</v>
      </c>
      <c r="B1357" t="s">
        <v>504</v>
      </c>
      <c r="C1357">
        <v>14990000</v>
      </c>
      <c r="D1357">
        <v>7890000</v>
      </c>
      <c r="E1357" t="s">
        <v>505</v>
      </c>
      <c r="F1357" t="s">
        <v>1064</v>
      </c>
      <c r="G1357" t="str">
        <f>_xlfn.TEXTJOIN(",",TRUE,_xlfn._xlws.FILTER(GPU_brand[GPU brand], (GPU_brand[GPU brand text]&lt;&gt;"") * ISNUMBER(SEARCH(GPU_brand[GPU brand text], B1357)), ""))</f>
        <v>Leadtek</v>
      </c>
      <c r="H1357" t="str">
        <f>_xlfn.TEXTJOIN(",",TRUE,_xlfn._xlws.FILTER(Chipset_Table[Chipset], (Chipset_Table[Chipset text]&lt;&gt;"") * ISNUMBER(SEARCH(Chipset_Table[Chipset text], B1357)), ""))</f>
        <v xml:space="preserve"> GTX 1660 Super</v>
      </c>
      <c r="I1357" t="str">
        <f>_xlfn.TEXTJOIN(",",TRUE,_xlfn._xlws.FILTER(VRAM_table[Video memory], (VRAM_table[Video memory text]&lt;&gt;"") * ISNUMBER(SEARCH(VRAM_table[Video memory text], B1357)), ""))</f>
        <v>6GB</v>
      </c>
    </row>
    <row r="1358" spans="1:9" x14ac:dyDescent="0.35">
      <c r="A1358" t="s">
        <v>9</v>
      </c>
      <c r="B1358" t="s">
        <v>506</v>
      </c>
      <c r="C1358">
        <v>0</v>
      </c>
      <c r="D1358">
        <v>7390000</v>
      </c>
      <c r="E1358" t="s">
        <v>507</v>
      </c>
      <c r="F1358" t="s">
        <v>1064</v>
      </c>
      <c r="G1358" t="str">
        <f>_xlfn.TEXTJOIN(",",TRUE,_xlfn._xlws.FILTER(GPU_brand[GPU brand], (GPU_brand[GPU brand text]&lt;&gt;"") * ISNUMBER(SEARCH(GPU_brand[GPU brand text], B1358)), ""))</f>
        <v>Gigabyte</v>
      </c>
      <c r="H1358" t="str">
        <f>_xlfn.TEXTJOIN(",",TRUE,_xlfn._xlws.FILTER(Chipset_Table[Chipset], (Chipset_Table[Chipset text]&lt;&gt;"") * ISNUMBER(SEARCH(Chipset_Table[Chipset text], B1358)), ""))</f>
        <v>GeForce GTX 1650,GTX 1650</v>
      </c>
      <c r="I1358" t="str">
        <f>_xlfn.TEXTJOIN(",",TRUE,_xlfn._xlws.FILTER(VRAM_table[Video memory], (VRAM_table[Video memory text]&lt;&gt;"") * ISNUMBER(SEARCH(VRAM_table[Video memory text], B1358)), ""))</f>
        <v>4GB</v>
      </c>
    </row>
    <row r="1359" spans="1:9" x14ac:dyDescent="0.35">
      <c r="A1359" t="s">
        <v>9</v>
      </c>
      <c r="B1359" t="s">
        <v>508</v>
      </c>
      <c r="C1359">
        <v>0</v>
      </c>
      <c r="D1359">
        <v>13290000</v>
      </c>
      <c r="E1359" t="s">
        <v>509</v>
      </c>
      <c r="F1359" t="s">
        <v>1064</v>
      </c>
      <c r="G1359" t="str">
        <f>_xlfn.TEXTJOIN(",",TRUE,_xlfn._xlws.FILTER(GPU_brand[GPU brand], (GPU_brand[GPU brand text]&lt;&gt;"") * ISNUMBER(SEARCH(GPU_brand[GPU brand text], B1359)), ""))</f>
        <v>Gigabyte</v>
      </c>
      <c r="H1359" t="str">
        <f>_xlfn.TEXTJOIN(",",TRUE,_xlfn._xlws.FILTER(Chipset_Table[Chipset], (Chipset_Table[Chipset text]&lt;&gt;"") * ISNUMBER(SEARCH(Chipset_Table[Chipset text], B1359)), ""))</f>
        <v>GeForce GTX 1660 SUPER,GeForce GTX 1660, GTX 1660 Super</v>
      </c>
      <c r="I1359" t="str">
        <f>_xlfn.TEXTJOIN(",",TRUE,_xlfn._xlws.FILTER(VRAM_table[Video memory], (VRAM_table[Video memory text]&lt;&gt;"") * ISNUMBER(SEARCH(VRAM_table[Video memory text], B1359)), ""))</f>
        <v>6GB</v>
      </c>
    </row>
    <row r="1360" spans="1:9" x14ac:dyDescent="0.35">
      <c r="A1360" t="s">
        <v>9</v>
      </c>
      <c r="B1360" t="s">
        <v>510</v>
      </c>
      <c r="C1360">
        <v>7490000</v>
      </c>
      <c r="D1360">
        <v>6990000</v>
      </c>
      <c r="E1360" t="s">
        <v>511</v>
      </c>
      <c r="F1360" t="s">
        <v>1064</v>
      </c>
      <c r="G1360" t="str">
        <f>_xlfn.TEXTJOIN(",",TRUE,_xlfn._xlws.FILTER(GPU_brand[GPU brand], (GPU_brand[GPU brand text]&lt;&gt;"") * ISNUMBER(SEARCH(GPU_brand[GPU brand text], B1360)), ""))</f>
        <v>MSI</v>
      </c>
      <c r="H1360" t="str">
        <f>_xlfn.TEXTJOIN(",",TRUE,_xlfn._xlws.FILTER(Chipset_Table[Chipset], (Chipset_Table[Chipset text]&lt;&gt;"") * ISNUMBER(SEARCH(Chipset_Table[Chipset text], B1360)), ""))</f>
        <v>GeForce GTX 1650,GTX 1650</v>
      </c>
      <c r="I1360" t="str">
        <f>_xlfn.TEXTJOIN(",",TRUE,_xlfn._xlws.FILTER(VRAM_table[Video memory], (VRAM_table[Video memory text]&lt;&gt;"") * ISNUMBER(SEARCH(VRAM_table[Video memory text], B1360)), ""))</f>
        <v>4GB,4GB</v>
      </c>
    </row>
    <row r="1361" spans="1:9" x14ac:dyDescent="0.35">
      <c r="A1361" t="s">
        <v>9</v>
      </c>
      <c r="B1361" t="s">
        <v>512</v>
      </c>
      <c r="C1361">
        <v>0</v>
      </c>
      <c r="D1361">
        <v>13290000</v>
      </c>
      <c r="E1361" t="s">
        <v>513</v>
      </c>
      <c r="F1361" t="s">
        <v>1064</v>
      </c>
      <c r="G1361" t="str">
        <f>_xlfn.TEXTJOIN(",",TRUE,_xlfn._xlws.FILTER(GPU_brand[GPU brand], (GPU_brand[GPU brand text]&lt;&gt;"") * ISNUMBER(SEARCH(GPU_brand[GPU brand text], B1361)), ""))</f>
        <v>ASUS</v>
      </c>
      <c r="H1361" t="str">
        <f>_xlfn.TEXTJOIN(",",TRUE,_xlfn._xlws.FILTER(Chipset_Table[Chipset], (Chipset_Table[Chipset text]&lt;&gt;"") * ISNUMBER(SEARCH(Chipset_Table[Chipset text], B1361)), ""))</f>
        <v>GeForce GTX 1660 SUPER,GeForce GTX 1660, GTX 1660 Super</v>
      </c>
      <c r="I1361" t="str">
        <f>_xlfn.TEXTJOIN(",",TRUE,_xlfn._xlws.FILTER(VRAM_table[Video memory], (VRAM_table[Video memory text]&lt;&gt;"") * ISNUMBER(SEARCH(VRAM_table[Video memory text], B1361)), ""))</f>
        <v>6GB,6GB</v>
      </c>
    </row>
    <row r="1362" spans="1:9" x14ac:dyDescent="0.35">
      <c r="A1362" t="s">
        <v>9</v>
      </c>
      <c r="B1362" t="s">
        <v>514</v>
      </c>
      <c r="C1362">
        <v>7690000</v>
      </c>
      <c r="D1362">
        <v>6990000</v>
      </c>
      <c r="E1362" t="s">
        <v>515</v>
      </c>
      <c r="F1362" t="s">
        <v>1064</v>
      </c>
      <c r="G1362" t="str">
        <f>_xlfn.TEXTJOIN(",",TRUE,_xlfn._xlws.FILTER(GPU_brand[GPU brand], (GPU_brand[GPU brand text]&lt;&gt;"") * ISNUMBER(SEARCH(GPU_brand[GPU brand text], B1362)), ""))</f>
        <v>ASUS</v>
      </c>
      <c r="H1362" t="str">
        <f>_xlfn.TEXTJOIN(",",TRUE,_xlfn._xlws.FILTER(Chipset_Table[Chipset], (Chipset_Table[Chipset text]&lt;&gt;"") * ISNUMBER(SEARCH(Chipset_Table[Chipset text], B1362)), ""))</f>
        <v>GeForce GTX 1650,GTX 1650</v>
      </c>
      <c r="I1362" t="str">
        <f>_xlfn.TEXTJOIN(",",TRUE,_xlfn._xlws.FILTER(VRAM_table[Video memory], (VRAM_table[Video memory text]&lt;&gt;"") * ISNUMBER(SEARCH(VRAM_table[Video memory text], B1362)), ""))</f>
        <v>4GB,4GB</v>
      </c>
    </row>
    <row r="1363" spans="1:9" x14ac:dyDescent="0.35">
      <c r="A1363" t="s">
        <v>9</v>
      </c>
      <c r="B1363" t="s">
        <v>516</v>
      </c>
      <c r="C1363">
        <v>0</v>
      </c>
      <c r="D1363">
        <v>6990000</v>
      </c>
      <c r="E1363" t="s">
        <v>517</v>
      </c>
      <c r="F1363" t="s">
        <v>1064</v>
      </c>
      <c r="G1363" t="str">
        <f>_xlfn.TEXTJOIN(",",TRUE,_xlfn._xlws.FILTER(GPU_brand[GPU brand], (GPU_brand[GPU brand text]&lt;&gt;"") * ISNUMBER(SEARCH(GPU_brand[GPU brand text], B1363)), ""))</f>
        <v>ASUS</v>
      </c>
      <c r="H1363" t="str">
        <f>_xlfn.TEXTJOIN(",",TRUE,_xlfn._xlws.FILTER(Chipset_Table[Chipset], (Chipset_Table[Chipset text]&lt;&gt;"") * ISNUMBER(SEARCH(Chipset_Table[Chipset text], B1363)), ""))</f>
        <v>GeForce GTX 1650,GTX 1650</v>
      </c>
      <c r="I1363" t="str">
        <f>_xlfn.TEXTJOIN(",",TRUE,_xlfn._xlws.FILTER(VRAM_table[Video memory], (VRAM_table[Video memory text]&lt;&gt;"") * ISNUMBER(SEARCH(VRAM_table[Video memory text], B1363)), ""))</f>
        <v>4GB,4GB</v>
      </c>
    </row>
    <row r="1364" spans="1:9" x14ac:dyDescent="0.35">
      <c r="A1364" t="s">
        <v>9</v>
      </c>
      <c r="B1364" t="s">
        <v>518</v>
      </c>
      <c r="C1364">
        <v>9990000</v>
      </c>
      <c r="D1364">
        <v>6590000</v>
      </c>
      <c r="E1364" t="s">
        <v>519</v>
      </c>
      <c r="F1364" t="s">
        <v>1064</v>
      </c>
      <c r="G1364" t="str">
        <f>_xlfn.TEXTJOIN(",",TRUE,_xlfn._xlws.FILTER(GPU_brand[GPU brand], (GPU_brand[GPU brand text]&lt;&gt;"") * ISNUMBER(SEARCH(GPU_brand[GPU brand text], B1364)), ""))</f>
        <v>ASUS</v>
      </c>
      <c r="H1364" t="str">
        <f>_xlfn.TEXTJOIN(",",TRUE,_xlfn._xlws.FILTER(Chipset_Table[Chipset], (Chipset_Table[Chipset text]&lt;&gt;"") * ISNUMBER(SEARCH(Chipset_Table[Chipset text], B1364)), ""))</f>
        <v>GeForce RTX 2060,RTX 2060</v>
      </c>
      <c r="I1364" t="str">
        <f>_xlfn.TEXTJOIN(",",TRUE,_xlfn._xlws.FILTER(VRAM_table[Video memory], (VRAM_table[Video memory text]&lt;&gt;"") * ISNUMBER(SEARCH(VRAM_table[Video memory text], B1364)), ""))</f>
        <v>6GB,6GB</v>
      </c>
    </row>
    <row r="1365" spans="1:9" x14ac:dyDescent="0.35">
      <c r="A1365" t="s">
        <v>9</v>
      </c>
      <c r="B1365" t="s">
        <v>520</v>
      </c>
      <c r="C1365">
        <v>0</v>
      </c>
      <c r="D1365">
        <v>6990000</v>
      </c>
      <c r="E1365" t="s">
        <v>521</v>
      </c>
      <c r="F1365" t="s">
        <v>1064</v>
      </c>
      <c r="G1365" t="str">
        <f>_xlfn.TEXTJOIN(",",TRUE,_xlfn._xlws.FILTER(GPU_brand[GPU brand], (GPU_brand[GPU brand text]&lt;&gt;"") * ISNUMBER(SEARCH(GPU_brand[GPU brand text], B1365)), ""))</f>
        <v>Leadtek</v>
      </c>
      <c r="H1365" t="str">
        <f>_xlfn.TEXTJOIN(",",TRUE,_xlfn._xlws.FILTER(Chipset_Table[Chipset], (Chipset_Table[Chipset text]&lt;&gt;"") * ISNUMBER(SEARCH(Chipset_Table[Chipset text], B1365)), ""))</f>
        <v>GeForce GTX 1650,GTX 1650</v>
      </c>
      <c r="I1365" t="str">
        <f>_xlfn.TEXTJOIN(",",TRUE,_xlfn._xlws.FILTER(VRAM_table[Video memory], (VRAM_table[Video memory text]&lt;&gt;"") * ISNUMBER(SEARCH(VRAM_table[Video memory text], B1365)), ""))</f>
        <v>4GB</v>
      </c>
    </row>
    <row r="1366" spans="1:9" x14ac:dyDescent="0.35">
      <c r="A1366" t="s">
        <v>9</v>
      </c>
      <c r="B1366" t="s">
        <v>522</v>
      </c>
      <c r="C1366">
        <v>7490000</v>
      </c>
      <c r="D1366">
        <v>6990000</v>
      </c>
      <c r="E1366" t="s">
        <v>523</v>
      </c>
      <c r="F1366" t="s">
        <v>1064</v>
      </c>
      <c r="G1366" t="str">
        <f>_xlfn.TEXTJOIN(",",TRUE,_xlfn._xlws.FILTER(GPU_brand[GPU brand], (GPU_brand[GPU brand text]&lt;&gt;"") * ISNUMBER(SEARCH(GPU_brand[GPU brand text], B1366)), ""))</f>
        <v>INNO3D</v>
      </c>
      <c r="H1366" t="str">
        <f>_xlfn.TEXTJOIN(",",TRUE,_xlfn._xlws.FILTER(Chipset_Table[Chipset], (Chipset_Table[Chipset text]&lt;&gt;"") * ISNUMBER(SEARCH(Chipset_Table[Chipset text], B1366)), ""))</f>
        <v>GeForce GTX 1650,GTX 1650</v>
      </c>
      <c r="I1366" t="str">
        <f>_xlfn.TEXTJOIN(",",TRUE,_xlfn._xlws.FILTER(VRAM_table[Video memory], (VRAM_table[Video memory text]&lt;&gt;"") * ISNUMBER(SEARCH(VRAM_table[Video memory text], B1366)), ""))</f>
        <v>4GB</v>
      </c>
    </row>
    <row r="1367" spans="1:9" x14ac:dyDescent="0.35">
      <c r="A1367" t="s">
        <v>9</v>
      </c>
      <c r="B1367" t="s">
        <v>524</v>
      </c>
      <c r="C1367">
        <v>15990000</v>
      </c>
      <c r="D1367">
        <v>10490000</v>
      </c>
      <c r="E1367" t="s">
        <v>525</v>
      </c>
      <c r="F1367" t="s">
        <v>1064</v>
      </c>
      <c r="G1367" t="str">
        <f>_xlfn.TEXTJOIN(",",TRUE,_xlfn._xlws.FILTER(GPU_brand[GPU brand], (GPU_brand[GPU brand text]&lt;&gt;"") * ISNUMBER(SEARCH(GPU_brand[GPU brand text], B1367)), ""))</f>
        <v>Gigabyte</v>
      </c>
      <c r="H1367" t="str">
        <f>_xlfn.TEXTJOIN(",",TRUE,_xlfn._xlws.FILTER(Chipset_Table[Chipset], (Chipset_Table[Chipset text]&lt;&gt;"") * ISNUMBER(SEARCH(Chipset_Table[Chipset text], B1367)), ""))</f>
        <v>GeForce RTX 3060,GeForce RTX 3060 Ti,RTX 3060</v>
      </c>
      <c r="I1367" t="str">
        <f>_xlfn.TEXTJOIN(",",TRUE,_xlfn._xlws.FILTER(VRAM_table[Video memory], (VRAM_table[Video memory text]&lt;&gt;"") * ISNUMBER(SEARCH(VRAM_table[Video memory text], B1367)), ""))</f>
        <v>8GB</v>
      </c>
    </row>
    <row r="1368" spans="1:9" x14ac:dyDescent="0.35">
      <c r="A1368" t="s">
        <v>9</v>
      </c>
      <c r="B1368" t="s">
        <v>526</v>
      </c>
      <c r="C1368">
        <v>7690000</v>
      </c>
      <c r="D1368">
        <v>6990000</v>
      </c>
      <c r="E1368" t="s">
        <v>527</v>
      </c>
      <c r="F1368" t="s">
        <v>1064</v>
      </c>
      <c r="G1368" t="str">
        <f>_xlfn.TEXTJOIN(",",TRUE,_xlfn._xlws.FILTER(GPU_brand[GPU brand], (GPU_brand[GPU brand text]&lt;&gt;"") * ISNUMBER(SEARCH(GPU_brand[GPU brand text], B1368)), ""))</f>
        <v>Gigabyte</v>
      </c>
      <c r="H1368" t="str">
        <f>_xlfn.TEXTJOIN(",",TRUE,_xlfn._xlws.FILTER(Chipset_Table[Chipset], (Chipset_Table[Chipset text]&lt;&gt;"") * ISNUMBER(SEARCH(Chipset_Table[Chipset text], B1368)), ""))</f>
        <v>GeForce GTX 1650,GTX 1650</v>
      </c>
      <c r="I1368" t="str">
        <f>_xlfn.TEXTJOIN(",",TRUE,_xlfn._xlws.FILTER(VRAM_table[Video memory], (VRAM_table[Video memory text]&lt;&gt;"") * ISNUMBER(SEARCH(VRAM_table[Video memory text], B1368)), ""))</f>
        <v>4GB</v>
      </c>
    </row>
    <row r="1369" spans="1:9" x14ac:dyDescent="0.35">
      <c r="A1369" t="s">
        <v>9</v>
      </c>
      <c r="B1369" t="s">
        <v>528</v>
      </c>
      <c r="C1369">
        <v>46990000</v>
      </c>
      <c r="D1369">
        <v>29990000</v>
      </c>
      <c r="E1369" t="s">
        <v>529</v>
      </c>
      <c r="F1369" t="s">
        <v>1064</v>
      </c>
      <c r="G1369" t="str">
        <f>_xlfn.TEXTJOIN(",",TRUE,_xlfn._xlws.FILTER(GPU_brand[GPU brand], (GPU_brand[GPU brand text]&lt;&gt;"") * ISNUMBER(SEARCH(GPU_brand[GPU brand text], B1369)), ""))</f>
        <v>Gigabyte</v>
      </c>
      <c r="H1369" t="str">
        <f>_xlfn.TEXTJOIN(",",TRUE,_xlfn._xlws.FILTER(Chipset_Table[Chipset], (Chipset_Table[Chipset text]&lt;&gt;"") * ISNUMBER(SEARCH(Chipset_Table[Chipset text], B1369)), ""))</f>
        <v>GeForce RTX 3080 Ti</v>
      </c>
      <c r="I1369" t="str">
        <f>_xlfn.TEXTJOIN(",",TRUE,_xlfn._xlws.FILTER(VRAM_table[Video memory], (VRAM_table[Video memory text]&lt;&gt;"") * ISNUMBER(SEARCH(VRAM_table[Video memory text], B1369)), ""))</f>
        <v>12GB,2GB</v>
      </c>
    </row>
    <row r="1370" spans="1:9" x14ac:dyDescent="0.35">
      <c r="A1370" t="s">
        <v>9</v>
      </c>
      <c r="B1370" t="s">
        <v>530</v>
      </c>
      <c r="C1370">
        <v>14990000</v>
      </c>
      <c r="D1370">
        <v>11990000</v>
      </c>
      <c r="E1370" t="s">
        <v>531</v>
      </c>
      <c r="F1370" t="s">
        <v>1064</v>
      </c>
      <c r="G1370" t="str">
        <f>_xlfn.TEXTJOIN(",",TRUE,_xlfn._xlws.FILTER(GPU_brand[GPU brand], (GPU_brand[GPU brand text]&lt;&gt;"") * ISNUMBER(SEARCH(GPU_brand[GPU brand text], B1370)), ""))</f>
        <v>ASUS</v>
      </c>
      <c r="H1370" t="str">
        <f>_xlfn.TEXTJOIN(",",TRUE,_xlfn._xlws.FILTER(Chipset_Table[Chipset], (Chipset_Table[Chipset text]&lt;&gt;"") * ISNUMBER(SEARCH(Chipset_Table[Chipset text], B1370)), ""))</f>
        <v>GeForce RTX 3060,GeForce RTX 3060 Ti,RTX 3060</v>
      </c>
      <c r="I1370" t="str">
        <f>_xlfn.TEXTJOIN(",",TRUE,_xlfn._xlws.FILTER(VRAM_table[Video memory], (VRAM_table[Video memory text]&lt;&gt;"") * ISNUMBER(SEARCH(VRAM_table[Video memory text], B1370)), ""))</f>
        <v>8GB,8GB</v>
      </c>
    </row>
    <row r="1371" spans="1:9" x14ac:dyDescent="0.35">
      <c r="A1371" t="s">
        <v>9</v>
      </c>
      <c r="B1371" t="s">
        <v>532</v>
      </c>
      <c r="C1371">
        <v>50990000</v>
      </c>
      <c r="D1371">
        <v>30990000</v>
      </c>
      <c r="E1371" t="s">
        <v>533</v>
      </c>
      <c r="F1371" t="s">
        <v>1064</v>
      </c>
      <c r="G1371" t="str">
        <f>_xlfn.TEXTJOIN(",",TRUE,_xlfn._xlws.FILTER(GPU_brand[GPU brand], (GPU_brand[GPU brand text]&lt;&gt;"") * ISNUMBER(SEARCH(GPU_brand[GPU brand text], B1371)), ""))</f>
        <v>ASUS</v>
      </c>
      <c r="H1371" t="str">
        <f>_xlfn.TEXTJOIN(",",TRUE,_xlfn._xlws.FILTER(Chipset_Table[Chipset], (Chipset_Table[Chipset text]&lt;&gt;"") * ISNUMBER(SEARCH(Chipset_Table[Chipset text], B1371)), ""))</f>
        <v>GeForce RTX 3080 Ti</v>
      </c>
      <c r="I1371" t="str">
        <f>_xlfn.TEXTJOIN(",",TRUE,_xlfn._xlws.FILTER(VRAM_table[Video memory], (VRAM_table[Video memory text]&lt;&gt;"") * ISNUMBER(SEARCH(VRAM_table[Video memory text], B1371)), ""))</f>
        <v>12GB,2GB</v>
      </c>
    </row>
    <row r="1372" spans="1:9" x14ac:dyDescent="0.35">
      <c r="A1372" t="s">
        <v>9</v>
      </c>
      <c r="B1372" t="s">
        <v>534</v>
      </c>
      <c r="C1372">
        <v>34990000</v>
      </c>
      <c r="D1372">
        <v>29990000</v>
      </c>
      <c r="E1372" t="s">
        <v>535</v>
      </c>
      <c r="F1372" t="s">
        <v>1064</v>
      </c>
      <c r="G1372" t="str">
        <f>_xlfn.TEXTJOIN(",",TRUE,_xlfn._xlws.FILTER(GPU_brand[GPU brand], (GPU_brand[GPU brand text]&lt;&gt;"") * ISNUMBER(SEARCH(GPU_brand[GPU brand text], B1372)), ""))</f>
        <v>ASUS</v>
      </c>
      <c r="H1372" t="str">
        <f>_xlfn.TEXTJOIN(",",TRUE,_xlfn._xlws.FILTER(Chipset_Table[Chipset], (Chipset_Table[Chipset text]&lt;&gt;"") * ISNUMBER(SEARCH(Chipset_Table[Chipset text], B1372)), ""))</f>
        <v>GeForce RTX 3080 Ti</v>
      </c>
      <c r="I1372" t="str">
        <f>_xlfn.TEXTJOIN(",",TRUE,_xlfn._xlws.FILTER(VRAM_table[Video memory], (VRAM_table[Video memory text]&lt;&gt;"") * ISNUMBER(SEARCH(VRAM_table[Video memory text], B1372)), ""))</f>
        <v>12GB,2GB</v>
      </c>
    </row>
    <row r="1373" spans="1:9" x14ac:dyDescent="0.35">
      <c r="A1373" t="s">
        <v>9</v>
      </c>
      <c r="B1373" t="s">
        <v>536</v>
      </c>
      <c r="C1373">
        <v>9490000</v>
      </c>
      <c r="D1373">
        <v>6290000</v>
      </c>
      <c r="E1373" t="s">
        <v>537</v>
      </c>
      <c r="F1373" t="s">
        <v>1064</v>
      </c>
      <c r="G1373" t="str">
        <f>_xlfn.TEXTJOIN(",",TRUE,_xlfn._xlws.FILTER(GPU_brand[GPU brand], (GPU_brand[GPU brand text]&lt;&gt;"") * ISNUMBER(SEARCH(GPU_brand[GPU brand text], B1373)), ""))</f>
        <v>ASUS</v>
      </c>
      <c r="H1373" t="str">
        <f>_xlfn.TEXTJOIN(",",TRUE,_xlfn._xlws.FILTER(Chipset_Table[Chipset], (Chipset_Table[Chipset text]&lt;&gt;"") * ISNUMBER(SEARCH(Chipset_Table[Chipset text], B1373)), ""))</f>
        <v>GeForce RTX 2060,RTX 2060</v>
      </c>
      <c r="I1373" t="str">
        <f>_xlfn.TEXTJOIN(",",TRUE,_xlfn._xlws.FILTER(VRAM_table[Video memory], (VRAM_table[Video memory text]&lt;&gt;"") * ISNUMBER(SEARCH(VRAM_table[Video memory text], B1373)), ""))</f>
        <v>6GB,6GB</v>
      </c>
    </row>
    <row r="1374" spans="1:9" x14ac:dyDescent="0.35">
      <c r="A1374" t="s">
        <v>9</v>
      </c>
      <c r="B1374" t="s">
        <v>538</v>
      </c>
      <c r="C1374">
        <v>13290000</v>
      </c>
      <c r="D1374">
        <v>12490000</v>
      </c>
      <c r="E1374" t="s">
        <v>539</v>
      </c>
      <c r="F1374" t="s">
        <v>1064</v>
      </c>
      <c r="G1374" t="str">
        <f>_xlfn.TEXTJOIN(",",TRUE,_xlfn._xlws.FILTER(GPU_brand[GPU brand], (GPU_brand[GPU brand text]&lt;&gt;"") * ISNUMBER(SEARCH(GPU_brand[GPU brand text], B1374)), ""))</f>
        <v>MSI</v>
      </c>
      <c r="H1374" t="str">
        <f>_xlfn.TEXTJOIN(",",TRUE,_xlfn._xlws.FILTER(Chipset_Table[Chipset], (Chipset_Table[Chipset text]&lt;&gt;"") * ISNUMBER(SEARCH(Chipset_Table[Chipset text], B1374)), ""))</f>
        <v>GeForce GTX 1660</v>
      </c>
      <c r="I1374" t="str">
        <f>_xlfn.TEXTJOIN(",",TRUE,_xlfn._xlws.FILTER(VRAM_table[Video memory], (VRAM_table[Video memory text]&lt;&gt;"") * ISNUMBER(SEARCH(VRAM_table[Video memory text], B1374)), ""))</f>
        <v>6GB</v>
      </c>
    </row>
    <row r="1375" spans="1:9" x14ac:dyDescent="0.35">
      <c r="A1375" t="s">
        <v>9</v>
      </c>
      <c r="B1375" t="s">
        <v>540</v>
      </c>
      <c r="C1375">
        <v>0</v>
      </c>
      <c r="D1375">
        <v>10490000</v>
      </c>
      <c r="E1375" t="s">
        <v>541</v>
      </c>
      <c r="F1375" t="s">
        <v>1064</v>
      </c>
      <c r="G1375" t="str">
        <f>_xlfn.TEXTJOIN(",",TRUE,_xlfn._xlws.FILTER(GPU_brand[GPU brand], (GPU_brand[GPU brand text]&lt;&gt;"") * ISNUMBER(SEARCH(GPU_brand[GPU brand text], B1375)), ""))</f>
        <v>MSI</v>
      </c>
      <c r="H1375" t="str">
        <f>_xlfn.TEXTJOIN(",",TRUE,_xlfn._xlws.FILTER(Chipset_Table[Chipset], (Chipset_Table[Chipset text]&lt;&gt;"") * ISNUMBER(SEARCH(Chipset_Table[Chipset text], B1375)), ""))</f>
        <v>RTX 2060</v>
      </c>
      <c r="I1375" t="str">
        <f>_xlfn.TEXTJOIN(",",TRUE,_xlfn._xlws.FILTER(VRAM_table[Video memory], (VRAM_table[Video memory text]&lt;&gt;"") * ISNUMBER(SEARCH(VRAM_table[Video memory text], B1375)), ""))</f>
        <v>6GB</v>
      </c>
    </row>
    <row r="1376" spans="1:9" x14ac:dyDescent="0.35">
      <c r="A1376" t="s">
        <v>9</v>
      </c>
      <c r="B1376" t="s">
        <v>542</v>
      </c>
      <c r="C1376">
        <v>0</v>
      </c>
      <c r="D1376">
        <v>14990000</v>
      </c>
      <c r="E1376" t="s">
        <v>543</v>
      </c>
      <c r="F1376" t="s">
        <v>1064</v>
      </c>
      <c r="G1376" t="str">
        <f>_xlfn.TEXTJOIN(",",TRUE,_xlfn._xlws.FILTER(GPU_brand[GPU brand], (GPU_brand[GPU brand text]&lt;&gt;"") * ISNUMBER(SEARCH(GPU_brand[GPU brand text], B1376)), ""))</f>
        <v>MSI</v>
      </c>
      <c r="H1376" t="str">
        <f>_xlfn.TEXTJOIN(",",TRUE,_xlfn._xlws.FILTER(Chipset_Table[Chipset], (Chipset_Table[Chipset text]&lt;&gt;"") * ISNUMBER(SEARCH(Chipset_Table[Chipset text], B1376)), ""))</f>
        <v>GeForce RTX 2060,RTX 2060</v>
      </c>
      <c r="I1376" t="str">
        <f>_xlfn.TEXTJOIN(",",TRUE,_xlfn._xlws.FILTER(VRAM_table[Video memory], (VRAM_table[Video memory text]&lt;&gt;"") * ISNUMBER(SEARCH(VRAM_table[Video memory text], B1376)), ""))</f>
        <v>6GB</v>
      </c>
    </row>
    <row r="1377" spans="1:9" x14ac:dyDescent="0.35">
      <c r="A1377" t="s">
        <v>9</v>
      </c>
      <c r="B1377" t="s">
        <v>544</v>
      </c>
      <c r="C1377">
        <v>0</v>
      </c>
      <c r="D1377">
        <v>8350000</v>
      </c>
      <c r="E1377" t="s">
        <v>545</v>
      </c>
      <c r="F1377" t="s">
        <v>1064</v>
      </c>
      <c r="G1377" t="str">
        <f>_xlfn.TEXTJOIN(",",TRUE,_xlfn._xlws.FILTER(GPU_brand[GPU brand], (GPU_brand[GPU brand text]&lt;&gt;"") * ISNUMBER(SEARCH(GPU_brand[GPU brand text], B1377)), ""))</f>
        <v>Gigabyte</v>
      </c>
      <c r="H1377" t="str">
        <f>_xlfn.TEXTJOIN(",",TRUE,_xlfn._xlws.FILTER(Chipset_Table[Chipset], (Chipset_Table[Chipset text]&lt;&gt;"") * ISNUMBER(SEARCH(Chipset_Table[Chipset text], B1377)), ""))</f>
        <v>GeForce RTX 2060,RTX 2060</v>
      </c>
      <c r="I1377" t="str">
        <f>_xlfn.TEXTJOIN(",",TRUE,_xlfn._xlws.FILTER(VRAM_table[Video memory], (VRAM_table[Video memory text]&lt;&gt;"") * ISNUMBER(SEARCH(VRAM_table[Video memory text], B1377)), ""))</f>
        <v>6GB</v>
      </c>
    </row>
    <row r="1378" spans="1:9" x14ac:dyDescent="0.35">
      <c r="A1378" t="s">
        <v>9</v>
      </c>
      <c r="B1378" t="s">
        <v>546</v>
      </c>
      <c r="C1378">
        <v>0</v>
      </c>
      <c r="D1378">
        <v>10800000</v>
      </c>
      <c r="E1378" t="s">
        <v>547</v>
      </c>
      <c r="F1378" t="s">
        <v>1064</v>
      </c>
      <c r="G1378" t="str">
        <f>_xlfn.TEXTJOIN(",",TRUE,_xlfn._xlws.FILTER(GPU_brand[GPU brand], (GPU_brand[GPU brand text]&lt;&gt;"") * ISNUMBER(SEARCH(GPU_brand[GPU brand text], B1378)), ""))</f>
        <v>Gigabyte</v>
      </c>
      <c r="H1378" t="str">
        <f>_xlfn.TEXTJOIN(",",TRUE,_xlfn._xlws.FILTER(Chipset_Table[Chipset], (Chipset_Table[Chipset text]&lt;&gt;"") * ISNUMBER(SEARCH(Chipset_Table[Chipset text], B1378)), ""))</f>
        <v>GeForce RTX 2060,RTX 2060</v>
      </c>
      <c r="I1378" t="str">
        <f>_xlfn.TEXTJOIN(",",TRUE,_xlfn._xlws.FILTER(VRAM_table[Video memory], (VRAM_table[Video memory text]&lt;&gt;"") * ISNUMBER(SEARCH(VRAM_table[Video memory text], B1378)), ""))</f>
        <v>6GB</v>
      </c>
    </row>
    <row r="1379" spans="1:9" x14ac:dyDescent="0.35">
      <c r="A1379" t="s">
        <v>9</v>
      </c>
      <c r="B1379" t="s">
        <v>548</v>
      </c>
      <c r="C1379">
        <v>0</v>
      </c>
      <c r="D1379">
        <v>10990000</v>
      </c>
      <c r="E1379" t="s">
        <v>549</v>
      </c>
      <c r="F1379" t="s">
        <v>1064</v>
      </c>
      <c r="G1379" t="str">
        <f>_xlfn.TEXTJOIN(",",TRUE,_xlfn._xlws.FILTER(GPU_brand[GPU brand], (GPU_brand[GPU brand text]&lt;&gt;"") * ISNUMBER(SEARCH(GPU_brand[GPU brand text], B1379)), ""))</f>
        <v>Gigabyte</v>
      </c>
      <c r="H1379" t="str">
        <f>_xlfn.TEXTJOIN(",",TRUE,_xlfn._xlws.FILTER(Chipset_Table[Chipset], (Chipset_Table[Chipset text]&lt;&gt;"") * ISNUMBER(SEARCH(Chipset_Table[Chipset text], B1379)), ""))</f>
        <v>RTX 2060</v>
      </c>
      <c r="I1379" t="str">
        <f>_xlfn.TEXTJOIN(",",TRUE,_xlfn._xlws.FILTER(VRAM_table[Video memory], (VRAM_table[Video memory text]&lt;&gt;"") * ISNUMBER(SEARCH(VRAM_table[Video memory text], B1379)), ""))</f>
        <v>6GB</v>
      </c>
    </row>
    <row r="1380" spans="1:9" x14ac:dyDescent="0.35">
      <c r="A1380" t="s">
        <v>9</v>
      </c>
      <c r="B1380" t="s">
        <v>550</v>
      </c>
      <c r="C1380">
        <v>0</v>
      </c>
      <c r="D1380">
        <v>11990000</v>
      </c>
      <c r="E1380" t="s">
        <v>551</v>
      </c>
      <c r="F1380" t="s">
        <v>1064</v>
      </c>
      <c r="G1380" t="str">
        <f>_xlfn.TEXTJOIN(",",TRUE,_xlfn._xlws.FILTER(GPU_brand[GPU brand], (GPU_brand[GPU brand text]&lt;&gt;"") * ISNUMBER(SEARCH(GPU_brand[GPU brand text], B1380)), ""))</f>
        <v>EVGA</v>
      </c>
      <c r="H1380" t="str">
        <f>_xlfn.TEXTJOIN(",",TRUE,_xlfn._xlws.FILTER(Chipset_Table[Chipset], (Chipset_Table[Chipset text]&lt;&gt;"") * ISNUMBER(SEARCH(Chipset_Table[Chipset text], B1380)), ""))</f>
        <v>GeForce RTX 2060,RTX 2060</v>
      </c>
      <c r="I1380" t="str">
        <f>_xlfn.TEXTJOIN(",",TRUE,_xlfn._xlws.FILTER(VRAM_table[Video memory], (VRAM_table[Video memory text]&lt;&gt;"") * ISNUMBER(SEARCH(VRAM_table[Video memory text], B1380)), ""))</f>
        <v>6GB,6GB</v>
      </c>
    </row>
    <row r="1381" spans="1:9" x14ac:dyDescent="0.35">
      <c r="A1381" t="s">
        <v>9</v>
      </c>
      <c r="B1381" t="s">
        <v>552</v>
      </c>
      <c r="C1381">
        <v>0</v>
      </c>
      <c r="D1381">
        <v>12990000</v>
      </c>
      <c r="E1381" t="s">
        <v>553</v>
      </c>
      <c r="F1381" t="s">
        <v>1064</v>
      </c>
      <c r="G1381" t="str">
        <f>_xlfn.TEXTJOIN(",",TRUE,_xlfn._xlws.FILTER(GPU_brand[GPU brand], (GPU_brand[GPU brand text]&lt;&gt;"") * ISNUMBER(SEARCH(GPU_brand[GPU brand text], B1381)), ""))</f>
        <v>ASUS</v>
      </c>
      <c r="H1381" t="str">
        <f>_xlfn.TEXTJOIN(",",TRUE,_xlfn._xlws.FILTER(Chipset_Table[Chipset], (Chipset_Table[Chipset text]&lt;&gt;"") * ISNUMBER(SEARCH(Chipset_Table[Chipset text], B1381)), ""))</f>
        <v>GeForce RTX 2060,RTX 2060</v>
      </c>
      <c r="I1381" t="str">
        <f>_xlfn.TEXTJOIN(",",TRUE,_xlfn._xlws.FILTER(VRAM_table[Video memory], (VRAM_table[Video memory text]&lt;&gt;"") * ISNUMBER(SEARCH(VRAM_table[Video memory text], B1381)), ""))</f>
        <v>6GB,6GB</v>
      </c>
    </row>
    <row r="1382" spans="1:9" x14ac:dyDescent="0.35">
      <c r="A1382" t="s">
        <v>9</v>
      </c>
      <c r="B1382" t="s">
        <v>554</v>
      </c>
      <c r="C1382">
        <v>0</v>
      </c>
      <c r="D1382">
        <v>10100000</v>
      </c>
      <c r="E1382" t="s">
        <v>555</v>
      </c>
      <c r="F1382" t="s">
        <v>1064</v>
      </c>
      <c r="G1382" t="str">
        <f>_xlfn.TEXTJOIN(",",TRUE,_xlfn._xlws.FILTER(GPU_brand[GPU brand], (GPU_brand[GPU brand text]&lt;&gt;"") * ISNUMBER(SEARCH(GPU_brand[GPU brand text], B1382)), ""))</f>
        <v>ASUS</v>
      </c>
      <c r="H1382" t="str">
        <f>_xlfn.TEXTJOIN(",",TRUE,_xlfn._xlws.FILTER(Chipset_Table[Chipset], (Chipset_Table[Chipset text]&lt;&gt;"") * ISNUMBER(SEARCH(Chipset_Table[Chipset text], B1382)), ""))</f>
        <v>GeForce RTX 2060,RTX 2060</v>
      </c>
      <c r="I1382" t="str">
        <f>_xlfn.TEXTJOIN(",",TRUE,_xlfn._xlws.FILTER(VRAM_table[Video memory], (VRAM_table[Video memory text]&lt;&gt;"") * ISNUMBER(SEARCH(VRAM_table[Video memory text], B1382)), ""))</f>
        <v>6GB,6GB</v>
      </c>
    </row>
    <row r="1383" spans="1:9" x14ac:dyDescent="0.35">
      <c r="A1383" t="s">
        <v>9</v>
      </c>
      <c r="B1383" t="s">
        <v>556</v>
      </c>
      <c r="C1383">
        <v>7690000</v>
      </c>
      <c r="D1383">
        <v>5990000</v>
      </c>
      <c r="E1383" t="s">
        <v>557</v>
      </c>
      <c r="F1383" t="s">
        <v>1064</v>
      </c>
      <c r="G1383" t="str">
        <f>_xlfn.TEXTJOIN(",",TRUE,_xlfn._xlws.FILTER(GPU_brand[GPU brand], (GPU_brand[GPU brand text]&lt;&gt;"") * ISNUMBER(SEARCH(GPU_brand[GPU brand text], B1383)), ""))</f>
        <v>Palit</v>
      </c>
      <c r="H1383" t="str">
        <f>_xlfn.TEXTJOIN(",",TRUE,_xlfn._xlws.FILTER(Chipset_Table[Chipset], (Chipset_Table[Chipset text]&lt;&gt;"") * ISNUMBER(SEARCH(Chipset_Table[Chipset text], B1383)), ""))</f>
        <v>GeForce GTX 1650,GTX 1650</v>
      </c>
      <c r="I1383" t="str">
        <f>_xlfn.TEXTJOIN(",",TRUE,_xlfn._xlws.FILTER(VRAM_table[Video memory], (VRAM_table[Video memory text]&lt;&gt;"") * ISNUMBER(SEARCH(VRAM_table[Video memory text], B1383)), ""))</f>
        <v>4GB,4GB</v>
      </c>
    </row>
    <row r="1384" spans="1:9" x14ac:dyDescent="0.35">
      <c r="A1384" t="s">
        <v>9</v>
      </c>
      <c r="B1384" t="s">
        <v>558</v>
      </c>
      <c r="C1384">
        <v>16990000</v>
      </c>
      <c r="D1384">
        <v>13190000</v>
      </c>
      <c r="E1384" t="s">
        <v>559</v>
      </c>
      <c r="F1384" t="s">
        <v>1064</v>
      </c>
      <c r="G1384" t="str">
        <f>_xlfn.TEXTJOIN(",",TRUE,_xlfn._xlws.FILTER(GPU_brand[GPU brand], (GPU_brand[GPU brand text]&lt;&gt;"") * ISNUMBER(SEARCH(GPU_brand[GPU brand text], B1384)), ""))</f>
        <v>MSI</v>
      </c>
      <c r="H1384" t="str">
        <f>_xlfn.TEXTJOIN(",",TRUE,_xlfn._xlws.FILTER(Chipset_Table[Chipset], (Chipset_Table[Chipset text]&lt;&gt;"") * ISNUMBER(SEARCH(Chipset_Table[Chipset text], B1384)), ""))</f>
        <v>GeForce RTX 3060,GeForce RTX 3060 Ti,RTX 3060</v>
      </c>
      <c r="I1384" t="str">
        <f>_xlfn.TEXTJOIN(",",TRUE,_xlfn._xlws.FILTER(VRAM_table[Video memory], (VRAM_table[Video memory text]&lt;&gt;"") * ISNUMBER(SEARCH(VRAM_table[Video memory text], B1384)), ""))</f>
        <v>8GB</v>
      </c>
    </row>
    <row r="1385" spans="1:9" x14ac:dyDescent="0.35">
      <c r="A1385" t="s">
        <v>9</v>
      </c>
      <c r="B1385" t="s">
        <v>560</v>
      </c>
      <c r="C1385">
        <v>18990000</v>
      </c>
      <c r="D1385">
        <v>11990000</v>
      </c>
      <c r="E1385" t="s">
        <v>561</v>
      </c>
      <c r="F1385" t="s">
        <v>1064</v>
      </c>
      <c r="G1385" t="str">
        <f>_xlfn.TEXTJOIN(",",TRUE,_xlfn._xlws.FILTER(GPU_brand[GPU brand], (GPU_brand[GPU brand text]&lt;&gt;"") * ISNUMBER(SEARCH(GPU_brand[GPU brand text], B1385)), ""))</f>
        <v>MSI</v>
      </c>
      <c r="H1385" t="str">
        <f>_xlfn.TEXTJOIN(",",TRUE,_xlfn._xlws.FILTER(Chipset_Table[Chipset], (Chipset_Table[Chipset text]&lt;&gt;"") * ISNUMBER(SEARCH(Chipset_Table[Chipset text], B1385)), ""))</f>
        <v>GeForce RTX 3060,GeForce RTX 3060 Ti,RTX 3060</v>
      </c>
      <c r="I1385" t="str">
        <f>_xlfn.TEXTJOIN(",",TRUE,_xlfn._xlws.FILTER(VRAM_table[Video memory], (VRAM_table[Video memory text]&lt;&gt;"") * ISNUMBER(SEARCH(VRAM_table[Video memory text], B1385)), ""))</f>
        <v>8GB</v>
      </c>
    </row>
    <row r="1386" spans="1:9" x14ac:dyDescent="0.35">
      <c r="A1386" t="s">
        <v>9</v>
      </c>
      <c r="B1386" t="s">
        <v>562</v>
      </c>
      <c r="C1386">
        <v>7490000</v>
      </c>
      <c r="D1386">
        <v>4990000</v>
      </c>
      <c r="E1386" t="s">
        <v>563</v>
      </c>
      <c r="F1386" t="s">
        <v>1064</v>
      </c>
      <c r="G1386" t="str">
        <f>_xlfn.TEXTJOIN(",",TRUE,_xlfn._xlws.FILTER(GPU_brand[GPU brand], (GPU_brand[GPU brand text]&lt;&gt;"") * ISNUMBER(SEARCH(GPU_brand[GPU brand text], B1386)), ""))</f>
        <v>Manli</v>
      </c>
      <c r="H1386" t="str">
        <f>_xlfn.TEXTJOIN(",",TRUE,_xlfn._xlws.FILTER(Chipset_Table[Chipset], (Chipset_Table[Chipset text]&lt;&gt;"") * ISNUMBER(SEARCH(Chipset_Table[Chipset text], B1386)), ""))</f>
        <v>GeForce GTX 1650,GTX 1650</v>
      </c>
      <c r="I1386" t="str">
        <f>_xlfn.TEXTJOIN(",",TRUE,_xlfn._xlws.FILTER(VRAM_table[Video memory], (VRAM_table[Video memory text]&lt;&gt;"") * ISNUMBER(SEARCH(VRAM_table[Video memory text], B1386)), ""))</f>
        <v>4GB,4GB</v>
      </c>
    </row>
    <row r="1387" spans="1:9" x14ac:dyDescent="0.35">
      <c r="A1387" t="s">
        <v>9</v>
      </c>
      <c r="B1387" t="s">
        <v>564</v>
      </c>
      <c r="C1387">
        <v>6990000</v>
      </c>
      <c r="D1387">
        <v>5590000</v>
      </c>
      <c r="E1387" t="s">
        <v>565</v>
      </c>
      <c r="F1387" t="s">
        <v>1064</v>
      </c>
      <c r="G1387" t="str">
        <f>_xlfn.TEXTJOIN(",",TRUE,_xlfn._xlws.FILTER(GPU_brand[GPU brand], (GPU_brand[GPU brand text]&lt;&gt;"") * ISNUMBER(SEARCH(GPU_brand[GPU brand text], B1387)), ""))</f>
        <v>Gigabyte</v>
      </c>
      <c r="H1387" t="str">
        <f>_xlfn.TEXTJOIN(",",TRUE,_xlfn._xlws.FILTER(Chipset_Table[Chipset], (Chipset_Table[Chipset text]&lt;&gt;"") * ISNUMBER(SEARCH(Chipset_Table[Chipset text], B1387)), ""))</f>
        <v>RX 6600</v>
      </c>
      <c r="I1387" t="str">
        <f>_xlfn.TEXTJOIN(",",TRUE,_xlfn._xlws.FILTER(VRAM_table[Video memory], (VRAM_table[Video memory text]&lt;&gt;"") * ISNUMBER(SEARCH(VRAM_table[Video memory text], B1387)), ""))</f>
        <v>8GB</v>
      </c>
    </row>
    <row r="1388" spans="1:9" x14ac:dyDescent="0.35">
      <c r="A1388" t="s">
        <v>9</v>
      </c>
      <c r="B1388" t="s">
        <v>566</v>
      </c>
      <c r="C1388">
        <v>0</v>
      </c>
      <c r="D1388">
        <v>6690000</v>
      </c>
      <c r="E1388" t="s">
        <v>567</v>
      </c>
      <c r="F1388" t="s">
        <v>1064</v>
      </c>
      <c r="G1388" t="str">
        <f>_xlfn.TEXTJOIN(",",TRUE,_xlfn._xlws.FILTER(GPU_brand[GPU brand], (GPU_brand[GPU brand text]&lt;&gt;"") * ISNUMBER(SEARCH(GPU_brand[GPU brand text], B1388)), ""))</f>
        <v>Gigabyte</v>
      </c>
      <c r="H1388" t="str">
        <f>_xlfn.TEXTJOIN(",",TRUE,_xlfn._xlws.FILTER(Chipset_Table[Chipset], (Chipset_Table[Chipset text]&lt;&gt;"") * ISNUMBER(SEARCH(Chipset_Table[Chipset text], B1388)), ""))</f>
        <v>GeForce GTX 1650,GTX 1650</v>
      </c>
      <c r="I1388" t="str">
        <f>_xlfn.TEXTJOIN(",",TRUE,_xlfn._xlws.FILTER(VRAM_table[Video memory], (VRAM_table[Video memory text]&lt;&gt;"") * ISNUMBER(SEARCH(VRAM_table[Video memory text], B1388)), ""))</f>
        <v>4GB</v>
      </c>
    </row>
    <row r="1389" spans="1:9" x14ac:dyDescent="0.35">
      <c r="A1389" t="s">
        <v>9</v>
      </c>
      <c r="B1389" t="s">
        <v>568</v>
      </c>
      <c r="C1389">
        <v>7890000</v>
      </c>
      <c r="D1389">
        <v>7290000</v>
      </c>
      <c r="E1389" t="s">
        <v>569</v>
      </c>
      <c r="F1389" t="s">
        <v>1064</v>
      </c>
      <c r="G1389" t="str">
        <f>_xlfn.TEXTJOIN(",",TRUE,_xlfn._xlws.FILTER(GPU_brand[GPU brand], (GPU_brand[GPU brand text]&lt;&gt;"") * ISNUMBER(SEARCH(GPU_brand[GPU brand text], B1389)), ""))</f>
        <v>Gigabyte</v>
      </c>
      <c r="H1389" t="str">
        <f>_xlfn.TEXTJOIN(",",TRUE,_xlfn._xlws.FILTER(Chipset_Table[Chipset], (Chipset_Table[Chipset text]&lt;&gt;"") * ISNUMBER(SEARCH(Chipset_Table[Chipset text], B1389)), ""))</f>
        <v>GeForce GTX 1650,GTX 1650</v>
      </c>
      <c r="I1389" t="str">
        <f>_xlfn.TEXTJOIN(",",TRUE,_xlfn._xlws.FILTER(VRAM_table[Video memory], (VRAM_table[Video memory text]&lt;&gt;"") * ISNUMBER(SEARCH(VRAM_table[Video memory text], B1389)), ""))</f>
        <v>4GB</v>
      </c>
    </row>
    <row r="1390" spans="1:9" x14ac:dyDescent="0.35">
      <c r="A1390" t="s">
        <v>9</v>
      </c>
      <c r="B1390" t="s">
        <v>570</v>
      </c>
      <c r="C1390">
        <v>19990000</v>
      </c>
      <c r="D1390">
        <v>14490000</v>
      </c>
      <c r="E1390" t="s">
        <v>571</v>
      </c>
      <c r="F1390" t="s">
        <v>1064</v>
      </c>
      <c r="G1390" t="str">
        <f>_xlfn.TEXTJOIN(",",TRUE,_xlfn._xlws.FILTER(GPU_brand[GPU brand], (GPU_brand[GPU brand text]&lt;&gt;"") * ISNUMBER(SEARCH(GPU_brand[GPU brand text], B1390)), ""))</f>
        <v>Gigabyte</v>
      </c>
      <c r="H1390" t="str">
        <f>_xlfn.TEXTJOIN(",",TRUE,_xlfn._xlws.FILTER(Chipset_Table[Chipset], (Chipset_Table[Chipset text]&lt;&gt;"") * ISNUMBER(SEARCH(Chipset_Table[Chipset text], B1390)), ""))</f>
        <v>GeForce RTX 3060,GeForce RTX 3060 Ti,RTX 3060</v>
      </c>
      <c r="I1390" t="str">
        <f>_xlfn.TEXTJOIN(",",TRUE,_xlfn._xlws.FILTER(VRAM_table[Video memory], (VRAM_table[Video memory text]&lt;&gt;"") * ISNUMBER(SEARCH(VRAM_table[Video memory text], B1390)), ""))</f>
        <v>8GB</v>
      </c>
    </row>
    <row r="1391" spans="1:9" x14ac:dyDescent="0.35">
      <c r="A1391" t="s">
        <v>9</v>
      </c>
      <c r="B1391" t="s">
        <v>572</v>
      </c>
      <c r="C1391">
        <v>7490000</v>
      </c>
      <c r="D1391">
        <v>6890000</v>
      </c>
      <c r="E1391" t="s">
        <v>573</v>
      </c>
      <c r="F1391" t="s">
        <v>1064</v>
      </c>
      <c r="G1391" t="str">
        <f>_xlfn.TEXTJOIN(",",TRUE,_xlfn._xlws.FILTER(GPU_brand[GPU brand], (GPU_brand[GPU brand text]&lt;&gt;"") * ISNUMBER(SEARCH(GPU_brand[GPU brand text], B1391)), ""))</f>
        <v>ASUS</v>
      </c>
      <c r="H1391" t="str">
        <f>_xlfn.TEXTJOIN(",",TRUE,_xlfn._xlws.FILTER(Chipset_Table[Chipset], (Chipset_Table[Chipset text]&lt;&gt;"") * ISNUMBER(SEARCH(Chipset_Table[Chipset text], B1391)), ""))</f>
        <v>GeForce GTX 1650,GTX 1650</v>
      </c>
      <c r="I1391" t="str">
        <f>_xlfn.TEXTJOIN(",",TRUE,_xlfn._xlws.FILTER(VRAM_table[Video memory], (VRAM_table[Video memory text]&lt;&gt;"") * ISNUMBER(SEARCH(VRAM_table[Video memory text], B1391)), ""))</f>
        <v>4GB,4GB</v>
      </c>
    </row>
    <row r="1392" spans="1:9" x14ac:dyDescent="0.35">
      <c r="A1392" t="s">
        <v>9</v>
      </c>
      <c r="B1392" t="s">
        <v>574</v>
      </c>
      <c r="C1392">
        <v>14990000</v>
      </c>
      <c r="D1392">
        <v>12990000</v>
      </c>
      <c r="E1392" t="s">
        <v>575</v>
      </c>
      <c r="F1392" t="s">
        <v>1064</v>
      </c>
      <c r="G1392" t="str">
        <f>_xlfn.TEXTJOIN(",",TRUE,_xlfn._xlws.FILTER(GPU_brand[GPU brand], (GPU_brand[GPU brand text]&lt;&gt;"") * ISNUMBER(SEARCH(GPU_brand[GPU brand text], B1392)), ""))</f>
        <v>ASUS</v>
      </c>
      <c r="H1392" t="str">
        <f>_xlfn.TEXTJOIN(",",TRUE,_xlfn._xlws.FILTER(Chipset_Table[Chipset], (Chipset_Table[Chipset text]&lt;&gt;"") * ISNUMBER(SEARCH(Chipset_Table[Chipset text], B1392)), ""))</f>
        <v>GeForce RTX 3060,GeForce RTX 3060 Ti,RTX 3060</v>
      </c>
      <c r="I1392" t="str">
        <f>_xlfn.TEXTJOIN(",",TRUE,_xlfn._xlws.FILTER(VRAM_table[Video memory], (VRAM_table[Video memory text]&lt;&gt;"") * ISNUMBER(SEARCH(VRAM_table[Video memory text], B1392)), ""))</f>
        <v>8GB,8GB</v>
      </c>
    </row>
    <row r="1393" spans="1:9" x14ac:dyDescent="0.35">
      <c r="A1393" t="s">
        <v>9</v>
      </c>
      <c r="B1393" t="s">
        <v>576</v>
      </c>
      <c r="C1393">
        <v>14490000</v>
      </c>
      <c r="D1393">
        <v>12490000</v>
      </c>
      <c r="E1393" t="s">
        <v>577</v>
      </c>
      <c r="F1393" t="s">
        <v>1064</v>
      </c>
      <c r="G1393" t="str">
        <f>_xlfn.TEXTJOIN(",",TRUE,_xlfn._xlws.FILTER(GPU_brand[GPU brand], (GPU_brand[GPU brand text]&lt;&gt;"") * ISNUMBER(SEARCH(GPU_brand[GPU brand text], B1393)), ""))</f>
        <v>ASUS</v>
      </c>
      <c r="H1393" t="str">
        <f>_xlfn.TEXTJOIN(",",TRUE,_xlfn._xlws.FILTER(Chipset_Table[Chipset], (Chipset_Table[Chipset text]&lt;&gt;"") * ISNUMBER(SEARCH(Chipset_Table[Chipset text], B1393)), ""))</f>
        <v>GeForce RTX 3060,GeForce RTX 3060 Ti,RTX 3060</v>
      </c>
      <c r="I1393" t="str">
        <f>_xlfn.TEXTJOIN(",",TRUE,_xlfn._xlws.FILTER(VRAM_table[Video memory], (VRAM_table[Video memory text]&lt;&gt;"") * ISNUMBER(SEARCH(VRAM_table[Video memory text], B1393)), ""))</f>
        <v>8GB,8GB</v>
      </c>
    </row>
    <row r="1394" spans="1:9" x14ac:dyDescent="0.35">
      <c r="A1394" t="s">
        <v>9</v>
      </c>
      <c r="B1394" t="s">
        <v>578</v>
      </c>
      <c r="C1394">
        <v>7490000</v>
      </c>
      <c r="D1394">
        <v>6390000</v>
      </c>
      <c r="E1394" t="s">
        <v>579</v>
      </c>
      <c r="F1394" t="s">
        <v>1064</v>
      </c>
      <c r="G1394" t="str">
        <f>_xlfn.TEXTJOIN(",",TRUE,_xlfn._xlws.FILTER(GPU_brand[GPU brand], (GPU_brand[GPU brand text]&lt;&gt;"") * ISNUMBER(SEARCH(GPU_brand[GPU brand text], B1394)), ""))</f>
        <v>Palit</v>
      </c>
      <c r="H1394" t="str">
        <f>_xlfn.TEXTJOIN(",",TRUE,_xlfn._xlws.FILTER(Chipset_Table[Chipset], (Chipset_Table[Chipset text]&lt;&gt;"") * ISNUMBER(SEARCH(Chipset_Table[Chipset text], B1394)), ""))</f>
        <v>GeForce GTX 1650,GTX 1650</v>
      </c>
      <c r="I1394" t="str">
        <f>_xlfn.TEXTJOIN(",",TRUE,_xlfn._xlws.FILTER(VRAM_table[Video memory], (VRAM_table[Video memory text]&lt;&gt;"") * ISNUMBER(SEARCH(VRAM_table[Video memory text], B1394)), ""))</f>
        <v>4GB</v>
      </c>
    </row>
    <row r="1395" spans="1:9" x14ac:dyDescent="0.35">
      <c r="A1395" t="s">
        <v>9</v>
      </c>
      <c r="B1395" t="s">
        <v>580</v>
      </c>
      <c r="C1395">
        <v>7690000</v>
      </c>
      <c r="D1395">
        <v>7290000</v>
      </c>
      <c r="E1395" t="s">
        <v>581</v>
      </c>
      <c r="F1395" t="s">
        <v>1064</v>
      </c>
      <c r="G1395" t="str">
        <f>_xlfn.TEXTJOIN(",",TRUE,_xlfn._xlws.FILTER(GPU_brand[GPU brand], (GPU_brand[GPU brand text]&lt;&gt;"") * ISNUMBER(SEARCH(GPU_brand[GPU brand text], B1395)), ""))</f>
        <v>MSI</v>
      </c>
      <c r="H1395" t="str">
        <f>_xlfn.TEXTJOIN(",",TRUE,_xlfn._xlws.FILTER(Chipset_Table[Chipset], (Chipset_Table[Chipset text]&lt;&gt;"") * ISNUMBER(SEARCH(Chipset_Table[Chipset text], B1395)), ""))</f>
        <v>GeForce GTX 1650,GTX 1650</v>
      </c>
      <c r="I1395" t="str">
        <f>_xlfn.TEXTJOIN(",",TRUE,_xlfn._xlws.FILTER(VRAM_table[Video memory], (VRAM_table[Video memory text]&lt;&gt;"") * ISNUMBER(SEARCH(VRAM_table[Video memory text], B1395)), ""))</f>
        <v>4GB</v>
      </c>
    </row>
    <row r="1396" spans="1:9" x14ac:dyDescent="0.35">
      <c r="A1396" t="s">
        <v>9</v>
      </c>
      <c r="B1396" t="s">
        <v>582</v>
      </c>
      <c r="C1396">
        <v>12990000</v>
      </c>
      <c r="D1396">
        <v>9990000</v>
      </c>
      <c r="E1396" t="s">
        <v>583</v>
      </c>
      <c r="F1396" t="s">
        <v>1064</v>
      </c>
      <c r="G1396" t="str">
        <f>_xlfn.TEXTJOIN(",",TRUE,_xlfn._xlws.FILTER(GPU_brand[GPU brand], (GPU_brand[GPU brand text]&lt;&gt;"") * ISNUMBER(SEARCH(GPU_brand[GPU brand text], B1396)), ""))</f>
        <v>Gigabyte</v>
      </c>
      <c r="H1396" t="str">
        <f>_xlfn.TEXTJOIN(",",TRUE,_xlfn._xlws.FILTER(Chipset_Table[Chipset], (Chipset_Table[Chipset text]&lt;&gt;"") * ISNUMBER(SEARCH(Chipset_Table[Chipset text], B1396)), ""))</f>
        <v>GeForce RTX 2060,RTX 2060</v>
      </c>
      <c r="I1396" t="str">
        <f>_xlfn.TEXTJOIN(",",TRUE,_xlfn._xlws.FILTER(VRAM_table[Video memory], (VRAM_table[Video memory text]&lt;&gt;"") * ISNUMBER(SEARCH(VRAM_table[Video memory text], B1396)), ""))</f>
        <v>12GB,2GB</v>
      </c>
    </row>
    <row r="1397" spans="1:9" x14ac:dyDescent="0.35">
      <c r="A1397" t="s">
        <v>9</v>
      </c>
      <c r="B1397" t="s">
        <v>584</v>
      </c>
      <c r="C1397">
        <v>0</v>
      </c>
      <c r="D1397">
        <v>16790000</v>
      </c>
      <c r="E1397" t="s">
        <v>585</v>
      </c>
      <c r="F1397" t="s">
        <v>1064</v>
      </c>
      <c r="G1397" t="str">
        <f>_xlfn.TEXTJOIN(",",TRUE,_xlfn._xlws.FILTER(GPU_brand[GPU brand], (GPU_brand[GPU brand text]&lt;&gt;"") * ISNUMBER(SEARCH(GPU_brand[GPU brand text], B1397)), ""))</f>
        <v>Gigabyte</v>
      </c>
      <c r="H1397" t="str">
        <f>_xlfn.TEXTJOIN(",",TRUE,_xlfn._xlws.FILTER(Chipset_Table[Chipset], (Chipset_Table[Chipset text]&lt;&gt;"") * ISNUMBER(SEARCH(Chipset_Table[Chipset text], B1397)), ""))</f>
        <v>GeForce RTX 2060,RTX 2060</v>
      </c>
      <c r="I1397" t="str">
        <f>_xlfn.TEXTJOIN(",",TRUE,_xlfn._xlws.FILTER(VRAM_table[Video memory], (VRAM_table[Video memory text]&lt;&gt;"") * ISNUMBER(SEARCH(VRAM_table[Video memory text], B1397)), ""))</f>
        <v>12GB,2GB</v>
      </c>
    </row>
    <row r="1398" spans="1:9" x14ac:dyDescent="0.35">
      <c r="A1398" t="s">
        <v>9</v>
      </c>
      <c r="B1398" t="s">
        <v>586</v>
      </c>
      <c r="C1398">
        <v>9490000</v>
      </c>
      <c r="D1398">
        <v>5990000</v>
      </c>
      <c r="E1398" t="s">
        <v>587</v>
      </c>
      <c r="F1398" t="s">
        <v>1064</v>
      </c>
      <c r="G1398" t="str">
        <f>_xlfn.TEXTJOIN(",",TRUE,_xlfn._xlws.FILTER(GPU_brand[GPU brand], (GPU_brand[GPU brand text]&lt;&gt;"") * ISNUMBER(SEARCH(GPU_brand[GPU brand text], B1398)), ""))</f>
        <v>ASUS</v>
      </c>
      <c r="H1398" t="str">
        <f>_xlfn.TEXTJOIN(",",TRUE,_xlfn._xlws.FILTER(Chipset_Table[Chipset], (Chipset_Table[Chipset text]&lt;&gt;"") * ISNUMBER(SEARCH(Chipset_Table[Chipset text], B1398)), ""))</f>
        <v>GeForce GTX 1660</v>
      </c>
      <c r="I1398" t="str">
        <f>_xlfn.TEXTJOIN(",",TRUE,_xlfn._xlws.FILTER(VRAM_table[Video memory], (VRAM_table[Video memory text]&lt;&gt;"") * ISNUMBER(SEARCH(VRAM_table[Video memory text], B1398)), ""))</f>
        <v>6GB,6GB</v>
      </c>
    </row>
    <row r="1399" spans="1:9" x14ac:dyDescent="0.35">
      <c r="A1399" t="s">
        <v>9</v>
      </c>
      <c r="B1399" t="s">
        <v>588</v>
      </c>
      <c r="C1399">
        <v>1990000</v>
      </c>
      <c r="D1399">
        <v>1550000</v>
      </c>
      <c r="E1399" t="s">
        <v>589</v>
      </c>
      <c r="F1399" t="s">
        <v>1064</v>
      </c>
      <c r="G1399" t="str">
        <f>_xlfn.TEXTJOIN(",",TRUE,_xlfn._xlws.FILTER(GPU_brand[GPU brand], (GPU_brand[GPU brand text]&lt;&gt;"") * ISNUMBER(SEARCH(GPU_brand[GPU brand text], B1399)), ""))</f>
        <v>ASUS</v>
      </c>
      <c r="H1399" t="str">
        <f>_xlfn.TEXTJOIN(",",TRUE,_xlfn._xlws.FILTER(Chipset_Table[Chipset], (Chipset_Table[Chipset text]&lt;&gt;"") * ISNUMBER(SEARCH(Chipset_Table[Chipset text], B1399)), ""))</f>
        <v>GeForce GT 730</v>
      </c>
      <c r="I1399" t="str">
        <f>_xlfn.TEXTJOIN(",",TRUE,_xlfn._xlws.FILTER(VRAM_table[Video memory], (VRAM_table[Video memory text]&lt;&gt;"") * ISNUMBER(SEARCH(VRAM_table[Video memory text], B1399)), ""))</f>
        <v>2GB</v>
      </c>
    </row>
    <row r="1400" spans="1:9" x14ac:dyDescent="0.35">
      <c r="A1400" t="s">
        <v>9</v>
      </c>
      <c r="B1400" t="s">
        <v>590</v>
      </c>
      <c r="C1400">
        <v>7490000</v>
      </c>
      <c r="D1400">
        <v>6790000</v>
      </c>
      <c r="E1400" t="s">
        <v>591</v>
      </c>
      <c r="F1400" t="s">
        <v>1064</v>
      </c>
      <c r="G1400" t="str">
        <f>_xlfn.TEXTJOIN(",",TRUE,_xlfn._xlws.FILTER(GPU_brand[GPU brand], (GPU_brand[GPU brand text]&lt;&gt;"") * ISNUMBER(SEARCH(GPU_brand[GPU brand text], B1400)), ""))</f>
        <v>MSI</v>
      </c>
      <c r="H1400" t="str">
        <f>_xlfn.TEXTJOIN(",",TRUE,_xlfn._xlws.FILTER(Chipset_Table[Chipset], (Chipset_Table[Chipset text]&lt;&gt;"") * ISNUMBER(SEARCH(Chipset_Table[Chipset text], B1400)), ""))</f>
        <v>GTX 1650</v>
      </c>
      <c r="I1400" t="str">
        <f>_xlfn.TEXTJOIN(",",TRUE,_xlfn._xlws.FILTER(VRAM_table[Video memory], (VRAM_table[Video memory text]&lt;&gt;"") * ISNUMBER(SEARCH(VRAM_table[Video memory text], B1400)), ""))</f>
        <v>4GB,4GB</v>
      </c>
    </row>
    <row r="1401" spans="1:9" x14ac:dyDescent="0.35">
      <c r="A1401" t="s">
        <v>9</v>
      </c>
      <c r="B1401" t="s">
        <v>592</v>
      </c>
      <c r="C1401">
        <v>5390000</v>
      </c>
      <c r="D1401">
        <v>5190000</v>
      </c>
      <c r="E1401" t="s">
        <v>593</v>
      </c>
      <c r="F1401" t="s">
        <v>1064</v>
      </c>
      <c r="G1401" t="str">
        <f>_xlfn.TEXTJOIN(",",TRUE,_xlfn._xlws.FILTER(GPU_brand[GPU brand], (GPU_brand[GPU brand text]&lt;&gt;"") * ISNUMBER(SEARCH(GPU_brand[GPU brand text], B1401)), ""))</f>
        <v>ASUS</v>
      </c>
      <c r="H1401" t="str">
        <f>_xlfn.TEXTJOIN(",",TRUE,_xlfn._xlws.FILTER(Chipset_Table[Chipset], (Chipset_Table[Chipset text]&lt;&gt;"") * ISNUMBER(SEARCH(Chipset_Table[Chipset text], B1401)), ""))</f>
        <v>GeForce GTX 1660 SUPER,GeForce GTX 1660, GTX 1660 Super</v>
      </c>
      <c r="I1401" t="str">
        <f>_xlfn.TEXTJOIN(",",TRUE,_xlfn._xlws.FILTER(VRAM_table[Video memory], (VRAM_table[Video memory text]&lt;&gt;"") * ISNUMBER(SEARCH(VRAM_table[Video memory text], B1401)), ""))</f>
        <v>6GB,6GB</v>
      </c>
    </row>
    <row r="1402" spans="1:9" x14ac:dyDescent="0.35">
      <c r="A1402" t="s">
        <v>9</v>
      </c>
      <c r="B1402" t="s">
        <v>594</v>
      </c>
      <c r="C1402">
        <v>0</v>
      </c>
      <c r="D1402">
        <v>100000000</v>
      </c>
      <c r="E1402" t="s">
        <v>595</v>
      </c>
      <c r="F1402" t="s">
        <v>1064</v>
      </c>
      <c r="G1402" t="str">
        <f>_xlfn.TEXTJOIN(",",TRUE,_xlfn._xlws.FILTER(GPU_brand[GPU brand], (GPU_brand[GPU brand text]&lt;&gt;"") * ISNUMBER(SEARCH(GPU_brand[GPU brand text], B1402)), ""))</f>
        <v>MSI</v>
      </c>
      <c r="H1402" t="str">
        <f>_xlfn.TEXTJOIN(",",TRUE,_xlfn._xlws.FILTER(Chipset_Table[Chipset], (Chipset_Table[Chipset text]&lt;&gt;"") * ISNUMBER(SEARCH(Chipset_Table[Chipset text], B1402)), ""))</f>
        <v>GeForce RTX 3060,RTX 3060</v>
      </c>
      <c r="I1402" t="str">
        <f>_xlfn.TEXTJOIN(",",TRUE,_xlfn._xlws.FILTER(VRAM_table[Video memory], (VRAM_table[Video memory text]&lt;&gt;"") * ISNUMBER(SEARCH(VRAM_table[Video memory text], B1402)), ""))</f>
        <v>12GB,2GB</v>
      </c>
    </row>
    <row r="1403" spans="1:9" x14ac:dyDescent="0.35">
      <c r="A1403" t="s">
        <v>9</v>
      </c>
      <c r="B1403" t="s">
        <v>596</v>
      </c>
      <c r="C1403">
        <v>6990000</v>
      </c>
      <c r="D1403">
        <v>5990000</v>
      </c>
      <c r="E1403" t="s">
        <v>597</v>
      </c>
      <c r="F1403" t="s">
        <v>1064</v>
      </c>
      <c r="G1403" t="str">
        <f>_xlfn.TEXTJOIN(",",TRUE,_xlfn._xlws.FILTER(GPU_brand[GPU brand], (GPU_brand[GPU brand text]&lt;&gt;"") * ISNUMBER(SEARCH(GPU_brand[GPU brand text], B1403)), ""))</f>
        <v>Gigabyte</v>
      </c>
      <c r="H1403" t="str">
        <f>_xlfn.TEXTJOIN(",",TRUE,_xlfn._xlws.FILTER(Chipset_Table[Chipset], (Chipset_Table[Chipset text]&lt;&gt;"") * ISNUMBER(SEARCH(Chipset_Table[Chipset text], B1403)), ""))</f>
        <v>GeForce RTX 3050</v>
      </c>
      <c r="I1403" t="str">
        <f>_xlfn.TEXTJOIN(",",TRUE,_xlfn._xlws.FILTER(VRAM_table[Video memory], (VRAM_table[Video memory text]&lt;&gt;"") * ISNUMBER(SEARCH(VRAM_table[Video memory text], B1403)), ""))</f>
        <v>8GB</v>
      </c>
    </row>
    <row r="1404" spans="1:9" x14ac:dyDescent="0.35">
      <c r="A1404" t="s">
        <v>9</v>
      </c>
      <c r="B1404" t="s">
        <v>598</v>
      </c>
      <c r="C1404">
        <v>6790000</v>
      </c>
      <c r="D1404">
        <v>5890000</v>
      </c>
      <c r="E1404" t="s">
        <v>599</v>
      </c>
      <c r="F1404" t="s">
        <v>1064</v>
      </c>
      <c r="G1404" t="str">
        <f>_xlfn.TEXTJOIN(",",TRUE,_xlfn._xlws.FILTER(GPU_brand[GPU brand], (GPU_brand[GPU brand text]&lt;&gt;"") * ISNUMBER(SEARCH(GPU_brand[GPU brand text], B1404)), ""))</f>
        <v>ASUS</v>
      </c>
      <c r="H1404" t="str">
        <f>_xlfn.TEXTJOIN(",",TRUE,_xlfn._xlws.FILTER(Chipset_Table[Chipset], (Chipset_Table[Chipset text]&lt;&gt;"") * ISNUMBER(SEARCH(Chipset_Table[Chipset text], B1404)), ""))</f>
        <v>GeForce RTX 3050</v>
      </c>
      <c r="I1404" t="str">
        <f>_xlfn.TEXTJOIN(",",TRUE,_xlfn._xlws.FILTER(VRAM_table[Video memory], (VRAM_table[Video memory text]&lt;&gt;"") * ISNUMBER(SEARCH(VRAM_table[Video memory text], B1404)), ""))</f>
        <v>8GB,8GB</v>
      </c>
    </row>
    <row r="1405" spans="1:9" x14ac:dyDescent="0.35">
      <c r="A1405" t="s">
        <v>9</v>
      </c>
      <c r="B1405" t="s">
        <v>600</v>
      </c>
      <c r="C1405">
        <v>16990000</v>
      </c>
      <c r="D1405">
        <v>13990000</v>
      </c>
      <c r="E1405" t="s">
        <v>601</v>
      </c>
      <c r="F1405" t="s">
        <v>1064</v>
      </c>
      <c r="G1405" t="str">
        <f>_xlfn.TEXTJOIN(",",TRUE,_xlfn._xlws.FILTER(GPU_brand[GPU brand], (GPU_brand[GPU brand text]&lt;&gt;"") * ISNUMBER(SEARCH(GPU_brand[GPU brand text], B1405)), ""))</f>
        <v>ASUS</v>
      </c>
      <c r="H1405" t="str">
        <f>_xlfn.TEXTJOIN(",",TRUE,_xlfn._xlws.FILTER(Chipset_Table[Chipset], (Chipset_Table[Chipset text]&lt;&gt;"") * ISNUMBER(SEARCH(Chipset_Table[Chipset text], B1405)), ""))</f>
        <v>GeForce RTX 2060,RTX 2060</v>
      </c>
      <c r="I1405" t="str">
        <f>_xlfn.TEXTJOIN(",",TRUE,_xlfn._xlws.FILTER(VRAM_table[Video memory], (VRAM_table[Video memory text]&lt;&gt;"") * ISNUMBER(SEARCH(VRAM_table[Video memory text], B1405)), ""))</f>
        <v>12GB,2GB</v>
      </c>
    </row>
    <row r="1406" spans="1:9" x14ac:dyDescent="0.35">
      <c r="A1406" t="s">
        <v>9</v>
      </c>
      <c r="B1406" t="s">
        <v>602</v>
      </c>
      <c r="C1406">
        <v>7990000</v>
      </c>
      <c r="D1406">
        <v>4190000</v>
      </c>
      <c r="E1406" t="s">
        <v>603</v>
      </c>
      <c r="F1406" t="s">
        <v>1064</v>
      </c>
      <c r="G1406" t="str">
        <f>_xlfn.TEXTJOIN(",",TRUE,_xlfn._xlws.FILTER(GPU_brand[GPU brand], (GPU_brand[GPU brand text]&lt;&gt;"") * ISNUMBER(SEARCH(GPU_brand[GPU brand text], B1406)), ""))</f>
        <v>MSI</v>
      </c>
      <c r="H1406" t="str">
        <f>_xlfn.TEXTJOIN(",",TRUE,_xlfn._xlws.FILTER(Chipset_Table[Chipset], (Chipset_Table[Chipset text]&lt;&gt;"") * ISNUMBER(SEARCH(Chipset_Table[Chipset text], B1406)), ""))</f>
        <v>GeForce GTX 1650,GTX 1650</v>
      </c>
      <c r="I1406" t="str">
        <f>_xlfn.TEXTJOIN(",",TRUE,_xlfn._xlws.FILTER(VRAM_table[Video memory], (VRAM_table[Video memory text]&lt;&gt;"") * ISNUMBER(SEARCH(VRAM_table[Video memory text], B1406)), ""))</f>
        <v>4GB,4GB</v>
      </c>
    </row>
    <row r="1407" spans="1:9" x14ac:dyDescent="0.35">
      <c r="A1407" t="s">
        <v>9</v>
      </c>
      <c r="B1407" t="s">
        <v>604</v>
      </c>
      <c r="C1407">
        <v>4190000</v>
      </c>
      <c r="D1407">
        <v>3890000</v>
      </c>
      <c r="E1407" t="s">
        <v>605</v>
      </c>
      <c r="F1407" t="s">
        <v>1064</v>
      </c>
      <c r="G1407" t="str">
        <f>_xlfn.TEXTJOIN(",",TRUE,_xlfn._xlws.FILTER(GPU_brand[GPU brand], (GPU_brand[GPU brand text]&lt;&gt;"") * ISNUMBER(SEARCH(GPU_brand[GPU brand text], B1407)), ""))</f>
        <v>Gigabyte</v>
      </c>
      <c r="H1407" t="str">
        <f>_xlfn.TEXTJOIN(",",TRUE,_xlfn._xlws.FILTER(Chipset_Table[Chipset], (Chipset_Table[Chipset text]&lt;&gt;"") * ISNUMBER(SEARCH(Chipset_Table[Chipset text], B1407)), ""))</f>
        <v>GeForce GTX 1650,GTX 1650</v>
      </c>
      <c r="I1407" t="str">
        <f>_xlfn.TEXTJOIN(",",TRUE,_xlfn._xlws.FILTER(VRAM_table[Video memory], (VRAM_table[Video memory text]&lt;&gt;"") * ISNUMBER(SEARCH(VRAM_table[Video memory text], B1407)), ""))</f>
        <v>4GB</v>
      </c>
    </row>
    <row r="1408" spans="1:9" x14ac:dyDescent="0.35">
      <c r="A1408" t="s">
        <v>9</v>
      </c>
      <c r="B1408" t="s">
        <v>606</v>
      </c>
      <c r="C1408">
        <v>7990000</v>
      </c>
      <c r="D1408">
        <v>7390000</v>
      </c>
      <c r="E1408" t="s">
        <v>607</v>
      </c>
      <c r="F1408" t="s">
        <v>1064</v>
      </c>
      <c r="G1408" t="str">
        <f>_xlfn.TEXTJOIN(",",TRUE,_xlfn._xlws.FILTER(GPU_brand[GPU brand], (GPU_brand[GPU brand text]&lt;&gt;"") * ISNUMBER(SEARCH(GPU_brand[GPU brand text], B1408)), ""))</f>
        <v>Gigabyte</v>
      </c>
      <c r="H1408" t="str">
        <f>_xlfn.TEXTJOIN(",",TRUE,_xlfn._xlws.FILTER(Chipset_Table[Chipset], (Chipset_Table[Chipset text]&lt;&gt;"") * ISNUMBER(SEARCH(Chipset_Table[Chipset text], B1408)), ""))</f>
        <v>GeForce GTX 1650,GTX 1650</v>
      </c>
      <c r="I1408" t="str">
        <f>_xlfn.TEXTJOIN(",",TRUE,_xlfn._xlws.FILTER(VRAM_table[Video memory], (VRAM_table[Video memory text]&lt;&gt;"") * ISNUMBER(SEARCH(VRAM_table[Video memory text], B1408)), ""))</f>
        <v>4GB</v>
      </c>
    </row>
    <row r="1409" spans="1:9" x14ac:dyDescent="0.35">
      <c r="A1409" t="s">
        <v>9</v>
      </c>
      <c r="B1409" t="s">
        <v>608</v>
      </c>
      <c r="C1409">
        <v>5500000</v>
      </c>
      <c r="D1409">
        <v>4290000</v>
      </c>
      <c r="E1409" t="s">
        <v>609</v>
      </c>
      <c r="F1409" t="s">
        <v>1064</v>
      </c>
      <c r="G1409" t="str">
        <f>_xlfn.TEXTJOIN(",",TRUE,_xlfn._xlws.FILTER(GPU_brand[GPU brand], (GPU_brand[GPU brand text]&lt;&gt;"") * ISNUMBER(SEARCH(GPU_brand[GPU brand text], B1409)), ""))</f>
        <v>ASUS</v>
      </c>
      <c r="H1409" t="str">
        <f>_xlfn.TEXTJOIN(",",TRUE,_xlfn._xlws.FILTER(Chipset_Table[Chipset], (Chipset_Table[Chipset text]&lt;&gt;"") * ISNUMBER(SEARCH(Chipset_Table[Chipset text], B1409)), ""))</f>
        <v>GeForce GTX 1650,GTX 1650</v>
      </c>
      <c r="I1409" t="str">
        <f>_xlfn.TEXTJOIN(",",TRUE,_xlfn._xlws.FILTER(VRAM_table[Video memory], (VRAM_table[Video memory text]&lt;&gt;"") * ISNUMBER(SEARCH(VRAM_table[Video memory text], B1409)), ""))</f>
        <v>4GB</v>
      </c>
    </row>
    <row r="1410" spans="1:9" x14ac:dyDescent="0.35">
      <c r="A1410" t="s">
        <v>9</v>
      </c>
      <c r="B1410" t="s">
        <v>610</v>
      </c>
      <c r="C1410">
        <v>0</v>
      </c>
      <c r="D1410">
        <v>4770000</v>
      </c>
      <c r="E1410" t="s">
        <v>611</v>
      </c>
      <c r="F1410" t="s">
        <v>1064</v>
      </c>
      <c r="G1410" t="str">
        <f>_xlfn.TEXTJOIN(",",TRUE,_xlfn._xlws.FILTER(GPU_brand[GPU brand], (GPU_brand[GPU brand text]&lt;&gt;"") * ISNUMBER(SEARCH(GPU_brand[GPU brand text], B1410)), ""))</f>
        <v>ASUS</v>
      </c>
      <c r="H1410" t="str">
        <f>_xlfn.TEXTJOIN(",",TRUE,_xlfn._xlws.FILTER(Chipset_Table[Chipset], (Chipset_Table[Chipset text]&lt;&gt;"") * ISNUMBER(SEARCH(Chipset_Table[Chipset text], B1410)), ""))</f>
        <v>GeForce GTX 1650,GTX 1650</v>
      </c>
      <c r="I1410" t="str">
        <f>_xlfn.TEXTJOIN(",",TRUE,_xlfn._xlws.FILTER(VRAM_table[Video memory], (VRAM_table[Video memory text]&lt;&gt;"") * ISNUMBER(SEARCH(VRAM_table[Video memory text], B1410)), ""))</f>
        <v>4GB,4GB</v>
      </c>
    </row>
    <row r="1411" spans="1:9" x14ac:dyDescent="0.35">
      <c r="A1411" t="s">
        <v>9</v>
      </c>
      <c r="B1411" t="s">
        <v>612</v>
      </c>
      <c r="C1411">
        <v>0</v>
      </c>
      <c r="D1411">
        <v>5290000</v>
      </c>
      <c r="E1411" t="s">
        <v>613</v>
      </c>
      <c r="F1411" t="s">
        <v>1064</v>
      </c>
      <c r="G1411" t="str">
        <f>_xlfn.TEXTJOIN(",",TRUE,_xlfn._xlws.FILTER(GPU_brand[GPU brand], (GPU_brand[GPU brand text]&lt;&gt;"") * ISNUMBER(SEARCH(GPU_brand[GPU brand text], B1411)), ""))</f>
        <v>MSI</v>
      </c>
      <c r="H1411" t="str">
        <f>_xlfn.TEXTJOIN(",",TRUE,_xlfn._xlws.FILTER(Chipset_Table[Chipset], (Chipset_Table[Chipset text]&lt;&gt;"") * ISNUMBER(SEARCH(Chipset_Table[Chipset text], B1411)), ""))</f>
        <v>GeForce GTX 1650,GTX 1650</v>
      </c>
      <c r="I1411" t="str">
        <f>_xlfn.TEXTJOIN(",",TRUE,_xlfn._xlws.FILTER(VRAM_table[Video memory], (VRAM_table[Video memory text]&lt;&gt;"") * ISNUMBER(SEARCH(VRAM_table[Video memory text], B1411)), ""))</f>
        <v>4GB,4GB</v>
      </c>
    </row>
    <row r="1412" spans="1:9" x14ac:dyDescent="0.35">
      <c r="A1412" t="s">
        <v>9</v>
      </c>
      <c r="B1412" t="s">
        <v>614</v>
      </c>
      <c r="C1412">
        <v>0</v>
      </c>
      <c r="D1412">
        <v>8690000</v>
      </c>
      <c r="E1412" t="s">
        <v>615</v>
      </c>
      <c r="F1412" t="s">
        <v>1064</v>
      </c>
      <c r="G1412" t="str">
        <f>_xlfn.TEXTJOIN(",",TRUE,_xlfn._xlws.FILTER(GPU_brand[GPU brand], (GPU_brand[GPU brand text]&lt;&gt;"") * ISNUMBER(SEARCH(GPU_brand[GPU brand text], B1412)), ""))</f>
        <v>MSI</v>
      </c>
      <c r="H1412" t="str">
        <f>_xlfn.TEXTJOIN(",",TRUE,_xlfn._xlws.FILTER(Chipset_Table[Chipset], (Chipset_Table[Chipset text]&lt;&gt;"") * ISNUMBER(SEARCH(Chipset_Table[Chipset text], B1412)), ""))</f>
        <v>GeForce RTX 2060,RTX 2060</v>
      </c>
      <c r="I1412" t="str">
        <f>_xlfn.TEXTJOIN(",",TRUE,_xlfn._xlws.FILTER(VRAM_table[Video memory], (VRAM_table[Video memory text]&lt;&gt;"") * ISNUMBER(SEARCH(VRAM_table[Video memory text], B1412)), ""))</f>
        <v>6GB</v>
      </c>
    </row>
    <row r="1413" spans="1:9" x14ac:dyDescent="0.35">
      <c r="A1413" t="s">
        <v>9</v>
      </c>
      <c r="B1413" t="s">
        <v>616</v>
      </c>
      <c r="C1413">
        <v>1290000</v>
      </c>
      <c r="D1413">
        <v>1190000</v>
      </c>
      <c r="E1413" t="s">
        <v>617</v>
      </c>
      <c r="F1413" t="s">
        <v>1064</v>
      </c>
      <c r="G1413" t="str">
        <f>_xlfn.TEXTJOIN(",",TRUE,_xlfn._xlws.FILTER(GPU_brand[GPU brand], (GPU_brand[GPU brand text]&lt;&gt;"") * ISNUMBER(SEARCH(GPU_brand[GPU brand text], B1413)), ""))</f>
        <v>Palit</v>
      </c>
      <c r="H1413" t="str">
        <f>_xlfn.TEXTJOIN(",",TRUE,_xlfn._xlws.FILTER(Chipset_Table[Chipset], (Chipset_Table[Chipset text]&lt;&gt;"") * ISNUMBER(SEARCH(Chipset_Table[Chipset text], B1413)), ""))</f>
        <v>GeForce GT 730</v>
      </c>
      <c r="I1413" t="str">
        <f>_xlfn.TEXTJOIN(",",TRUE,_xlfn._xlws.FILTER(VRAM_table[Video memory], (VRAM_table[Video memory text]&lt;&gt;"") * ISNUMBER(SEARCH(VRAM_table[Video memory text], B1413)), ""))</f>
        <v>2GB</v>
      </c>
    </row>
    <row r="1414" spans="1:9" x14ac:dyDescent="0.35">
      <c r="A1414" t="s">
        <v>9</v>
      </c>
      <c r="B1414" t="s">
        <v>618</v>
      </c>
      <c r="C1414">
        <v>5090000</v>
      </c>
      <c r="D1414">
        <v>4790000</v>
      </c>
      <c r="E1414" t="s">
        <v>619</v>
      </c>
      <c r="F1414" t="s">
        <v>1064</v>
      </c>
      <c r="G1414" t="str">
        <f>_xlfn.TEXTJOIN(",",TRUE,_xlfn._xlws.FILTER(GPU_brand[GPU brand], (GPU_brand[GPU brand text]&lt;&gt;"") * ISNUMBER(SEARCH(GPU_brand[GPU brand text], B1414)), ""))</f>
        <v>Gigabyte</v>
      </c>
      <c r="H1414" t="str">
        <f>_xlfn.TEXTJOIN(",",TRUE,_xlfn._xlws.FILTER(Chipset_Table[Chipset], (Chipset_Table[Chipset text]&lt;&gt;"") * ISNUMBER(SEARCH(Chipset_Table[Chipset text], B1414)), ""))</f>
        <v>GeForce GTX 1650,GTX 1650</v>
      </c>
      <c r="I1414" t="str">
        <f>_xlfn.TEXTJOIN(",",TRUE,_xlfn._xlws.FILTER(VRAM_table[Video memory], (VRAM_table[Video memory text]&lt;&gt;"") * ISNUMBER(SEARCH(VRAM_table[Video memory text], B1414)), ""))</f>
        <v>4GB,4GB</v>
      </c>
    </row>
    <row r="1415" spans="1:9" x14ac:dyDescent="0.35">
      <c r="A1415" t="s">
        <v>9</v>
      </c>
      <c r="B1415" t="s">
        <v>620</v>
      </c>
      <c r="C1415">
        <v>7890000</v>
      </c>
      <c r="D1415">
        <v>4290000</v>
      </c>
      <c r="E1415" t="s">
        <v>621</v>
      </c>
      <c r="F1415" t="s">
        <v>1064</v>
      </c>
      <c r="G1415" t="str">
        <f>_xlfn.TEXTJOIN(",",TRUE,_xlfn._xlws.FILTER(GPU_brand[GPU brand], (GPU_brand[GPU brand text]&lt;&gt;"") * ISNUMBER(SEARCH(GPU_brand[GPU brand text], B1415)), ""))</f>
        <v>Gigabyte</v>
      </c>
      <c r="H1415" t="str">
        <f>_xlfn.TEXTJOIN(",",TRUE,_xlfn._xlws.FILTER(Chipset_Table[Chipset], (Chipset_Table[Chipset text]&lt;&gt;"") * ISNUMBER(SEARCH(Chipset_Table[Chipset text], B1415)), ""))</f>
        <v>GeForce GTX 1650,GTX 1650</v>
      </c>
      <c r="I1415" t="str">
        <f>_xlfn.TEXTJOIN(",",TRUE,_xlfn._xlws.FILTER(VRAM_table[Video memory], (VRAM_table[Video memory text]&lt;&gt;"") * ISNUMBER(SEARCH(VRAM_table[Video memory text], B1415)), ""))</f>
        <v>4GB</v>
      </c>
    </row>
    <row r="1416" spans="1:9" x14ac:dyDescent="0.35">
      <c r="A1416" t="s">
        <v>9</v>
      </c>
      <c r="B1416" t="s">
        <v>622</v>
      </c>
      <c r="C1416">
        <v>7490000</v>
      </c>
      <c r="D1416">
        <v>4890000</v>
      </c>
      <c r="E1416" t="s">
        <v>623</v>
      </c>
      <c r="F1416" t="s">
        <v>1064</v>
      </c>
      <c r="G1416" t="str">
        <f>_xlfn.TEXTJOIN(",",TRUE,_xlfn._xlws.FILTER(GPU_brand[GPU brand], (GPU_brand[GPU brand text]&lt;&gt;"") * ISNUMBER(SEARCH(GPU_brand[GPU brand text], B1416)), ""))</f>
        <v>Gigabyte</v>
      </c>
      <c r="H1416" t="str">
        <f>_xlfn.TEXTJOIN(",",TRUE,_xlfn._xlws.FILTER(Chipset_Table[Chipset], (Chipset_Table[Chipset text]&lt;&gt;"") * ISNUMBER(SEARCH(Chipset_Table[Chipset text], B1416)), ""))</f>
        <v>GeForce GTX 1650,GTX 1650</v>
      </c>
      <c r="I1416" t="str">
        <f>_xlfn.TEXTJOIN(",",TRUE,_xlfn._xlws.FILTER(VRAM_table[Video memory], (VRAM_table[Video memory text]&lt;&gt;"") * ISNUMBER(SEARCH(VRAM_table[Video memory text], B1416)), ""))</f>
        <v>4GB</v>
      </c>
    </row>
    <row r="1417" spans="1:9" x14ac:dyDescent="0.35">
      <c r="A1417" t="s">
        <v>9</v>
      </c>
      <c r="B1417" t="s">
        <v>624</v>
      </c>
      <c r="C1417">
        <v>0</v>
      </c>
      <c r="D1417">
        <v>7090000</v>
      </c>
      <c r="E1417" t="s">
        <v>625</v>
      </c>
      <c r="F1417" t="s">
        <v>1064</v>
      </c>
      <c r="G1417" t="str">
        <f>_xlfn.TEXTJOIN(",",TRUE,_xlfn._xlws.FILTER(GPU_brand[GPU brand], (GPU_brand[GPU brand text]&lt;&gt;"") * ISNUMBER(SEARCH(GPU_brand[GPU brand text], B1417)), ""))</f>
        <v>Gigabyte</v>
      </c>
      <c r="H1417" t="str">
        <f>_xlfn.TEXTJOIN(",",TRUE,_xlfn._xlws.FILTER(Chipset_Table[Chipset], (Chipset_Table[Chipset text]&lt;&gt;"") * ISNUMBER(SEARCH(Chipset_Table[Chipset text], B1417)), ""))</f>
        <v>GeForce GTX 1650,GTX 1650</v>
      </c>
      <c r="I1417" t="str">
        <f>_xlfn.TEXTJOIN(",",TRUE,_xlfn._xlws.FILTER(VRAM_table[Video memory], (VRAM_table[Video memory text]&lt;&gt;"") * ISNUMBER(SEARCH(VRAM_table[Video memory text], B1417)), ""))</f>
        <v>4GB</v>
      </c>
    </row>
    <row r="1418" spans="1:9" x14ac:dyDescent="0.35">
      <c r="A1418" t="s">
        <v>9</v>
      </c>
      <c r="B1418" t="s">
        <v>626</v>
      </c>
      <c r="C1418">
        <v>11290000</v>
      </c>
      <c r="D1418">
        <v>10890000</v>
      </c>
      <c r="E1418" t="s">
        <v>627</v>
      </c>
      <c r="F1418" t="s">
        <v>1064</v>
      </c>
      <c r="G1418" t="str">
        <f>_xlfn.TEXTJOIN(",",TRUE,_xlfn._xlws.FILTER(GPU_brand[GPU brand], (GPU_brand[GPU brand text]&lt;&gt;"") * ISNUMBER(SEARCH(GPU_brand[GPU brand text], B1418)), ""))</f>
        <v>ASUS</v>
      </c>
      <c r="H1418" t="str">
        <f>_xlfn.TEXTJOIN(",",TRUE,_xlfn._xlws.FILTER(Chipset_Table[Chipset], (Chipset_Table[Chipset text]&lt;&gt;"") * ISNUMBER(SEARCH(Chipset_Table[Chipset text], B1418)), ""))</f>
        <v>GeForce GTX 1660</v>
      </c>
      <c r="I1418" t="str">
        <f>_xlfn.TEXTJOIN(",",TRUE,_xlfn._xlws.FILTER(VRAM_table[Video memory], (VRAM_table[Video memory text]&lt;&gt;"") * ISNUMBER(SEARCH(VRAM_table[Video memory text], B1418)), ""))</f>
        <v>6GB,6GB</v>
      </c>
    </row>
    <row r="1419" spans="1:9" x14ac:dyDescent="0.35">
      <c r="A1419" t="s">
        <v>9</v>
      </c>
      <c r="B1419" t="s">
        <v>628</v>
      </c>
      <c r="C1419">
        <v>7490000</v>
      </c>
      <c r="D1419">
        <v>6690000</v>
      </c>
      <c r="E1419" t="s">
        <v>629</v>
      </c>
      <c r="F1419" t="s">
        <v>1064</v>
      </c>
      <c r="G1419" t="str">
        <f>_xlfn.TEXTJOIN(",",TRUE,_xlfn._xlws.FILTER(GPU_brand[GPU brand], (GPU_brand[GPU brand text]&lt;&gt;"") * ISNUMBER(SEARCH(GPU_brand[GPU brand text], B1419)), ""))</f>
        <v>ASUS</v>
      </c>
      <c r="H1419" t="str">
        <f>_xlfn.TEXTJOIN(",",TRUE,_xlfn._xlws.FILTER(Chipset_Table[Chipset], (Chipset_Table[Chipset text]&lt;&gt;"") * ISNUMBER(SEARCH(Chipset_Table[Chipset text], B1419)), ""))</f>
        <v>GeForce GTX 1650,GTX 1650</v>
      </c>
      <c r="I1419" t="str">
        <f>_xlfn.TEXTJOIN(",",TRUE,_xlfn._xlws.FILTER(VRAM_table[Video memory], (VRAM_table[Video memory text]&lt;&gt;"") * ISNUMBER(SEARCH(VRAM_table[Video memory text], B1419)), ""))</f>
        <v>4GB,4GB</v>
      </c>
    </row>
    <row r="1420" spans="1:9" x14ac:dyDescent="0.35">
      <c r="A1420" t="s">
        <v>9</v>
      </c>
      <c r="B1420" t="s">
        <v>630</v>
      </c>
      <c r="C1420">
        <v>4190000</v>
      </c>
      <c r="D1420">
        <v>3890000</v>
      </c>
      <c r="E1420" t="s">
        <v>631</v>
      </c>
      <c r="F1420" t="s">
        <v>1064</v>
      </c>
      <c r="G1420" t="str">
        <f>_xlfn.TEXTJOIN(",",TRUE,_xlfn._xlws.FILTER(GPU_brand[GPU brand], (GPU_brand[GPU brand text]&lt;&gt;"") * ISNUMBER(SEARCH(GPU_brand[GPU brand text], B1420)), ""))</f>
        <v>ASUS</v>
      </c>
      <c r="H1420" t="str">
        <f>_xlfn.TEXTJOIN(",",TRUE,_xlfn._xlws.FILTER(Chipset_Table[Chipset], (Chipset_Table[Chipset text]&lt;&gt;"") * ISNUMBER(SEARCH(Chipset_Table[Chipset text], B1420)), ""))</f>
        <v>GeForce GTX 1650,GTX 1650</v>
      </c>
      <c r="I1420" t="str">
        <f>_xlfn.TEXTJOIN(",",TRUE,_xlfn._xlws.FILTER(VRAM_table[Video memory], (VRAM_table[Video memory text]&lt;&gt;"") * ISNUMBER(SEARCH(VRAM_table[Video memory text], B1420)), ""))</f>
        <v>4GB,4GB</v>
      </c>
    </row>
    <row r="1421" spans="1:9" x14ac:dyDescent="0.35">
      <c r="A1421" t="s">
        <v>9</v>
      </c>
      <c r="B1421" t="s">
        <v>632</v>
      </c>
      <c r="C1421">
        <v>0</v>
      </c>
      <c r="D1421">
        <v>13990000</v>
      </c>
      <c r="E1421" t="s">
        <v>633</v>
      </c>
      <c r="F1421" t="s">
        <v>1064</v>
      </c>
      <c r="G1421" t="str">
        <f>_xlfn.TEXTJOIN(",",TRUE,_xlfn._xlws.FILTER(GPU_brand[GPU brand], (GPU_brand[GPU brand text]&lt;&gt;"") * ISNUMBER(SEARCH(GPU_brand[GPU brand text], B1421)), ""))</f>
        <v>MSI</v>
      </c>
      <c r="H1421" t="str">
        <f>_xlfn.TEXTJOIN(",",TRUE,_xlfn._xlws.FILTER(Chipset_Table[Chipset], (Chipset_Table[Chipset text]&lt;&gt;"") * ISNUMBER(SEARCH(Chipset_Table[Chipset text], B1421)), ""))</f>
        <v>GeForce RTX 2060,RTX 2060</v>
      </c>
      <c r="I1421" t="str">
        <f>_xlfn.TEXTJOIN(",",TRUE,_xlfn._xlws.FILTER(VRAM_table[Video memory], (VRAM_table[Video memory text]&lt;&gt;"") * ISNUMBER(SEARCH(VRAM_table[Video memory text], B1421)), ""))</f>
        <v>6GB</v>
      </c>
    </row>
    <row r="1422" spans="1:9" x14ac:dyDescent="0.35">
      <c r="A1422" t="s">
        <v>9</v>
      </c>
      <c r="B1422" t="s">
        <v>634</v>
      </c>
      <c r="C1422">
        <v>0</v>
      </c>
      <c r="D1422">
        <v>10990000</v>
      </c>
      <c r="E1422" t="s">
        <v>635</v>
      </c>
      <c r="F1422" t="s">
        <v>1064</v>
      </c>
      <c r="G1422" t="str">
        <f>_xlfn.TEXTJOIN(",",TRUE,_xlfn._xlws.FILTER(GPU_brand[GPU brand], (GPU_brand[GPU brand text]&lt;&gt;"") * ISNUMBER(SEARCH(GPU_brand[GPU brand text], B1422)), ""))</f>
        <v>Gigabyte</v>
      </c>
      <c r="H1422" t="str">
        <f>_xlfn.TEXTJOIN(",",TRUE,_xlfn._xlws.FILTER(Chipset_Table[Chipset], (Chipset_Table[Chipset text]&lt;&gt;"") * ISNUMBER(SEARCH(Chipset_Table[Chipset text], B1422)), ""))</f>
        <v>GeForce RTX 2060,RTX 2060</v>
      </c>
      <c r="I1422" t="str">
        <f>_xlfn.TEXTJOIN(",",TRUE,_xlfn._xlws.FILTER(VRAM_table[Video memory], (VRAM_table[Video memory text]&lt;&gt;"") * ISNUMBER(SEARCH(VRAM_table[Video memory text], B1422)), ""))</f>
        <v>6GB</v>
      </c>
    </row>
    <row r="1423" spans="1:9" x14ac:dyDescent="0.35">
      <c r="A1423" t="s">
        <v>9</v>
      </c>
      <c r="B1423" t="s">
        <v>636</v>
      </c>
      <c r="C1423">
        <v>7990000</v>
      </c>
      <c r="D1423">
        <v>5190000</v>
      </c>
      <c r="E1423" t="s">
        <v>637</v>
      </c>
      <c r="F1423" t="s">
        <v>1064</v>
      </c>
      <c r="G1423" t="str">
        <f>_xlfn.TEXTJOIN(",",TRUE,_xlfn._xlws.FILTER(GPU_brand[GPU brand], (GPU_brand[GPU brand text]&lt;&gt;"") * ISNUMBER(SEARCH(GPU_brand[GPU brand text], B1423)), ""))</f>
        <v>Gigabyte</v>
      </c>
      <c r="H1423" t="str">
        <f>_xlfn.TEXTJOIN(",",TRUE,_xlfn._xlws.FILTER(Chipset_Table[Chipset], (Chipset_Table[Chipset text]&lt;&gt;"") * ISNUMBER(SEARCH(Chipset_Table[Chipset text], B1423)), ""))</f>
        <v>GeForce GTX 1660 SUPER,GeForce GTX 1660, GTX 1660 Super</v>
      </c>
      <c r="I1423" t="str">
        <f>_xlfn.TEXTJOIN(",",TRUE,_xlfn._xlws.FILTER(VRAM_table[Video memory], (VRAM_table[Video memory text]&lt;&gt;"") * ISNUMBER(SEARCH(VRAM_table[Video memory text], B1423)), ""))</f>
        <v>6GB</v>
      </c>
    </row>
    <row r="1424" spans="1:9" x14ac:dyDescent="0.35">
      <c r="A1424" t="s">
        <v>9</v>
      </c>
      <c r="B1424" t="s">
        <v>638</v>
      </c>
      <c r="C1424">
        <v>4290000</v>
      </c>
      <c r="D1424">
        <v>3990000</v>
      </c>
      <c r="E1424" t="s">
        <v>639</v>
      </c>
      <c r="F1424" t="s">
        <v>1064</v>
      </c>
      <c r="G1424" t="str">
        <f>_xlfn.TEXTJOIN(",",TRUE,_xlfn._xlws.FILTER(GPU_brand[GPU brand], (GPU_brand[GPU brand text]&lt;&gt;"") * ISNUMBER(SEARCH(GPU_brand[GPU brand text], B1424)), ""))</f>
        <v>ASUS</v>
      </c>
      <c r="H1424" t="str">
        <f>_xlfn.TEXTJOIN(",",TRUE,_xlfn._xlws.FILTER(Chipset_Table[Chipset], (Chipset_Table[Chipset text]&lt;&gt;"") * ISNUMBER(SEARCH(Chipset_Table[Chipset text], B1424)), ""))</f>
        <v>GeForce GTX 1650,GTX 1650</v>
      </c>
      <c r="I1424" t="str">
        <f>_xlfn.TEXTJOIN(",",TRUE,_xlfn._xlws.FILTER(VRAM_table[Video memory], (VRAM_table[Video memory text]&lt;&gt;"") * ISNUMBER(SEARCH(VRAM_table[Video memory text], B1424)), ""))</f>
        <v>4GB,4GB</v>
      </c>
    </row>
    <row r="1425" spans="1:9" x14ac:dyDescent="0.35">
      <c r="A1425" t="s">
        <v>9</v>
      </c>
      <c r="B1425" t="s">
        <v>640</v>
      </c>
      <c r="C1425">
        <v>59990000</v>
      </c>
      <c r="D1425">
        <v>55990000</v>
      </c>
      <c r="E1425" t="s">
        <v>641</v>
      </c>
      <c r="F1425" t="s">
        <v>1064</v>
      </c>
      <c r="G1425" t="str">
        <f>_xlfn.TEXTJOIN(",",TRUE,_xlfn._xlws.FILTER(GPU_brand[GPU brand], (GPU_brand[GPU brand text]&lt;&gt;"") * ISNUMBER(SEARCH(GPU_brand[GPU brand text], B1425)), ""))</f>
        <v>MSI</v>
      </c>
      <c r="H1425" t="str">
        <f>_xlfn.TEXTJOIN(",",TRUE,_xlfn._xlws.FILTER(Chipset_Table[Chipset], (Chipset_Table[Chipset text]&lt;&gt;"") * ISNUMBER(SEARCH(Chipset_Table[Chipset text], B1425)), ""))</f>
        <v>GeForce RTX 4090</v>
      </c>
      <c r="I1425" t="str">
        <f>_xlfn.TEXTJOIN(",",TRUE,_xlfn._xlws.FILTER(VRAM_table[Video memory], (VRAM_table[Video memory text]&lt;&gt;"") * ISNUMBER(SEARCH(VRAM_table[Video memory text], B1425)), ""))</f>
        <v>24GB,4GB</v>
      </c>
    </row>
    <row r="1426" spans="1:9" x14ac:dyDescent="0.35">
      <c r="A1426" t="s">
        <v>9</v>
      </c>
      <c r="B1426" t="s">
        <v>642</v>
      </c>
      <c r="C1426">
        <v>0</v>
      </c>
      <c r="D1426">
        <v>56990000</v>
      </c>
      <c r="E1426" t="s">
        <v>643</v>
      </c>
      <c r="F1426" t="s">
        <v>1064</v>
      </c>
      <c r="G1426" t="str">
        <f>_xlfn.TEXTJOIN(",",TRUE,_xlfn._xlws.FILTER(GPU_brand[GPU brand], (GPU_brand[GPU brand text]&lt;&gt;"") * ISNUMBER(SEARCH(GPU_brand[GPU brand text], B1426)), ""))</f>
        <v>MSI</v>
      </c>
      <c r="H1426" t="str">
        <f>_xlfn.TEXTJOIN(",",TRUE,_xlfn._xlws.FILTER(Chipset_Table[Chipset], (Chipset_Table[Chipset text]&lt;&gt;"") * ISNUMBER(SEARCH(Chipset_Table[Chipset text], B1426)), ""))</f>
        <v>GeForce RTX 4090</v>
      </c>
      <c r="I1426" t="str">
        <f>_xlfn.TEXTJOIN(",",TRUE,_xlfn._xlws.FILTER(VRAM_table[Video memory], (VRAM_table[Video memory text]&lt;&gt;"") * ISNUMBER(SEARCH(VRAM_table[Video memory text], B1426)), ""))</f>
        <v>24GB,4GB</v>
      </c>
    </row>
    <row r="1427" spans="1:9" x14ac:dyDescent="0.35">
      <c r="A1427" t="s">
        <v>9</v>
      </c>
      <c r="B1427" t="s">
        <v>644</v>
      </c>
      <c r="C1427">
        <v>0</v>
      </c>
      <c r="D1427">
        <v>55990000</v>
      </c>
      <c r="E1427" t="s">
        <v>645</v>
      </c>
      <c r="F1427" t="s">
        <v>1064</v>
      </c>
      <c r="G1427" t="str">
        <f>_xlfn.TEXTJOIN(",",TRUE,_xlfn._xlws.FILTER(GPU_brand[GPU brand], (GPU_brand[GPU brand text]&lt;&gt;"") * ISNUMBER(SEARCH(GPU_brand[GPU brand text], B1427)), ""))</f>
        <v>MSI</v>
      </c>
      <c r="H1427" t="str">
        <f>_xlfn.TEXTJOIN(",",TRUE,_xlfn._xlws.FILTER(Chipset_Table[Chipset], (Chipset_Table[Chipset text]&lt;&gt;"") * ISNUMBER(SEARCH(Chipset_Table[Chipset text], B1427)), ""))</f>
        <v>GeForce RTX 4090</v>
      </c>
      <c r="I1427" t="str">
        <f>_xlfn.TEXTJOIN(",",TRUE,_xlfn._xlws.FILTER(VRAM_table[Video memory], (VRAM_table[Video memory text]&lt;&gt;"") * ISNUMBER(SEARCH(VRAM_table[Video memory text], B1427)), ""))</f>
        <v>24GB,4GB</v>
      </c>
    </row>
    <row r="1428" spans="1:9" x14ac:dyDescent="0.35">
      <c r="A1428" t="s">
        <v>9</v>
      </c>
      <c r="B1428" t="s">
        <v>646</v>
      </c>
      <c r="C1428">
        <v>0</v>
      </c>
      <c r="D1428">
        <v>54990000</v>
      </c>
      <c r="E1428" t="s">
        <v>647</v>
      </c>
      <c r="F1428" t="s">
        <v>1064</v>
      </c>
      <c r="G1428" t="str">
        <f>_xlfn.TEXTJOIN(",",TRUE,_xlfn._xlws.FILTER(GPU_brand[GPU brand], (GPU_brand[GPU brand text]&lt;&gt;"") * ISNUMBER(SEARCH(GPU_brand[GPU brand text], B1428)), ""))</f>
        <v>MSI</v>
      </c>
      <c r="H1428" t="str">
        <f>_xlfn.TEXTJOIN(",",TRUE,_xlfn._xlws.FILTER(Chipset_Table[Chipset], (Chipset_Table[Chipset text]&lt;&gt;"") * ISNUMBER(SEARCH(Chipset_Table[Chipset text], B1428)), ""))</f>
        <v>GeForce RTX 4090</v>
      </c>
      <c r="I1428" t="str">
        <f>_xlfn.TEXTJOIN(",",TRUE,_xlfn._xlws.FILTER(VRAM_table[Video memory], (VRAM_table[Video memory text]&lt;&gt;"") * ISNUMBER(SEARCH(VRAM_table[Video memory text], B1428)), ""))</f>
        <v>24GB,4GB</v>
      </c>
    </row>
    <row r="1429" spans="1:9" x14ac:dyDescent="0.35">
      <c r="A1429" t="s">
        <v>9</v>
      </c>
      <c r="B1429" t="s">
        <v>648</v>
      </c>
      <c r="C1429">
        <v>0</v>
      </c>
      <c r="D1429">
        <v>53990000</v>
      </c>
      <c r="E1429" t="s">
        <v>649</v>
      </c>
      <c r="F1429" t="s">
        <v>1064</v>
      </c>
      <c r="G1429" t="str">
        <f>_xlfn.TEXTJOIN(",",TRUE,_xlfn._xlws.FILTER(GPU_brand[GPU brand], (GPU_brand[GPU brand text]&lt;&gt;"") * ISNUMBER(SEARCH(GPU_brand[GPU brand text], B1429)), ""))</f>
        <v>MSI</v>
      </c>
      <c r="H1429" t="str">
        <f>_xlfn.TEXTJOIN(",",TRUE,_xlfn._xlws.FILTER(Chipset_Table[Chipset], (Chipset_Table[Chipset text]&lt;&gt;"") * ISNUMBER(SEARCH(Chipset_Table[Chipset text], B1429)), ""))</f>
        <v>GeForce RTX 4090</v>
      </c>
      <c r="I1429" t="str">
        <f>_xlfn.TEXTJOIN(",",TRUE,_xlfn._xlws.FILTER(VRAM_table[Video memory], (VRAM_table[Video memory text]&lt;&gt;"") * ISNUMBER(SEARCH(VRAM_table[Video memory text], B1429)), ""))</f>
        <v>24GB,4GB</v>
      </c>
    </row>
    <row r="1430" spans="1:9" x14ac:dyDescent="0.35">
      <c r="A1430" t="s">
        <v>9</v>
      </c>
      <c r="B1430" t="s">
        <v>650</v>
      </c>
      <c r="C1430">
        <v>0</v>
      </c>
      <c r="D1430">
        <v>54990000</v>
      </c>
      <c r="E1430" t="s">
        <v>651</v>
      </c>
      <c r="F1430" t="s">
        <v>1064</v>
      </c>
      <c r="G1430" t="str">
        <f>_xlfn.TEXTJOIN(",",TRUE,_xlfn._xlws.FILTER(GPU_brand[GPU brand], (GPU_brand[GPU brand text]&lt;&gt;"") * ISNUMBER(SEARCH(GPU_brand[GPU brand text], B1430)), ""))</f>
        <v>MSI</v>
      </c>
      <c r="H1430" t="str">
        <f>_xlfn.TEXTJOIN(",",TRUE,_xlfn._xlws.FILTER(Chipset_Table[Chipset], (Chipset_Table[Chipset text]&lt;&gt;"") * ISNUMBER(SEARCH(Chipset_Table[Chipset text], B1430)), ""))</f>
        <v>GeForce RTX 4090</v>
      </c>
      <c r="I1430" t="str">
        <f>_xlfn.TEXTJOIN(",",TRUE,_xlfn._xlws.FILTER(VRAM_table[Video memory], (VRAM_table[Video memory text]&lt;&gt;"") * ISNUMBER(SEARCH(VRAM_table[Video memory text], B1430)), ""))</f>
        <v>24GB,4GB</v>
      </c>
    </row>
    <row r="1431" spans="1:9" x14ac:dyDescent="0.35">
      <c r="A1431" t="s">
        <v>9</v>
      </c>
      <c r="B1431" t="s">
        <v>652</v>
      </c>
      <c r="C1431">
        <v>0</v>
      </c>
      <c r="D1431">
        <v>47990000</v>
      </c>
      <c r="E1431" t="s">
        <v>653</v>
      </c>
      <c r="F1431" t="s">
        <v>1064</v>
      </c>
      <c r="G1431" t="str">
        <f>_xlfn.TEXTJOIN(",",TRUE,_xlfn._xlws.FILTER(GPU_brand[GPU brand], (GPU_brand[GPU brand text]&lt;&gt;"") * ISNUMBER(SEARCH(GPU_brand[GPU brand text], B1431)), ""))</f>
        <v>Gigabyte</v>
      </c>
      <c r="H1431" t="str">
        <f>_xlfn.TEXTJOIN(",",TRUE,_xlfn._xlws.FILTER(Chipset_Table[Chipset], (Chipset_Table[Chipset text]&lt;&gt;"") * ISNUMBER(SEARCH(Chipset_Table[Chipset text], B1431)), ""))</f>
        <v>GeForce RTX 4090</v>
      </c>
      <c r="I1431" t="str">
        <f>_xlfn.TEXTJOIN(",",TRUE,_xlfn._xlws.FILTER(VRAM_table[Video memory], (VRAM_table[Video memory text]&lt;&gt;"") * ISNUMBER(SEARCH(VRAM_table[Video memory text], B1431)), ""))</f>
        <v>24GB,4GB</v>
      </c>
    </row>
    <row r="1432" spans="1:9" x14ac:dyDescent="0.35">
      <c r="A1432" t="s">
        <v>9</v>
      </c>
      <c r="B1432" t="s">
        <v>654</v>
      </c>
      <c r="C1432">
        <v>0</v>
      </c>
      <c r="D1432">
        <v>60990000</v>
      </c>
      <c r="E1432" t="s">
        <v>655</v>
      </c>
      <c r="F1432" t="s">
        <v>1064</v>
      </c>
      <c r="G1432" t="str">
        <f>_xlfn.TEXTJOIN(",",TRUE,_xlfn._xlws.FILTER(GPU_brand[GPU brand], (GPU_brand[GPU brand text]&lt;&gt;"") * ISNUMBER(SEARCH(GPU_brand[GPU brand text], B1432)), ""))</f>
        <v>Gigabyte</v>
      </c>
      <c r="H1432" t="str">
        <f>_xlfn.TEXTJOIN(",",TRUE,_xlfn._xlws.FILTER(Chipset_Table[Chipset], (Chipset_Table[Chipset text]&lt;&gt;"") * ISNUMBER(SEARCH(Chipset_Table[Chipset text], B1432)), ""))</f>
        <v>GeForce RTX 4090</v>
      </c>
      <c r="I1432" t="str">
        <f>_xlfn.TEXTJOIN(",",TRUE,_xlfn._xlws.FILTER(VRAM_table[Video memory], (VRAM_table[Video memory text]&lt;&gt;"") * ISNUMBER(SEARCH(VRAM_table[Video memory text], B1432)), ""))</f>
        <v>24GB,4GB</v>
      </c>
    </row>
    <row r="1433" spans="1:9" x14ac:dyDescent="0.35">
      <c r="A1433" t="s">
        <v>9</v>
      </c>
      <c r="B1433" t="s">
        <v>656</v>
      </c>
      <c r="C1433">
        <v>0</v>
      </c>
      <c r="D1433">
        <v>56990000</v>
      </c>
      <c r="E1433" t="s">
        <v>657</v>
      </c>
      <c r="F1433" t="s">
        <v>1064</v>
      </c>
      <c r="G1433" t="str">
        <f>_xlfn.TEXTJOIN(",",TRUE,_xlfn._xlws.FILTER(GPU_brand[GPU brand], (GPU_brand[GPU brand text]&lt;&gt;"") * ISNUMBER(SEARCH(GPU_brand[GPU brand text], B1433)), ""))</f>
        <v>Gigabyte</v>
      </c>
      <c r="H1433" t="str">
        <f>_xlfn.TEXTJOIN(",",TRUE,_xlfn._xlws.FILTER(Chipset_Table[Chipset], (Chipset_Table[Chipset text]&lt;&gt;"") * ISNUMBER(SEARCH(Chipset_Table[Chipset text], B1433)), ""))</f>
        <v>GeForce RTX 4090</v>
      </c>
      <c r="I1433" t="str">
        <f>_xlfn.TEXTJOIN(",",TRUE,_xlfn._xlws.FILTER(VRAM_table[Video memory], (VRAM_table[Video memory text]&lt;&gt;"") * ISNUMBER(SEARCH(VRAM_table[Video memory text], B1433)), ""))</f>
        <v>24GB,4GB</v>
      </c>
    </row>
    <row r="1434" spans="1:9" x14ac:dyDescent="0.35">
      <c r="A1434" t="s">
        <v>9</v>
      </c>
      <c r="B1434" t="s">
        <v>658</v>
      </c>
      <c r="C1434">
        <v>69900000</v>
      </c>
      <c r="D1434">
        <v>62990000</v>
      </c>
      <c r="E1434" t="s">
        <v>659</v>
      </c>
      <c r="F1434" t="s">
        <v>1064</v>
      </c>
      <c r="G1434" t="str">
        <f>_xlfn.TEXTJOIN(",",TRUE,_xlfn._xlws.FILTER(GPU_brand[GPU brand], (GPU_brand[GPU brand text]&lt;&gt;"") * ISNUMBER(SEARCH(GPU_brand[GPU brand text], B1434)), ""))</f>
        <v>Gigabyte</v>
      </c>
      <c r="H1434" t="str">
        <f>_xlfn.TEXTJOIN(",",TRUE,_xlfn._xlws.FILTER(Chipset_Table[Chipset], (Chipset_Table[Chipset text]&lt;&gt;"") * ISNUMBER(SEARCH(Chipset_Table[Chipset text], B1434)), ""))</f>
        <v>GeForce RTX 4090</v>
      </c>
      <c r="I1434" t="str">
        <f>_xlfn.TEXTJOIN(",",TRUE,_xlfn._xlws.FILTER(VRAM_table[Video memory], (VRAM_table[Video memory text]&lt;&gt;"") * ISNUMBER(SEARCH(VRAM_table[Video memory text], B1434)), ""))</f>
        <v>24GB,4GB</v>
      </c>
    </row>
    <row r="1435" spans="1:9" x14ac:dyDescent="0.35">
      <c r="A1435" t="s">
        <v>9</v>
      </c>
      <c r="B1435" t="s">
        <v>660</v>
      </c>
      <c r="C1435">
        <v>65990000</v>
      </c>
      <c r="D1435">
        <v>62990000</v>
      </c>
      <c r="E1435" t="s">
        <v>661</v>
      </c>
      <c r="F1435" t="s">
        <v>1064</v>
      </c>
      <c r="G1435" t="s">
        <v>1065</v>
      </c>
      <c r="H1435" t="s">
        <v>1066</v>
      </c>
      <c r="I1435">
        <v>24</v>
      </c>
    </row>
    <row r="1436" spans="1:9" x14ac:dyDescent="0.35">
      <c r="A1436" t="s">
        <v>9</v>
      </c>
      <c r="B1436" t="s">
        <v>662</v>
      </c>
      <c r="C1436">
        <v>65990000</v>
      </c>
      <c r="D1436">
        <v>58490000</v>
      </c>
      <c r="E1436" t="s">
        <v>663</v>
      </c>
      <c r="F1436" t="s">
        <v>1064</v>
      </c>
      <c r="G1436" t="s">
        <v>1065</v>
      </c>
      <c r="H1436" t="s">
        <v>1066</v>
      </c>
      <c r="I1436">
        <v>24</v>
      </c>
    </row>
    <row r="1437" spans="1:9" x14ac:dyDescent="0.35">
      <c r="A1437" t="s">
        <v>9</v>
      </c>
      <c r="B1437" t="s">
        <v>664</v>
      </c>
      <c r="C1437">
        <v>0</v>
      </c>
      <c r="D1437">
        <v>66990000</v>
      </c>
      <c r="E1437" t="s">
        <v>665</v>
      </c>
      <c r="F1437" t="s">
        <v>1064</v>
      </c>
      <c r="G1437" t="s">
        <v>1065</v>
      </c>
      <c r="H1437" t="s">
        <v>1066</v>
      </c>
      <c r="I1437">
        <v>24</v>
      </c>
    </row>
    <row r="1438" spans="1:9" x14ac:dyDescent="0.35">
      <c r="A1438" t="s">
        <v>9</v>
      </c>
      <c r="B1438" t="s">
        <v>666</v>
      </c>
      <c r="C1438">
        <v>65990000</v>
      </c>
      <c r="D1438">
        <v>62990000</v>
      </c>
      <c r="E1438" t="s">
        <v>667</v>
      </c>
      <c r="F1438" t="s">
        <v>1064</v>
      </c>
      <c r="G1438" t="s">
        <v>1065</v>
      </c>
      <c r="H1438" t="s">
        <v>1066</v>
      </c>
      <c r="I1438">
        <v>24</v>
      </c>
    </row>
    <row r="1439" spans="1:9" x14ac:dyDescent="0.35">
      <c r="A1439" t="s">
        <v>9</v>
      </c>
      <c r="B1439" t="s">
        <v>668</v>
      </c>
      <c r="C1439">
        <v>0</v>
      </c>
      <c r="D1439">
        <v>8790000</v>
      </c>
      <c r="E1439" t="s">
        <v>669</v>
      </c>
      <c r="F1439" t="s">
        <v>1064</v>
      </c>
      <c r="G1439" t="str">
        <f>_xlfn.TEXTJOIN(",",TRUE,_xlfn._xlws.FILTER(GPU_brand[GPU brand], (GPU_brand[GPU brand text]&lt;&gt;"") * ISNUMBER(SEARCH(GPU_brand[GPU brand text], B1439)), ""))</f>
        <v>Gigabyte</v>
      </c>
      <c r="H1439" t="str">
        <f>_xlfn.TEXTJOIN(",",TRUE,_xlfn._xlws.FILTER(Chipset_Table[Chipset], (Chipset_Table[Chipset text]&lt;&gt;"") * ISNUMBER(SEARCH(Chipset_Table[Chipset text], B1439)), ""))</f>
        <v>GeForce GTX 1650,GTX 1650</v>
      </c>
      <c r="I1439" t="str">
        <f>_xlfn.TEXTJOIN(",",TRUE,_xlfn._xlws.FILTER(VRAM_table[Video memory], (VRAM_table[Video memory text]&lt;&gt;"") * ISNUMBER(SEARCH(VRAM_table[Video memory text], B1439)), ""))</f>
        <v>4GB,4GB</v>
      </c>
    </row>
    <row r="1440" spans="1:9" x14ac:dyDescent="0.35">
      <c r="A1440" t="s">
        <v>9</v>
      </c>
      <c r="B1440" t="s">
        <v>670</v>
      </c>
      <c r="C1440">
        <v>8990000</v>
      </c>
      <c r="D1440">
        <v>8790000</v>
      </c>
      <c r="E1440" t="s">
        <v>671</v>
      </c>
      <c r="F1440" t="s">
        <v>1064</v>
      </c>
      <c r="G1440" t="str">
        <f>_xlfn.TEXTJOIN(",",TRUE,_xlfn._xlws.FILTER(GPU_brand[GPU brand], (GPU_brand[GPU brand text]&lt;&gt;"") * ISNUMBER(SEARCH(GPU_brand[GPU brand text], B1440)), ""))</f>
        <v>ASUS</v>
      </c>
      <c r="H1440" t="str">
        <f>_xlfn.TEXTJOIN(",",TRUE,_xlfn._xlws.FILTER(Chipset_Table[Chipset], (Chipset_Table[Chipset text]&lt;&gt;"") * ISNUMBER(SEARCH(Chipset_Table[Chipset text], B1440)), ""))</f>
        <v>GeForce GTX 1650,GTX 1650</v>
      </c>
      <c r="I1440" t="str">
        <f>_xlfn.TEXTJOIN(",",TRUE,_xlfn._xlws.FILTER(VRAM_table[Video memory], (VRAM_table[Video memory text]&lt;&gt;"") * ISNUMBER(SEARCH(VRAM_table[Video memory text], B1440)), ""))</f>
        <v>4GB,4GB</v>
      </c>
    </row>
    <row r="1441" spans="1:9" x14ac:dyDescent="0.35">
      <c r="A1441" t="s">
        <v>9</v>
      </c>
      <c r="B1441" t="s">
        <v>672</v>
      </c>
      <c r="C1441">
        <v>44990000</v>
      </c>
      <c r="D1441">
        <v>36990000</v>
      </c>
      <c r="E1441" t="s">
        <v>673</v>
      </c>
      <c r="F1441" t="s">
        <v>1064</v>
      </c>
      <c r="G1441" t="str">
        <f>_xlfn.TEXTJOIN(",",TRUE,_xlfn._xlws.FILTER(GPU_brand[GPU brand], (GPU_brand[GPU brand text]&lt;&gt;"") * ISNUMBER(SEARCH(GPU_brand[GPU brand text], B1441)), ""))</f>
        <v>MSI</v>
      </c>
      <c r="H1441" t="str">
        <f>_xlfn.TEXTJOIN(",",TRUE,_xlfn._xlws.FILTER(Chipset_Table[Chipset], (Chipset_Table[Chipset text]&lt;&gt;"") * ISNUMBER(SEARCH(Chipset_Table[Chipset text], B1441)), ""))</f>
        <v>GeForce RTX 4080</v>
      </c>
      <c r="I1441" t="str">
        <f>_xlfn.TEXTJOIN(",",TRUE,_xlfn._xlws.FILTER(VRAM_table[Video memory], (VRAM_table[Video memory text]&lt;&gt;"") * ISNUMBER(SEARCH(VRAM_table[Video memory text], B1441)), ""))</f>
        <v>16GB,16GB,6GB,6GB</v>
      </c>
    </row>
    <row r="1442" spans="1:9" x14ac:dyDescent="0.35">
      <c r="A1442" t="s">
        <v>9</v>
      </c>
      <c r="B1442" t="s">
        <v>674</v>
      </c>
      <c r="C1442">
        <v>0</v>
      </c>
      <c r="D1442">
        <v>35990000</v>
      </c>
      <c r="E1442" t="s">
        <v>675</v>
      </c>
      <c r="F1442" t="s">
        <v>1064</v>
      </c>
      <c r="G1442" t="str">
        <f>_xlfn.TEXTJOIN(",",TRUE,_xlfn._xlws.FILTER(GPU_brand[GPU brand], (GPU_brand[GPU brand text]&lt;&gt;"") * ISNUMBER(SEARCH(GPU_brand[GPU brand text], B1442)), ""))</f>
        <v>MSI</v>
      </c>
      <c r="H1442" t="str">
        <f>_xlfn.TEXTJOIN(",",TRUE,_xlfn._xlws.FILTER(Chipset_Table[Chipset], (Chipset_Table[Chipset text]&lt;&gt;"") * ISNUMBER(SEARCH(Chipset_Table[Chipset text], B1442)), ""))</f>
        <v>GeForce RTX 4080</v>
      </c>
      <c r="I1442" t="str">
        <f>_xlfn.TEXTJOIN(",",TRUE,_xlfn._xlws.FILTER(VRAM_table[Video memory], (VRAM_table[Video memory text]&lt;&gt;"") * ISNUMBER(SEARCH(VRAM_table[Video memory text], B1442)), ""))</f>
        <v>16GB,16GB,6GB,6GB</v>
      </c>
    </row>
    <row r="1443" spans="1:9" x14ac:dyDescent="0.35">
      <c r="A1443" t="s">
        <v>9</v>
      </c>
      <c r="B1443" t="s">
        <v>676</v>
      </c>
      <c r="C1443">
        <v>48990000</v>
      </c>
      <c r="D1443">
        <v>39990000</v>
      </c>
      <c r="E1443" t="s">
        <v>677</v>
      </c>
      <c r="F1443" t="s">
        <v>1064</v>
      </c>
      <c r="G1443" t="str">
        <f>_xlfn.TEXTJOIN(",",TRUE,_xlfn._xlws.FILTER(GPU_brand[GPU brand], (GPU_brand[GPU brand text]&lt;&gt;"") * ISNUMBER(SEARCH(GPU_brand[GPU brand text], B1443)), ""))</f>
        <v>MSI</v>
      </c>
      <c r="H1443" t="str">
        <f>_xlfn.TEXTJOIN(",",TRUE,_xlfn._xlws.FILTER(Chipset_Table[Chipset], (Chipset_Table[Chipset text]&lt;&gt;"") * ISNUMBER(SEARCH(Chipset_Table[Chipset text], B1443)), ""))</f>
        <v>GeForce RTX 4080</v>
      </c>
      <c r="I1443" t="str">
        <f>_xlfn.TEXTJOIN(",",TRUE,_xlfn._xlws.FILTER(VRAM_table[Video memory], (VRAM_table[Video memory text]&lt;&gt;"") * ISNUMBER(SEARCH(VRAM_table[Video memory text], B1443)), ""))</f>
        <v>16GB,16GB,6GB,6GB</v>
      </c>
    </row>
    <row r="1444" spans="1:9" x14ac:dyDescent="0.35">
      <c r="A1444" t="s">
        <v>9</v>
      </c>
      <c r="B1444" t="s">
        <v>678</v>
      </c>
      <c r="C1444">
        <v>0</v>
      </c>
      <c r="D1444">
        <v>39490000</v>
      </c>
      <c r="E1444" t="s">
        <v>679</v>
      </c>
      <c r="F1444" t="s">
        <v>1064</v>
      </c>
      <c r="G1444" t="str">
        <f>_xlfn.TEXTJOIN(",",TRUE,_xlfn._xlws.FILTER(GPU_brand[GPU brand], (GPU_brand[GPU brand text]&lt;&gt;"") * ISNUMBER(SEARCH(GPU_brand[GPU brand text], B1444)), ""))</f>
        <v>MSI</v>
      </c>
      <c r="H1444" t="str">
        <f>_xlfn.TEXTJOIN(",",TRUE,_xlfn._xlws.FILTER(Chipset_Table[Chipset], (Chipset_Table[Chipset text]&lt;&gt;"") * ISNUMBER(SEARCH(Chipset_Table[Chipset text], B1444)), ""))</f>
        <v>GeForce RTX 4080</v>
      </c>
      <c r="I1444" t="str">
        <f>_xlfn.TEXTJOIN(",",TRUE,_xlfn._xlws.FILTER(VRAM_table[Video memory], (VRAM_table[Video memory text]&lt;&gt;"") * ISNUMBER(SEARCH(VRAM_table[Video memory text], B1444)), ""))</f>
        <v>16GB,16GB,6GB,6GB</v>
      </c>
    </row>
    <row r="1445" spans="1:9" x14ac:dyDescent="0.35">
      <c r="A1445" t="s">
        <v>9</v>
      </c>
      <c r="B1445" t="s">
        <v>680</v>
      </c>
      <c r="C1445">
        <v>46990000</v>
      </c>
      <c r="D1445">
        <v>37990000</v>
      </c>
      <c r="E1445" t="s">
        <v>681</v>
      </c>
      <c r="F1445" t="s">
        <v>1064</v>
      </c>
      <c r="G1445" t="str">
        <f>_xlfn.TEXTJOIN(",",TRUE,_xlfn._xlws.FILTER(GPU_brand[GPU brand], (GPU_brand[GPU brand text]&lt;&gt;"") * ISNUMBER(SEARCH(GPU_brand[GPU brand text], B1445)), ""))</f>
        <v>MSI</v>
      </c>
      <c r="H1445" t="str">
        <f>_xlfn.TEXTJOIN(",",TRUE,_xlfn._xlws.FILTER(Chipset_Table[Chipset], (Chipset_Table[Chipset text]&lt;&gt;"") * ISNUMBER(SEARCH(Chipset_Table[Chipset text], B1445)), ""))</f>
        <v>GeForce RTX 4080</v>
      </c>
      <c r="I1445" t="str">
        <f>_xlfn.TEXTJOIN(",",TRUE,_xlfn._xlws.FILTER(VRAM_table[Video memory], (VRAM_table[Video memory text]&lt;&gt;"") * ISNUMBER(SEARCH(VRAM_table[Video memory text], B1445)), ""))</f>
        <v>16GB,16GB,6GB,6GB</v>
      </c>
    </row>
    <row r="1446" spans="1:9" x14ac:dyDescent="0.35">
      <c r="A1446" t="s">
        <v>9</v>
      </c>
      <c r="B1446" t="s">
        <v>682</v>
      </c>
      <c r="C1446">
        <v>0</v>
      </c>
      <c r="D1446">
        <v>36990000</v>
      </c>
      <c r="E1446" t="s">
        <v>683</v>
      </c>
      <c r="F1446" t="s">
        <v>1064</v>
      </c>
      <c r="G1446" t="str">
        <f>_xlfn.TEXTJOIN(",",TRUE,_xlfn._xlws.FILTER(GPU_brand[GPU brand], (GPU_brand[GPU brand text]&lt;&gt;"") * ISNUMBER(SEARCH(GPU_brand[GPU brand text], B1446)), ""))</f>
        <v>MSI</v>
      </c>
      <c r="H1446" t="str">
        <f>_xlfn.TEXTJOIN(",",TRUE,_xlfn._xlws.FILTER(Chipset_Table[Chipset], (Chipset_Table[Chipset text]&lt;&gt;"") * ISNUMBER(SEARCH(Chipset_Table[Chipset text], B1446)), ""))</f>
        <v>GeForce RTX 4080</v>
      </c>
      <c r="I1446" t="str">
        <f>_xlfn.TEXTJOIN(",",TRUE,_xlfn._xlws.FILTER(VRAM_table[Video memory], (VRAM_table[Video memory text]&lt;&gt;"") * ISNUMBER(SEARCH(VRAM_table[Video memory text], B1446)), ""))</f>
        <v>16GB,16GB,6GB,6GB</v>
      </c>
    </row>
    <row r="1447" spans="1:9" x14ac:dyDescent="0.35">
      <c r="A1447" t="s">
        <v>9</v>
      </c>
      <c r="B1447" t="s">
        <v>684</v>
      </c>
      <c r="C1447">
        <v>48490000</v>
      </c>
      <c r="D1447">
        <v>37490000</v>
      </c>
      <c r="E1447" t="s">
        <v>685</v>
      </c>
      <c r="F1447" t="s">
        <v>1064</v>
      </c>
      <c r="G1447" t="str">
        <f>_xlfn.TEXTJOIN(",",TRUE,_xlfn._xlws.FILTER(GPU_brand[GPU brand], (GPU_brand[GPU brand text]&lt;&gt;"") * ISNUMBER(SEARCH(GPU_brand[GPU brand text], B1447)), ""))</f>
        <v>Gigabyte</v>
      </c>
      <c r="H1447" t="str">
        <f>_xlfn.TEXTJOIN(",",TRUE,_xlfn._xlws.FILTER(Chipset_Table[Chipset], (Chipset_Table[Chipset text]&lt;&gt;"") * ISNUMBER(SEARCH(Chipset_Table[Chipset text], B1447)), ""))</f>
        <v>GeForce RTX 4080</v>
      </c>
      <c r="I1447" t="str">
        <f>_xlfn.TEXTJOIN(",",TRUE,_xlfn._xlws.FILTER(VRAM_table[Video memory], (VRAM_table[Video memory text]&lt;&gt;"") * ISNUMBER(SEARCH(VRAM_table[Video memory text], B1447)), ""))</f>
        <v>16GB,16GB,6GB,6GB</v>
      </c>
    </row>
    <row r="1448" spans="1:9" x14ac:dyDescent="0.35">
      <c r="A1448" t="s">
        <v>9</v>
      </c>
      <c r="B1448" t="s">
        <v>686</v>
      </c>
      <c r="C1448">
        <v>45990000</v>
      </c>
      <c r="D1448">
        <v>35490000</v>
      </c>
      <c r="E1448" t="s">
        <v>687</v>
      </c>
      <c r="F1448" t="s">
        <v>1064</v>
      </c>
      <c r="G1448" t="str">
        <f>_xlfn.TEXTJOIN(",",TRUE,_xlfn._xlws.FILTER(GPU_brand[GPU brand], (GPU_brand[GPU brand text]&lt;&gt;"") * ISNUMBER(SEARCH(GPU_brand[GPU brand text], B1448)), ""))</f>
        <v>Gigabyte</v>
      </c>
      <c r="H1448" t="str">
        <f>_xlfn.TEXTJOIN(",",TRUE,_xlfn._xlws.FILTER(Chipset_Table[Chipset], (Chipset_Table[Chipset text]&lt;&gt;"") * ISNUMBER(SEARCH(Chipset_Table[Chipset text], B1448)), ""))</f>
        <v>GeForce RTX 4080</v>
      </c>
      <c r="I1448" t="str">
        <f>_xlfn.TEXTJOIN(",",TRUE,_xlfn._xlws.FILTER(VRAM_table[Video memory], (VRAM_table[Video memory text]&lt;&gt;"") * ISNUMBER(SEARCH(VRAM_table[Video memory text], B1448)), ""))</f>
        <v>16GB,16GB,6GB,6GB</v>
      </c>
    </row>
    <row r="1449" spans="1:9" x14ac:dyDescent="0.35">
      <c r="A1449" t="s">
        <v>9</v>
      </c>
      <c r="B1449" t="s">
        <v>688</v>
      </c>
      <c r="C1449">
        <v>46990000</v>
      </c>
      <c r="D1449">
        <v>35990000</v>
      </c>
      <c r="E1449" t="s">
        <v>689</v>
      </c>
      <c r="F1449" t="s">
        <v>1064</v>
      </c>
      <c r="G1449" t="str">
        <f>_xlfn.TEXTJOIN(",",TRUE,_xlfn._xlws.FILTER(GPU_brand[GPU brand], (GPU_brand[GPU brand text]&lt;&gt;"") * ISNUMBER(SEARCH(GPU_brand[GPU brand text], B1449)), ""))</f>
        <v>Gigabyte</v>
      </c>
      <c r="H1449" t="str">
        <f>_xlfn.TEXTJOIN(",",TRUE,_xlfn._xlws.FILTER(Chipset_Table[Chipset], (Chipset_Table[Chipset text]&lt;&gt;"") * ISNUMBER(SEARCH(Chipset_Table[Chipset text], B1449)), ""))</f>
        <v>GeForce RTX 4080</v>
      </c>
      <c r="I1449" t="str">
        <f>_xlfn.TEXTJOIN(",",TRUE,_xlfn._xlws.FILTER(VRAM_table[Video memory], (VRAM_table[Video memory text]&lt;&gt;"") * ISNUMBER(SEARCH(VRAM_table[Video memory text], B1449)), ""))</f>
        <v>16GB,16GB,6GB,6GB</v>
      </c>
    </row>
    <row r="1450" spans="1:9" x14ac:dyDescent="0.35">
      <c r="A1450" t="s">
        <v>9</v>
      </c>
      <c r="B1450" t="s">
        <v>690</v>
      </c>
      <c r="C1450">
        <v>48990000</v>
      </c>
      <c r="D1450">
        <v>37990000</v>
      </c>
      <c r="E1450" t="s">
        <v>691</v>
      </c>
      <c r="F1450" t="s">
        <v>1064</v>
      </c>
      <c r="G1450" t="str">
        <f>_xlfn.TEXTJOIN(",",TRUE,_xlfn._xlws.FILTER(GPU_brand[GPU brand], (GPU_brand[GPU brand text]&lt;&gt;"") * ISNUMBER(SEARCH(GPU_brand[GPU brand text], B1450)), ""))</f>
        <v>Gigabyte</v>
      </c>
      <c r="H1450" t="str">
        <f>_xlfn.TEXTJOIN(",",TRUE,_xlfn._xlws.FILTER(Chipset_Table[Chipset], (Chipset_Table[Chipset text]&lt;&gt;"") * ISNUMBER(SEARCH(Chipset_Table[Chipset text], B1450)), ""))</f>
        <v>GeForce RTX 4080</v>
      </c>
      <c r="I1450" t="str">
        <f>_xlfn.TEXTJOIN(",",TRUE,_xlfn._xlws.FILTER(VRAM_table[Video memory], (VRAM_table[Video memory text]&lt;&gt;"") * ISNUMBER(SEARCH(VRAM_table[Video memory text], B1450)), ""))</f>
        <v>16GB,16GB,6GB,6GB</v>
      </c>
    </row>
    <row r="1451" spans="1:9" x14ac:dyDescent="0.35">
      <c r="A1451" t="s">
        <v>9</v>
      </c>
      <c r="B1451" t="s">
        <v>692</v>
      </c>
      <c r="C1451">
        <v>0</v>
      </c>
      <c r="D1451">
        <v>40490000</v>
      </c>
      <c r="E1451" t="s">
        <v>693</v>
      </c>
      <c r="F1451" t="s">
        <v>1064</v>
      </c>
      <c r="G1451" t="str">
        <f>_xlfn.TEXTJOIN(",",TRUE,_xlfn._xlws.FILTER(GPU_brand[GPU brand], (GPU_brand[GPU brand text]&lt;&gt;"") * ISNUMBER(SEARCH(GPU_brand[GPU brand text], B1451)), ""))</f>
        <v>Gigabyte</v>
      </c>
      <c r="H1451" t="str">
        <f>_xlfn.TEXTJOIN(",",TRUE,_xlfn._xlws.FILTER(Chipset_Table[Chipset], (Chipset_Table[Chipset text]&lt;&gt;"") * ISNUMBER(SEARCH(Chipset_Table[Chipset text], B1451)), ""))</f>
        <v>GeForce RTX 4080</v>
      </c>
      <c r="I1451" t="str">
        <f>_xlfn.TEXTJOIN(",",TRUE,_xlfn._xlws.FILTER(VRAM_table[Video memory], (VRAM_table[Video memory text]&lt;&gt;"") * ISNUMBER(SEARCH(VRAM_table[Video memory text], B1451)), ""))</f>
        <v>16GB,16GB,6GB,6GB</v>
      </c>
    </row>
    <row r="1452" spans="1:9" x14ac:dyDescent="0.35">
      <c r="A1452" t="s">
        <v>9</v>
      </c>
      <c r="B1452" t="s">
        <v>694</v>
      </c>
      <c r="C1452">
        <v>0</v>
      </c>
      <c r="D1452">
        <v>42990000</v>
      </c>
      <c r="E1452" t="s">
        <v>695</v>
      </c>
      <c r="F1452" t="s">
        <v>1064</v>
      </c>
      <c r="G1452" t="str">
        <f>_xlfn.TEXTJOIN(",",TRUE,_xlfn._xlws.FILTER(GPU_brand[GPU brand], (GPU_brand[GPU brand text]&lt;&gt;"") * ISNUMBER(SEARCH(GPU_brand[GPU brand text], B1452)), ""))</f>
        <v>Gigabyte</v>
      </c>
      <c r="H1452" t="str">
        <f>_xlfn.TEXTJOIN(",",TRUE,_xlfn._xlws.FILTER(Chipset_Table[Chipset], (Chipset_Table[Chipset text]&lt;&gt;"") * ISNUMBER(SEARCH(Chipset_Table[Chipset text], B1452)), ""))</f>
        <v>GeForce RTX 4080</v>
      </c>
      <c r="I1452" t="str">
        <f>_xlfn.TEXTJOIN(",",TRUE,_xlfn._xlws.FILTER(VRAM_table[Video memory], (VRAM_table[Video memory text]&lt;&gt;"") * ISNUMBER(SEARCH(VRAM_table[Video memory text], B1452)), ""))</f>
        <v>16GB,16GB,6GB,6GB</v>
      </c>
    </row>
    <row r="1453" spans="1:9" x14ac:dyDescent="0.35">
      <c r="A1453" t="s">
        <v>9</v>
      </c>
      <c r="B1453" t="s">
        <v>696</v>
      </c>
      <c r="C1453">
        <v>49990000</v>
      </c>
      <c r="D1453">
        <v>39990000</v>
      </c>
      <c r="E1453" t="s">
        <v>697</v>
      </c>
      <c r="F1453" t="s">
        <v>1064</v>
      </c>
      <c r="G1453" t="str">
        <f>_xlfn.TEXTJOIN(",",TRUE,_xlfn._xlws.FILTER(GPU_brand[GPU brand], (GPU_brand[GPU brand text]&lt;&gt;"") * ISNUMBER(SEARCH(GPU_brand[GPU brand text], B1453)), ""))</f>
        <v>Gigabyte</v>
      </c>
      <c r="H1453" t="str">
        <f>_xlfn.TEXTJOIN(",",TRUE,_xlfn._xlws.FILTER(Chipset_Table[Chipset], (Chipset_Table[Chipset text]&lt;&gt;"") * ISNUMBER(SEARCH(Chipset_Table[Chipset text], B1453)), ""))</f>
        <v>GeForce RTX 4080</v>
      </c>
      <c r="I1453" t="str">
        <f>_xlfn.TEXTJOIN(",",TRUE,_xlfn._xlws.FILTER(VRAM_table[Video memory], (VRAM_table[Video memory text]&lt;&gt;"") * ISNUMBER(SEARCH(VRAM_table[Video memory text], B1453)), ""))</f>
        <v>16GB,16GB,6GB,6GB</v>
      </c>
    </row>
    <row r="1454" spans="1:9" x14ac:dyDescent="0.35">
      <c r="A1454" t="s">
        <v>9</v>
      </c>
      <c r="B1454" t="s">
        <v>698</v>
      </c>
      <c r="C1454">
        <v>47200000</v>
      </c>
      <c r="D1454">
        <v>38490000</v>
      </c>
      <c r="E1454" t="s">
        <v>699</v>
      </c>
      <c r="F1454" t="s">
        <v>1064</v>
      </c>
      <c r="G1454" t="str">
        <f>_xlfn.TEXTJOIN(",",TRUE,_xlfn._xlws.FILTER(GPU_brand[GPU brand], (GPU_brand[GPU brand text]&lt;&gt;"") * ISNUMBER(SEARCH(GPU_brand[GPU brand text], B1454)), ""))</f>
        <v>ASUS</v>
      </c>
      <c r="H1454" t="str">
        <f>_xlfn.TEXTJOIN(",",TRUE,_xlfn._xlws.FILTER(Chipset_Table[Chipset], (Chipset_Table[Chipset text]&lt;&gt;"") * ISNUMBER(SEARCH(Chipset_Table[Chipset text], B1454)), ""))</f>
        <v>GeForce RTX 4080</v>
      </c>
      <c r="I1454" t="str">
        <f>_xlfn.TEXTJOIN(",",TRUE,_xlfn._xlws.FILTER(VRAM_table[Video memory], (VRAM_table[Video memory text]&lt;&gt;"") * ISNUMBER(SEARCH(VRAM_table[Video memory text], B1454)), ""))</f>
        <v>16GB,16GB,6GB,6GB</v>
      </c>
    </row>
    <row r="1455" spans="1:9" x14ac:dyDescent="0.35">
      <c r="A1455" t="s">
        <v>9</v>
      </c>
      <c r="B1455" t="s">
        <v>700</v>
      </c>
      <c r="C1455">
        <v>46000000</v>
      </c>
      <c r="D1455">
        <v>37990000</v>
      </c>
      <c r="E1455" t="s">
        <v>701</v>
      </c>
      <c r="F1455" t="s">
        <v>1064</v>
      </c>
      <c r="G1455" t="str">
        <f>_xlfn.TEXTJOIN(",",TRUE,_xlfn._xlws.FILTER(GPU_brand[GPU brand], (GPU_brand[GPU brand text]&lt;&gt;"") * ISNUMBER(SEARCH(GPU_brand[GPU brand text], B1455)), ""))</f>
        <v>ASUS</v>
      </c>
      <c r="H1455" t="str">
        <f>_xlfn.TEXTJOIN(",",TRUE,_xlfn._xlws.FILTER(Chipset_Table[Chipset], (Chipset_Table[Chipset text]&lt;&gt;"") * ISNUMBER(SEARCH(Chipset_Table[Chipset text], B1455)), ""))</f>
        <v>GeForce RTX 4080</v>
      </c>
      <c r="I1455" t="str">
        <f>_xlfn.TEXTJOIN(",",TRUE,_xlfn._xlws.FILTER(VRAM_table[Video memory], (VRAM_table[Video memory text]&lt;&gt;"") * ISNUMBER(SEARCH(VRAM_table[Video memory text], B1455)), ""))</f>
        <v>16GB,16GB,6GB,6GB</v>
      </c>
    </row>
    <row r="1456" spans="1:9" x14ac:dyDescent="0.35">
      <c r="A1456" t="s">
        <v>9</v>
      </c>
      <c r="B1456" t="s">
        <v>702</v>
      </c>
      <c r="C1456">
        <v>29990000</v>
      </c>
      <c r="D1456">
        <v>26990000</v>
      </c>
      <c r="E1456" t="s">
        <v>703</v>
      </c>
      <c r="F1456" t="s">
        <v>1064</v>
      </c>
      <c r="G1456" t="str">
        <f>_xlfn.TEXTJOIN(",",TRUE,_xlfn._xlws.FILTER(GPU_brand[GPU brand], (GPU_brand[GPU brand text]&lt;&gt;"") * ISNUMBER(SEARCH(GPU_brand[GPU brand text], B1456)), ""))</f>
        <v>ASUS</v>
      </c>
      <c r="H1456" t="str">
        <f>_xlfn.TEXTJOIN(",",TRUE,_xlfn._xlws.FILTER(Chipset_Table[Chipset], (Chipset_Table[Chipset text]&lt;&gt;"") * ISNUMBER(SEARCH(Chipset_Table[Chipset text], B1456)), ""))</f>
        <v>GeForce RTX 4070</v>
      </c>
      <c r="I1456" t="str">
        <f>_xlfn.TEXTJOIN(",",TRUE,_xlfn._xlws.FILTER(VRAM_table[Video memory], (VRAM_table[Video memory text]&lt;&gt;"") * ISNUMBER(SEARCH(VRAM_table[Video memory text], B1456)), ""))</f>
        <v>12GB,2GB</v>
      </c>
    </row>
    <row r="1457" spans="1:9" x14ac:dyDescent="0.35">
      <c r="A1457" t="s">
        <v>9</v>
      </c>
      <c r="B1457" t="s">
        <v>704</v>
      </c>
      <c r="C1457">
        <v>24990000</v>
      </c>
      <c r="D1457">
        <v>24390000</v>
      </c>
      <c r="E1457" t="s">
        <v>705</v>
      </c>
      <c r="F1457" t="s">
        <v>1064</v>
      </c>
      <c r="G1457" t="str">
        <f>_xlfn.TEXTJOIN(",",TRUE,_xlfn._xlws.FILTER(GPU_brand[GPU brand], (GPU_brand[GPU brand text]&lt;&gt;"") * ISNUMBER(SEARCH(GPU_brand[GPU brand text], B1457)), ""))</f>
        <v>ASUS</v>
      </c>
      <c r="H1457" t="str">
        <f>_xlfn.TEXTJOIN(",",TRUE,_xlfn._xlws.FILTER(Chipset_Table[Chipset], (Chipset_Table[Chipset text]&lt;&gt;"") * ISNUMBER(SEARCH(Chipset_Table[Chipset text], B1457)), ""))</f>
        <v>GeForce RTX 4070</v>
      </c>
      <c r="I1457" t="str">
        <f>_xlfn.TEXTJOIN(",",TRUE,_xlfn._xlws.FILTER(VRAM_table[Video memory], (VRAM_table[Video memory text]&lt;&gt;"") * ISNUMBER(SEARCH(VRAM_table[Video memory text], B1457)), ""))</f>
        <v>12GB,2GB</v>
      </c>
    </row>
    <row r="1458" spans="1:9" x14ac:dyDescent="0.35">
      <c r="A1458" t="s">
        <v>9</v>
      </c>
      <c r="B1458" t="s">
        <v>706</v>
      </c>
      <c r="C1458">
        <v>69990000</v>
      </c>
      <c r="D1458">
        <v>64990000</v>
      </c>
      <c r="E1458" t="s">
        <v>707</v>
      </c>
      <c r="F1458" t="s">
        <v>1064</v>
      </c>
      <c r="G1458" t="s">
        <v>1065</v>
      </c>
      <c r="H1458" t="s">
        <v>1066</v>
      </c>
      <c r="I1458">
        <v>24</v>
      </c>
    </row>
    <row r="1459" spans="1:9" x14ac:dyDescent="0.35">
      <c r="A1459" t="s">
        <v>9</v>
      </c>
      <c r="B1459" t="s">
        <v>708</v>
      </c>
      <c r="C1459">
        <v>45990000</v>
      </c>
      <c r="D1459">
        <v>42990000</v>
      </c>
      <c r="E1459" t="s">
        <v>709</v>
      </c>
      <c r="F1459" t="s">
        <v>1064</v>
      </c>
      <c r="G1459" t="str">
        <f>_xlfn.TEXTJOIN(",",TRUE,_xlfn._xlws.FILTER(GPU_brand[GPU brand], (GPU_brand[GPU brand text]&lt;&gt;"") * ISNUMBER(SEARCH(GPU_brand[GPU brand text], B1459)), ""))</f>
        <v>ASUS</v>
      </c>
      <c r="H1459" t="str">
        <f>_xlfn.TEXTJOIN(",",TRUE,_xlfn._xlws.FILTER(Chipset_Table[Chipset], (Chipset_Table[Chipset text]&lt;&gt;"") * ISNUMBER(SEARCH(Chipset_Table[Chipset text], B1459)), ""))</f>
        <v>GeForce RTX 4080</v>
      </c>
      <c r="I1459" t="str">
        <f>_xlfn.TEXTJOIN(",",TRUE,_xlfn._xlws.FILTER(VRAM_table[Video memory], (VRAM_table[Video memory text]&lt;&gt;"") * ISNUMBER(SEARCH(VRAM_table[Video memory text], B1459)), ""))</f>
        <v>16GB,16GB,6GB,6GB</v>
      </c>
    </row>
    <row r="1460" spans="1:9" x14ac:dyDescent="0.35">
      <c r="A1460" t="s">
        <v>9</v>
      </c>
      <c r="B1460" t="s">
        <v>710</v>
      </c>
      <c r="C1460">
        <v>0</v>
      </c>
      <c r="D1460">
        <v>40990000</v>
      </c>
      <c r="E1460" t="s">
        <v>711</v>
      </c>
      <c r="F1460" t="s">
        <v>1064</v>
      </c>
      <c r="G1460" t="str">
        <f>_xlfn.TEXTJOIN(",",TRUE,_xlfn._xlws.FILTER(GPU_brand[GPU brand], (GPU_brand[GPU brand text]&lt;&gt;"") * ISNUMBER(SEARCH(GPU_brand[GPU brand text], B1460)), ""))</f>
        <v>ASUS</v>
      </c>
      <c r="H1460" t="str">
        <f>_xlfn.TEXTJOIN(",",TRUE,_xlfn._xlws.FILTER(Chipset_Table[Chipset], (Chipset_Table[Chipset text]&lt;&gt;"") * ISNUMBER(SEARCH(Chipset_Table[Chipset text], B1460)), ""))</f>
        <v>GeForce RTX 4080</v>
      </c>
      <c r="I1460" t="str">
        <f>_xlfn.TEXTJOIN(",",TRUE,_xlfn._xlws.FILTER(VRAM_table[Video memory], (VRAM_table[Video memory text]&lt;&gt;"") * ISNUMBER(SEARCH(VRAM_table[Video memory text], B1460)), ""))</f>
        <v>16GB,16GB,6GB,6GB</v>
      </c>
    </row>
    <row r="1461" spans="1:9" x14ac:dyDescent="0.35">
      <c r="A1461" t="s">
        <v>9</v>
      </c>
      <c r="B1461" t="s">
        <v>712</v>
      </c>
      <c r="C1461">
        <v>49500000</v>
      </c>
      <c r="D1461">
        <v>40490000</v>
      </c>
      <c r="E1461" t="s">
        <v>713</v>
      </c>
      <c r="F1461" t="s">
        <v>1064</v>
      </c>
      <c r="G1461" t="str">
        <f>_xlfn.TEXTJOIN(",",TRUE,_xlfn._xlws.FILTER(GPU_brand[GPU brand], (GPU_brand[GPU brand text]&lt;&gt;"") * ISNUMBER(SEARCH(GPU_brand[GPU brand text], B1461)), ""))</f>
        <v>ASUS</v>
      </c>
      <c r="H1461" t="str">
        <f>_xlfn.TEXTJOIN(",",TRUE,_xlfn._xlws.FILTER(Chipset_Table[Chipset], (Chipset_Table[Chipset text]&lt;&gt;"") * ISNUMBER(SEARCH(Chipset_Table[Chipset text], B1461)), ""))</f>
        <v>GeForce RTX 4080</v>
      </c>
      <c r="I1461" t="str">
        <f>_xlfn.TEXTJOIN(",",TRUE,_xlfn._xlws.FILTER(VRAM_table[Video memory], (VRAM_table[Video memory text]&lt;&gt;"") * ISNUMBER(SEARCH(VRAM_table[Video memory text], B1461)), ""))</f>
        <v>16GB,16GB,6GB,6GB</v>
      </c>
    </row>
    <row r="1462" spans="1:9" x14ac:dyDescent="0.35">
      <c r="A1462" t="s">
        <v>9</v>
      </c>
      <c r="B1462" t="s">
        <v>714</v>
      </c>
      <c r="C1462">
        <v>28490000</v>
      </c>
      <c r="D1462">
        <v>27490000</v>
      </c>
      <c r="E1462" t="s">
        <v>715</v>
      </c>
      <c r="F1462" t="s">
        <v>1064</v>
      </c>
      <c r="G1462" t="str">
        <f>_xlfn.TEXTJOIN(",",TRUE,_xlfn._xlws.FILTER(GPU_brand[GPU brand], (GPU_brand[GPU brand text]&lt;&gt;"") * ISNUMBER(SEARCH(GPU_brand[GPU brand text], B1462)), ""))</f>
        <v>MSI</v>
      </c>
      <c r="H1462" t="str">
        <f>_xlfn.TEXTJOIN(",",TRUE,_xlfn._xlws.FILTER(Chipset_Table[Chipset], (Chipset_Table[Chipset text]&lt;&gt;"") * ISNUMBER(SEARCH(Chipset_Table[Chipset text], B1462)), ""))</f>
        <v>GeForce RTX 4070</v>
      </c>
      <c r="I1462" t="str">
        <f>_xlfn.TEXTJOIN(",",TRUE,_xlfn._xlws.FILTER(VRAM_table[Video memory], (VRAM_table[Video memory text]&lt;&gt;"") * ISNUMBER(SEARCH(VRAM_table[Video memory text], B1462)), ""))</f>
        <v>12GB,2GB</v>
      </c>
    </row>
    <row r="1463" spans="1:9" x14ac:dyDescent="0.35">
      <c r="A1463" t="s">
        <v>9</v>
      </c>
      <c r="B1463" t="s">
        <v>716</v>
      </c>
      <c r="C1463">
        <v>29990000</v>
      </c>
      <c r="D1463">
        <v>27790000</v>
      </c>
      <c r="E1463" t="s">
        <v>717</v>
      </c>
      <c r="F1463" t="s">
        <v>1064</v>
      </c>
      <c r="G1463" t="str">
        <f>_xlfn.TEXTJOIN(",",TRUE,_xlfn._xlws.FILTER(GPU_brand[GPU brand], (GPU_brand[GPU brand text]&lt;&gt;"") * ISNUMBER(SEARCH(GPU_brand[GPU brand text], B1463)), ""))</f>
        <v>MSI</v>
      </c>
      <c r="H1463" t="str">
        <f>_xlfn.TEXTJOIN(",",TRUE,_xlfn._xlws.FILTER(Chipset_Table[Chipset], (Chipset_Table[Chipset text]&lt;&gt;"") * ISNUMBER(SEARCH(Chipset_Table[Chipset text], B1463)), ""))</f>
        <v>GeForce RTX 4070</v>
      </c>
      <c r="I1463" t="str">
        <f>_xlfn.TEXTJOIN(",",TRUE,_xlfn._xlws.FILTER(VRAM_table[Video memory], (VRAM_table[Video memory text]&lt;&gt;"") * ISNUMBER(SEARCH(VRAM_table[Video memory text], B1463)), ""))</f>
        <v>12GB,2GB</v>
      </c>
    </row>
    <row r="1464" spans="1:9" x14ac:dyDescent="0.35">
      <c r="A1464" t="s">
        <v>9</v>
      </c>
      <c r="B1464" t="s">
        <v>718</v>
      </c>
      <c r="C1464">
        <v>25990000</v>
      </c>
      <c r="D1464">
        <v>24990000</v>
      </c>
      <c r="E1464" t="s">
        <v>719</v>
      </c>
      <c r="F1464" t="s">
        <v>1064</v>
      </c>
      <c r="G1464" t="str">
        <f>_xlfn.TEXTJOIN(",",TRUE,_xlfn._xlws.FILTER(GPU_brand[GPU brand], (GPU_brand[GPU brand text]&lt;&gt;"") * ISNUMBER(SEARCH(GPU_brand[GPU brand text], B1464)), ""))</f>
        <v>MSI</v>
      </c>
      <c r="H1464" t="str">
        <f>_xlfn.TEXTJOIN(",",TRUE,_xlfn._xlws.FILTER(Chipset_Table[Chipset], (Chipset_Table[Chipset text]&lt;&gt;"") * ISNUMBER(SEARCH(Chipset_Table[Chipset text], B1464)), ""))</f>
        <v>GeForce RTX 4070</v>
      </c>
      <c r="I1464" t="str">
        <f>_xlfn.TEXTJOIN(",",TRUE,_xlfn._xlws.FILTER(VRAM_table[Video memory], (VRAM_table[Video memory text]&lt;&gt;"") * ISNUMBER(SEARCH(VRAM_table[Video memory text], B1464)), ""))</f>
        <v>12GB,2GB</v>
      </c>
    </row>
    <row r="1465" spans="1:9" x14ac:dyDescent="0.35">
      <c r="A1465" t="s">
        <v>9</v>
      </c>
      <c r="B1465" t="s">
        <v>720</v>
      </c>
      <c r="C1465">
        <v>29990000</v>
      </c>
      <c r="D1465">
        <v>27990000</v>
      </c>
      <c r="E1465" t="s">
        <v>721</v>
      </c>
      <c r="F1465" t="s">
        <v>1064</v>
      </c>
      <c r="G1465" t="str">
        <f>_xlfn.TEXTJOIN(",",TRUE,_xlfn._xlws.FILTER(GPU_brand[GPU brand], (GPU_brand[GPU brand text]&lt;&gt;"") * ISNUMBER(SEARCH(GPU_brand[GPU brand text], B1465)), ""))</f>
        <v>Gigabyte</v>
      </c>
      <c r="H1465" t="str">
        <f>_xlfn.TEXTJOIN(",",TRUE,_xlfn._xlws.FILTER(Chipset_Table[Chipset], (Chipset_Table[Chipset text]&lt;&gt;"") * ISNUMBER(SEARCH(Chipset_Table[Chipset text], B1465)), ""))</f>
        <v>GeForce RTX 4070</v>
      </c>
      <c r="I1465" t="str">
        <f>_xlfn.TEXTJOIN(",",TRUE,_xlfn._xlws.FILTER(VRAM_table[Video memory], (VRAM_table[Video memory text]&lt;&gt;"") * ISNUMBER(SEARCH(VRAM_table[Video memory text], B1465)), ""))</f>
        <v>12GB,2GB</v>
      </c>
    </row>
    <row r="1466" spans="1:9" x14ac:dyDescent="0.35">
      <c r="A1466" t="s">
        <v>9</v>
      </c>
      <c r="B1466" t="s">
        <v>722</v>
      </c>
      <c r="C1466">
        <v>27990000</v>
      </c>
      <c r="D1466">
        <v>25990000</v>
      </c>
      <c r="E1466" t="s">
        <v>723</v>
      </c>
      <c r="F1466" t="s">
        <v>1064</v>
      </c>
      <c r="G1466" t="str">
        <f>_xlfn.TEXTJOIN(",",TRUE,_xlfn._xlws.FILTER(GPU_brand[GPU brand], (GPU_brand[GPU brand text]&lt;&gt;"") * ISNUMBER(SEARCH(GPU_brand[GPU brand text], B1466)), ""))</f>
        <v>Gigabyte</v>
      </c>
      <c r="H1466" t="str">
        <f>_xlfn.TEXTJOIN(",",TRUE,_xlfn._xlws.FILTER(Chipset_Table[Chipset], (Chipset_Table[Chipset text]&lt;&gt;"") * ISNUMBER(SEARCH(Chipset_Table[Chipset text], B1466)), ""))</f>
        <v>GeForce RTX 4070</v>
      </c>
      <c r="I1466" t="str">
        <f>_xlfn.TEXTJOIN(",",TRUE,_xlfn._xlws.FILTER(VRAM_table[Video memory], (VRAM_table[Video memory text]&lt;&gt;"") * ISNUMBER(SEARCH(VRAM_table[Video memory text], B1466)), ""))</f>
        <v>12GB,2GB</v>
      </c>
    </row>
    <row r="1467" spans="1:9" x14ac:dyDescent="0.35">
      <c r="A1467" t="s">
        <v>9</v>
      </c>
      <c r="B1467" t="s">
        <v>724</v>
      </c>
      <c r="C1467">
        <v>30990000</v>
      </c>
      <c r="D1467">
        <v>27990000</v>
      </c>
      <c r="E1467" t="s">
        <v>725</v>
      </c>
      <c r="F1467" t="s">
        <v>1064</v>
      </c>
      <c r="G1467" t="str">
        <f>_xlfn.TEXTJOIN(",",TRUE,_xlfn._xlws.FILTER(GPU_brand[GPU brand], (GPU_brand[GPU brand text]&lt;&gt;"") * ISNUMBER(SEARCH(GPU_brand[GPU brand text], B1467)), ""))</f>
        <v>Gigabyte</v>
      </c>
      <c r="H1467" t="str">
        <f>_xlfn.TEXTJOIN(",",TRUE,_xlfn._xlws.FILTER(Chipset_Table[Chipset], (Chipset_Table[Chipset text]&lt;&gt;"") * ISNUMBER(SEARCH(Chipset_Table[Chipset text], B1467)), ""))</f>
        <v>GeForce RTX 4070</v>
      </c>
      <c r="I1467" t="str">
        <f>_xlfn.TEXTJOIN(",",TRUE,_xlfn._xlws.FILTER(VRAM_table[Video memory], (VRAM_table[Video memory text]&lt;&gt;"") * ISNUMBER(SEARCH(VRAM_table[Video memory text], B1467)), ""))</f>
        <v>12GB,2GB</v>
      </c>
    </row>
    <row r="1468" spans="1:9" x14ac:dyDescent="0.35">
      <c r="A1468" t="s">
        <v>9</v>
      </c>
      <c r="B1468" t="s">
        <v>726</v>
      </c>
      <c r="C1468">
        <v>30990000</v>
      </c>
      <c r="D1468">
        <v>29490000</v>
      </c>
      <c r="E1468" t="s">
        <v>727</v>
      </c>
      <c r="F1468" t="s">
        <v>1064</v>
      </c>
      <c r="G1468" t="str">
        <f>_xlfn.TEXTJOIN(",",TRUE,_xlfn._xlws.FILTER(GPU_brand[GPU brand], (GPU_brand[GPU brand text]&lt;&gt;"") * ISNUMBER(SEARCH(GPU_brand[GPU brand text], B1468)), ""))</f>
        <v>Gigabyte</v>
      </c>
      <c r="H1468" t="str">
        <f>_xlfn.TEXTJOIN(",",TRUE,_xlfn._xlws.FILTER(Chipset_Table[Chipset], (Chipset_Table[Chipset text]&lt;&gt;"") * ISNUMBER(SEARCH(Chipset_Table[Chipset text], B1468)), ""))</f>
        <v>GeForce RTX 4070</v>
      </c>
      <c r="I1468" t="str">
        <f>_xlfn.TEXTJOIN(",",TRUE,_xlfn._xlws.FILTER(VRAM_table[Video memory], (VRAM_table[Video memory text]&lt;&gt;"") * ISNUMBER(SEARCH(VRAM_table[Video memory text], B1468)), ""))</f>
        <v>12GB,2GB</v>
      </c>
    </row>
    <row r="1469" spans="1:9" x14ac:dyDescent="0.35">
      <c r="A1469" t="s">
        <v>9</v>
      </c>
      <c r="B1469" t="s">
        <v>728</v>
      </c>
      <c r="C1469">
        <v>29290000</v>
      </c>
      <c r="D1469">
        <v>28990000</v>
      </c>
      <c r="E1469" t="s">
        <v>729</v>
      </c>
      <c r="F1469" t="s">
        <v>1064</v>
      </c>
      <c r="G1469" t="str">
        <f>_xlfn.TEXTJOIN(",",TRUE,_xlfn._xlws.FILTER(GPU_brand[GPU brand], (GPU_brand[GPU brand text]&lt;&gt;"") * ISNUMBER(SEARCH(GPU_brand[GPU brand text], B1469)), ""))</f>
        <v>Gigabyte</v>
      </c>
      <c r="H1469" t="str">
        <f>_xlfn.TEXTJOIN(",",TRUE,_xlfn._xlws.FILTER(Chipset_Table[Chipset], (Chipset_Table[Chipset text]&lt;&gt;"") * ISNUMBER(SEARCH(Chipset_Table[Chipset text], B1469)), ""))</f>
        <v>GeForce RTX 4070</v>
      </c>
      <c r="I1469" t="str">
        <f>_xlfn.TEXTJOIN(",",TRUE,_xlfn._xlws.FILTER(VRAM_table[Video memory], (VRAM_table[Video memory text]&lt;&gt;"") * ISNUMBER(SEARCH(VRAM_table[Video memory text], B1469)), ""))</f>
        <v>12GB,2GB</v>
      </c>
    </row>
    <row r="1470" spans="1:9" x14ac:dyDescent="0.35">
      <c r="A1470" t="s">
        <v>9</v>
      </c>
      <c r="B1470" t="s">
        <v>730</v>
      </c>
      <c r="C1470">
        <v>30490000</v>
      </c>
      <c r="D1470">
        <v>29990000</v>
      </c>
      <c r="E1470" t="s">
        <v>731</v>
      </c>
      <c r="F1470" t="s">
        <v>1064</v>
      </c>
      <c r="G1470" t="str">
        <f>_xlfn.TEXTJOIN(",",TRUE,_xlfn._xlws.FILTER(GPU_brand[GPU brand], (GPU_brand[GPU brand text]&lt;&gt;"") * ISNUMBER(SEARCH(GPU_brand[GPU brand text], B1470)), ""))</f>
        <v>ASUS</v>
      </c>
      <c r="H1470" t="str">
        <f>_xlfn.TEXTJOIN(",",TRUE,_xlfn._xlws.FILTER(Chipset_Table[Chipset], (Chipset_Table[Chipset text]&lt;&gt;"") * ISNUMBER(SEARCH(Chipset_Table[Chipset text], B1470)), ""))</f>
        <v>GeForce RTX 4070</v>
      </c>
      <c r="I1470" t="str">
        <f>_xlfn.TEXTJOIN(",",TRUE,_xlfn._xlws.FILTER(VRAM_table[Video memory], (VRAM_table[Video memory text]&lt;&gt;"") * ISNUMBER(SEARCH(VRAM_table[Video memory text], B1470)), ""))</f>
        <v>12GB,2GB</v>
      </c>
    </row>
    <row r="1471" spans="1:9" x14ac:dyDescent="0.35">
      <c r="A1471" t="s">
        <v>9</v>
      </c>
      <c r="B1471" t="s">
        <v>732</v>
      </c>
      <c r="C1471">
        <v>29990000</v>
      </c>
      <c r="D1471">
        <v>26790000</v>
      </c>
      <c r="E1471" t="s">
        <v>733</v>
      </c>
      <c r="F1471" t="s">
        <v>1064</v>
      </c>
      <c r="G1471" t="str">
        <f>_xlfn.TEXTJOIN(",",TRUE,_xlfn._xlws.FILTER(GPU_brand[GPU brand], (GPU_brand[GPU brand text]&lt;&gt;"") * ISNUMBER(SEARCH(GPU_brand[GPU brand text], B1471)), ""))</f>
        <v>ASUS</v>
      </c>
      <c r="H1471" t="str">
        <f>_xlfn.TEXTJOIN(",",TRUE,_xlfn._xlws.FILTER(Chipset_Table[Chipset], (Chipset_Table[Chipset text]&lt;&gt;"") * ISNUMBER(SEARCH(Chipset_Table[Chipset text], B1471)), ""))</f>
        <v>GeForce RTX 4070</v>
      </c>
      <c r="I1471" t="str">
        <f>_xlfn.TEXTJOIN(",",TRUE,_xlfn._xlws.FILTER(VRAM_table[Video memory], (VRAM_table[Video memory text]&lt;&gt;"") * ISNUMBER(SEARCH(VRAM_table[Video memory text], B1471)), ""))</f>
        <v>12GB,2GB</v>
      </c>
    </row>
    <row r="1472" spans="1:9" x14ac:dyDescent="0.35">
      <c r="A1472" t="s">
        <v>9</v>
      </c>
      <c r="B1472" t="s">
        <v>734</v>
      </c>
      <c r="C1472">
        <v>0</v>
      </c>
      <c r="D1472">
        <v>17490000</v>
      </c>
      <c r="E1472" t="s">
        <v>735</v>
      </c>
      <c r="F1472" t="s">
        <v>1064</v>
      </c>
      <c r="G1472" t="str">
        <f>_xlfn.TEXTJOIN(",",TRUE,_xlfn._xlws.FILTER(GPU_brand[GPU brand], (GPU_brand[GPU brand text]&lt;&gt;"") * ISNUMBER(SEARCH(GPU_brand[GPU brand text], B1472)), ""))</f>
        <v>MSI</v>
      </c>
      <c r="H1472" t="str">
        <f>_xlfn.TEXTJOIN(",",TRUE,_xlfn._xlws.FILTER(Chipset_Table[Chipset], (Chipset_Table[Chipset text]&lt;&gt;"") * ISNUMBER(SEARCH(Chipset_Table[Chipset text], B1472)), ""))</f>
        <v>GeForce RTX 4070</v>
      </c>
      <c r="I1472" t="str">
        <f>_xlfn.TEXTJOIN(",",TRUE,_xlfn._xlws.FILTER(VRAM_table[Video memory], (VRAM_table[Video memory text]&lt;&gt;"") * ISNUMBER(SEARCH(VRAM_table[Video memory text], B1472)), ""))</f>
        <v>12GB,2GB</v>
      </c>
    </row>
    <row r="1473" spans="1:9" x14ac:dyDescent="0.35">
      <c r="A1473" t="s">
        <v>9</v>
      </c>
      <c r="B1473" t="s">
        <v>736</v>
      </c>
      <c r="C1473">
        <v>0</v>
      </c>
      <c r="D1473">
        <v>16990000</v>
      </c>
      <c r="E1473" t="s">
        <v>737</v>
      </c>
      <c r="F1473" t="s">
        <v>1064</v>
      </c>
      <c r="G1473" t="str">
        <f>_xlfn.TEXTJOIN(",",TRUE,_xlfn._xlws.FILTER(GPU_brand[GPU brand], (GPU_brand[GPU brand text]&lt;&gt;"") * ISNUMBER(SEARCH(GPU_brand[GPU brand text], B1473)), ""))</f>
        <v>MSI</v>
      </c>
      <c r="H1473" t="str">
        <f>_xlfn.TEXTJOIN(",",TRUE,_xlfn._xlws.FILTER(Chipset_Table[Chipset], (Chipset_Table[Chipset text]&lt;&gt;"") * ISNUMBER(SEARCH(Chipset_Table[Chipset text], B1473)), ""))</f>
        <v>GeForce RTX 4070</v>
      </c>
      <c r="I1473" t="str">
        <f>_xlfn.TEXTJOIN(",",TRUE,_xlfn._xlws.FILTER(VRAM_table[Video memory], (VRAM_table[Video memory text]&lt;&gt;"") * ISNUMBER(SEARCH(VRAM_table[Video memory text], B1473)), ""))</f>
        <v>12GB,2GB</v>
      </c>
    </row>
    <row r="1474" spans="1:9" x14ac:dyDescent="0.35">
      <c r="A1474" t="s">
        <v>9</v>
      </c>
      <c r="B1474" t="s">
        <v>738</v>
      </c>
      <c r="C1474">
        <v>0</v>
      </c>
      <c r="D1474">
        <v>16790000</v>
      </c>
      <c r="E1474" t="s">
        <v>739</v>
      </c>
      <c r="F1474" t="s">
        <v>1064</v>
      </c>
      <c r="G1474" t="str">
        <f>_xlfn.TEXTJOIN(",",TRUE,_xlfn._xlws.FILTER(GPU_brand[GPU brand], (GPU_brand[GPU brand text]&lt;&gt;"") * ISNUMBER(SEARCH(GPU_brand[GPU brand text], B1474)), ""))</f>
        <v>MSI</v>
      </c>
      <c r="H1474" t="str">
        <f>_xlfn.TEXTJOIN(",",TRUE,_xlfn._xlws.FILTER(Chipset_Table[Chipset], (Chipset_Table[Chipset text]&lt;&gt;"") * ISNUMBER(SEARCH(Chipset_Table[Chipset text], B1474)), ""))</f>
        <v>GeForce RTX 4070</v>
      </c>
      <c r="I1474" t="str">
        <f>_xlfn.TEXTJOIN(",",TRUE,_xlfn._xlws.FILTER(VRAM_table[Video memory], (VRAM_table[Video memory text]&lt;&gt;"") * ISNUMBER(SEARCH(VRAM_table[Video memory text], B1474)), ""))</f>
        <v>12GB,2GB</v>
      </c>
    </row>
    <row r="1475" spans="1:9" x14ac:dyDescent="0.35">
      <c r="A1475" t="s">
        <v>9</v>
      </c>
      <c r="B1475" t="s">
        <v>740</v>
      </c>
      <c r="C1475">
        <v>27990000</v>
      </c>
      <c r="D1475">
        <v>26990000</v>
      </c>
      <c r="E1475" t="s">
        <v>741</v>
      </c>
      <c r="F1475" t="s">
        <v>1064</v>
      </c>
      <c r="G1475" t="str">
        <f>_xlfn.TEXTJOIN(",",TRUE,_xlfn._xlws.FILTER(GPU_brand[GPU brand], (GPU_brand[GPU brand text]&lt;&gt;"") * ISNUMBER(SEARCH(GPU_brand[GPU brand text], B1475)), ""))</f>
        <v>MSI</v>
      </c>
      <c r="H1475" t="str">
        <f>_xlfn.TEXTJOIN(",",TRUE,_xlfn._xlws.FILTER(Chipset_Table[Chipset], (Chipset_Table[Chipset text]&lt;&gt;"") * ISNUMBER(SEARCH(Chipset_Table[Chipset text], B1475)), ""))</f>
        <v>GeForce RTX 4070</v>
      </c>
      <c r="I1475" t="str">
        <f>_xlfn.TEXTJOIN(",",TRUE,_xlfn._xlws.FILTER(VRAM_table[Video memory], (VRAM_table[Video memory text]&lt;&gt;"") * ISNUMBER(SEARCH(VRAM_table[Video memory text], B1475)), ""))</f>
        <v>12GB,2GB</v>
      </c>
    </row>
    <row r="1476" spans="1:9" x14ac:dyDescent="0.35">
      <c r="A1476" t="s">
        <v>9</v>
      </c>
      <c r="B1476" t="s">
        <v>742</v>
      </c>
      <c r="C1476">
        <v>19490000</v>
      </c>
      <c r="D1476">
        <v>18990000</v>
      </c>
      <c r="E1476" t="s">
        <v>743</v>
      </c>
      <c r="F1476" t="s">
        <v>1064</v>
      </c>
      <c r="G1476" t="str">
        <f>_xlfn.TEXTJOIN(",",TRUE,_xlfn._xlws.FILTER(GPU_brand[GPU brand], (GPU_brand[GPU brand text]&lt;&gt;"") * ISNUMBER(SEARCH(GPU_brand[GPU brand text], B1476)), ""))</f>
        <v>MSI</v>
      </c>
      <c r="H1476" t="str">
        <f>_xlfn.TEXTJOIN(",",TRUE,_xlfn._xlws.FILTER(Chipset_Table[Chipset], (Chipset_Table[Chipset text]&lt;&gt;"") * ISNUMBER(SEARCH(Chipset_Table[Chipset text], B1476)), ""))</f>
        <v>GeForce RTX 4070</v>
      </c>
      <c r="I1476" t="str">
        <f>_xlfn.TEXTJOIN(",",TRUE,_xlfn._xlws.FILTER(VRAM_table[Video memory], (VRAM_table[Video memory text]&lt;&gt;"") * ISNUMBER(SEARCH(VRAM_table[Video memory text], B1476)), ""))</f>
        <v>12GB,2GB</v>
      </c>
    </row>
    <row r="1477" spans="1:9" x14ac:dyDescent="0.35">
      <c r="A1477" t="s">
        <v>9</v>
      </c>
      <c r="B1477" t="s">
        <v>744</v>
      </c>
      <c r="C1477">
        <v>13990000</v>
      </c>
      <c r="D1477">
        <v>13490000</v>
      </c>
      <c r="E1477" t="s">
        <v>745</v>
      </c>
      <c r="F1477" t="s">
        <v>1064</v>
      </c>
      <c r="G1477" t="str">
        <f>_xlfn.TEXTJOIN(",",TRUE,_xlfn._xlws.FILTER(GPU_brand[GPU brand], (GPU_brand[GPU brand text]&lt;&gt;"") * ISNUMBER(SEARCH(GPU_brand[GPU brand text], B1477)), ""))</f>
        <v>MSI</v>
      </c>
      <c r="H1477" t="str">
        <f>_xlfn.TEXTJOIN(",",TRUE,_xlfn._xlws.FILTER(Chipset_Table[Chipset], (Chipset_Table[Chipset text]&lt;&gt;"") * ISNUMBER(SEARCH(Chipset_Table[Chipset text], B1477)), ""))</f>
        <v>GeForce RTX 4060</v>
      </c>
      <c r="I1477" t="str">
        <f>_xlfn.TEXTJOIN(",",TRUE,_xlfn._xlws.FILTER(VRAM_table[Video memory], (VRAM_table[Video memory text]&lt;&gt;"") * ISNUMBER(SEARCH(VRAM_table[Video memory text], B1477)), ""))</f>
        <v>8GB</v>
      </c>
    </row>
    <row r="1478" spans="1:9" x14ac:dyDescent="0.35">
      <c r="A1478" t="s">
        <v>9</v>
      </c>
      <c r="B1478" t="s">
        <v>746</v>
      </c>
      <c r="C1478">
        <v>17990000</v>
      </c>
      <c r="D1478">
        <v>17490000</v>
      </c>
      <c r="E1478" t="s">
        <v>747</v>
      </c>
      <c r="F1478" t="s">
        <v>1064</v>
      </c>
      <c r="G1478" t="str">
        <f>_xlfn.TEXTJOIN(",",TRUE,_xlfn._xlws.FILTER(GPU_brand[GPU brand], (GPU_brand[GPU brand text]&lt;&gt;"") * ISNUMBER(SEARCH(GPU_brand[GPU brand text], B1478)), ""))</f>
        <v>Gigabyte</v>
      </c>
      <c r="H1478" t="str">
        <f>_xlfn.TEXTJOIN(",",TRUE,_xlfn._xlws.FILTER(Chipset_Table[Chipset], (Chipset_Table[Chipset text]&lt;&gt;"") * ISNUMBER(SEARCH(Chipset_Table[Chipset text], B1478)), ""))</f>
        <v>GeForce RTX 4070</v>
      </c>
      <c r="I1478" t="str">
        <f>_xlfn.TEXTJOIN(",",TRUE,_xlfn._xlws.FILTER(VRAM_table[Video memory], (VRAM_table[Video memory text]&lt;&gt;"") * ISNUMBER(SEARCH(VRAM_table[Video memory text], B1478)), ""))</f>
        <v>12GB,2GB</v>
      </c>
    </row>
    <row r="1479" spans="1:9" x14ac:dyDescent="0.35">
      <c r="A1479" t="s">
        <v>9</v>
      </c>
      <c r="B1479" t="s">
        <v>748</v>
      </c>
      <c r="C1479">
        <v>19990000</v>
      </c>
      <c r="D1479">
        <v>18990000</v>
      </c>
      <c r="E1479" t="s">
        <v>749</v>
      </c>
      <c r="F1479" t="s">
        <v>1064</v>
      </c>
      <c r="G1479" t="str">
        <f>_xlfn.TEXTJOIN(",",TRUE,_xlfn._xlws.FILTER(GPU_brand[GPU brand], (GPU_brand[GPU brand text]&lt;&gt;"") * ISNUMBER(SEARCH(GPU_brand[GPU brand text], B1479)), ""))</f>
        <v>Gigabyte</v>
      </c>
      <c r="H1479" t="str">
        <f>_xlfn.TEXTJOIN(",",TRUE,_xlfn._xlws.FILTER(Chipset_Table[Chipset], (Chipset_Table[Chipset text]&lt;&gt;"") * ISNUMBER(SEARCH(Chipset_Table[Chipset text], B1479)), ""))</f>
        <v>GeForce RTX 4070</v>
      </c>
      <c r="I1479" t="str">
        <f>_xlfn.TEXTJOIN(",",TRUE,_xlfn._xlws.FILTER(VRAM_table[Video memory], (VRAM_table[Video memory text]&lt;&gt;"") * ISNUMBER(SEARCH(VRAM_table[Video memory text], B1479)), ""))</f>
        <v>12GB,2GB</v>
      </c>
    </row>
    <row r="1480" spans="1:9" x14ac:dyDescent="0.35">
      <c r="A1480" t="s">
        <v>9</v>
      </c>
      <c r="B1480" t="s">
        <v>750</v>
      </c>
      <c r="C1480">
        <v>17990000</v>
      </c>
      <c r="D1480">
        <v>17690000</v>
      </c>
      <c r="E1480" t="s">
        <v>751</v>
      </c>
      <c r="F1480" t="s">
        <v>1064</v>
      </c>
      <c r="G1480" t="str">
        <f>_xlfn.TEXTJOIN(",",TRUE,_xlfn._xlws.FILTER(GPU_brand[GPU brand], (GPU_brand[GPU brand text]&lt;&gt;"") * ISNUMBER(SEARCH(GPU_brand[GPU brand text], B1480)), ""))</f>
        <v>Gigabyte</v>
      </c>
      <c r="H1480" t="str">
        <f>_xlfn.TEXTJOIN(",",TRUE,_xlfn._xlws.FILTER(Chipset_Table[Chipset], (Chipset_Table[Chipset text]&lt;&gt;"") * ISNUMBER(SEARCH(Chipset_Table[Chipset text], B1480)), ""))</f>
        <v>GeForce RTX 4070</v>
      </c>
      <c r="I1480" t="str">
        <f>_xlfn.TEXTJOIN(",",TRUE,_xlfn._xlws.FILTER(VRAM_table[Video memory], (VRAM_table[Video memory text]&lt;&gt;"") * ISNUMBER(SEARCH(VRAM_table[Video memory text], B1480)), ""))</f>
        <v>12GB,2GB</v>
      </c>
    </row>
    <row r="1481" spans="1:9" x14ac:dyDescent="0.35">
      <c r="A1481" t="s">
        <v>9</v>
      </c>
      <c r="B1481" t="s">
        <v>752</v>
      </c>
      <c r="C1481">
        <v>19990000</v>
      </c>
      <c r="D1481">
        <v>19290000</v>
      </c>
      <c r="E1481" t="s">
        <v>753</v>
      </c>
      <c r="F1481" t="s">
        <v>1064</v>
      </c>
      <c r="G1481" t="str">
        <f>_xlfn.TEXTJOIN(",",TRUE,_xlfn._xlws.FILTER(GPU_brand[GPU brand], (GPU_brand[GPU brand text]&lt;&gt;"") * ISNUMBER(SEARCH(GPU_brand[GPU brand text], B1481)), ""))</f>
        <v>Gigabyte</v>
      </c>
      <c r="H1481" t="str">
        <f>_xlfn.TEXTJOIN(",",TRUE,_xlfn._xlws.FILTER(Chipset_Table[Chipset], (Chipset_Table[Chipset text]&lt;&gt;"") * ISNUMBER(SEARCH(Chipset_Table[Chipset text], B1481)), ""))</f>
        <v>GeForce RTX 4070</v>
      </c>
      <c r="I1481" t="str">
        <f>_xlfn.TEXTJOIN(",",TRUE,_xlfn._xlws.FILTER(VRAM_table[Video memory], (VRAM_table[Video memory text]&lt;&gt;"") * ISNUMBER(SEARCH(VRAM_table[Video memory text], B1481)), ""))</f>
        <v>12GB,2GB</v>
      </c>
    </row>
    <row r="1482" spans="1:9" x14ac:dyDescent="0.35">
      <c r="A1482" t="s">
        <v>9</v>
      </c>
      <c r="B1482" t="s">
        <v>754</v>
      </c>
      <c r="C1482">
        <v>13990000</v>
      </c>
      <c r="D1482">
        <v>13490000</v>
      </c>
      <c r="E1482" t="s">
        <v>755</v>
      </c>
      <c r="F1482" t="s">
        <v>1064</v>
      </c>
      <c r="G1482" t="str">
        <f>_xlfn.TEXTJOIN(",",TRUE,_xlfn._xlws.FILTER(GPU_brand[GPU brand], (GPU_brand[GPU brand text]&lt;&gt;"") * ISNUMBER(SEARCH(GPU_brand[GPU brand text], B1482)), ""))</f>
        <v>Gigabyte</v>
      </c>
      <c r="H1482" t="str">
        <f>_xlfn.TEXTJOIN(",",TRUE,_xlfn._xlws.FILTER(Chipset_Table[Chipset], (Chipset_Table[Chipset text]&lt;&gt;"") * ISNUMBER(SEARCH(Chipset_Table[Chipset text], B1482)), ""))</f>
        <v>GeForce RTX 4060</v>
      </c>
      <c r="I1482" t="str">
        <f>_xlfn.TEXTJOIN(",",TRUE,_xlfn._xlws.FILTER(VRAM_table[Video memory], (VRAM_table[Video memory text]&lt;&gt;"") * ISNUMBER(SEARCH(VRAM_table[Video memory text], B1482)), ""))</f>
        <v>8GB</v>
      </c>
    </row>
    <row r="1483" spans="1:9" x14ac:dyDescent="0.35">
      <c r="A1483" t="s">
        <v>9</v>
      </c>
      <c r="B1483" t="s">
        <v>756</v>
      </c>
      <c r="C1483">
        <v>20990000</v>
      </c>
      <c r="D1483">
        <v>20490000</v>
      </c>
      <c r="E1483" t="s">
        <v>757</v>
      </c>
      <c r="F1483" t="s">
        <v>1064</v>
      </c>
      <c r="G1483" t="str">
        <f>_xlfn.TEXTJOIN(",",TRUE,_xlfn._xlws.FILTER(GPU_brand[GPU brand], (GPU_brand[GPU brand text]&lt;&gt;"") * ISNUMBER(SEARCH(GPU_brand[GPU brand text], B1483)), ""))</f>
        <v>Gigabyte</v>
      </c>
      <c r="H1483" t="str">
        <f>_xlfn.TEXTJOIN(",",TRUE,_xlfn._xlws.FILTER(Chipset_Table[Chipset], (Chipset_Table[Chipset text]&lt;&gt;"") * ISNUMBER(SEARCH(Chipset_Table[Chipset text], B1483)), ""))</f>
        <v>GeForce RTX 4070</v>
      </c>
      <c r="I1483" t="str">
        <f>_xlfn.TEXTJOIN(",",TRUE,_xlfn._xlws.FILTER(VRAM_table[Video memory], (VRAM_table[Video memory text]&lt;&gt;"") * ISNUMBER(SEARCH(VRAM_table[Video memory text], B1483)), ""))</f>
        <v>12GB,2GB</v>
      </c>
    </row>
    <row r="1484" spans="1:9" x14ac:dyDescent="0.35">
      <c r="A1484" t="s">
        <v>9</v>
      </c>
      <c r="B1484" t="s">
        <v>758</v>
      </c>
      <c r="C1484">
        <v>20490000</v>
      </c>
      <c r="D1484">
        <v>19990000</v>
      </c>
      <c r="E1484" t="s">
        <v>759</v>
      </c>
      <c r="F1484" t="s">
        <v>1064</v>
      </c>
      <c r="G1484" t="str">
        <f>_xlfn.TEXTJOIN(",",TRUE,_xlfn._xlws.FILTER(GPU_brand[GPU brand], (GPU_brand[GPU brand text]&lt;&gt;"") * ISNUMBER(SEARCH(GPU_brand[GPU brand text], B1484)), ""))</f>
        <v>ASUS</v>
      </c>
      <c r="H1484" t="str">
        <f>_xlfn.TEXTJOIN(",",TRUE,_xlfn._xlws.FILTER(Chipset_Table[Chipset], (Chipset_Table[Chipset text]&lt;&gt;"") * ISNUMBER(SEARCH(Chipset_Table[Chipset text], B1484)), ""))</f>
        <v>GeForce RTX 4070</v>
      </c>
      <c r="I1484" t="str">
        <f>_xlfn.TEXTJOIN(",",TRUE,_xlfn._xlws.FILTER(VRAM_table[Video memory], (VRAM_table[Video memory text]&lt;&gt;"") * ISNUMBER(SEARCH(VRAM_table[Video memory text], B1484)), ""))</f>
        <v>12GB,2GB</v>
      </c>
    </row>
    <row r="1485" spans="1:9" x14ac:dyDescent="0.35">
      <c r="A1485" t="s">
        <v>9</v>
      </c>
      <c r="B1485" t="s">
        <v>760</v>
      </c>
      <c r="C1485">
        <v>0</v>
      </c>
      <c r="D1485">
        <v>19490000</v>
      </c>
      <c r="E1485" t="s">
        <v>761</v>
      </c>
      <c r="F1485" t="s">
        <v>1064</v>
      </c>
      <c r="G1485" t="str">
        <f>_xlfn.TEXTJOIN(",",TRUE,_xlfn._xlws.FILTER(GPU_brand[GPU brand], (GPU_brand[GPU brand text]&lt;&gt;"") * ISNUMBER(SEARCH(GPU_brand[GPU brand text], B1485)), ""))</f>
        <v>ASUS</v>
      </c>
      <c r="H1485" t="str">
        <f>_xlfn.TEXTJOIN(",",TRUE,_xlfn._xlws.FILTER(Chipset_Table[Chipset], (Chipset_Table[Chipset text]&lt;&gt;"") * ISNUMBER(SEARCH(Chipset_Table[Chipset text], B1485)), ""))</f>
        <v>GeForce RTX 4070</v>
      </c>
      <c r="I1485" t="str">
        <f>_xlfn.TEXTJOIN(",",TRUE,_xlfn._xlws.FILTER(VRAM_table[Video memory], (VRAM_table[Video memory text]&lt;&gt;"") * ISNUMBER(SEARCH(VRAM_table[Video memory text], B1485)), ""))</f>
        <v>12GB,2GB</v>
      </c>
    </row>
    <row r="1486" spans="1:9" x14ac:dyDescent="0.35">
      <c r="A1486" t="s">
        <v>9</v>
      </c>
      <c r="B1486" t="s">
        <v>762</v>
      </c>
      <c r="C1486">
        <v>0</v>
      </c>
      <c r="D1486">
        <v>21990000</v>
      </c>
      <c r="E1486" t="s">
        <v>763</v>
      </c>
      <c r="F1486" t="s">
        <v>1064</v>
      </c>
      <c r="G1486" t="str">
        <f>_xlfn.TEXTJOIN(",",TRUE,_xlfn._xlws.FILTER(GPU_brand[GPU brand], (GPU_brand[GPU brand text]&lt;&gt;"") * ISNUMBER(SEARCH(GPU_brand[GPU brand text], B1486)), ""))</f>
        <v>ASUS</v>
      </c>
      <c r="H1486" t="str">
        <f>_xlfn.TEXTJOIN(",",TRUE,_xlfn._xlws.FILTER(Chipset_Table[Chipset], (Chipset_Table[Chipset text]&lt;&gt;"") * ISNUMBER(SEARCH(Chipset_Table[Chipset text], B1486)), ""))</f>
        <v>GeForce RTX 4070</v>
      </c>
      <c r="I1486" t="str">
        <f>_xlfn.TEXTJOIN(",",TRUE,_xlfn._xlws.FILTER(VRAM_table[Video memory], (VRAM_table[Video memory text]&lt;&gt;"") * ISNUMBER(SEARCH(VRAM_table[Video memory text], B1486)), ""))</f>
        <v>12GB,2GB</v>
      </c>
    </row>
    <row r="1487" spans="1:9" x14ac:dyDescent="0.35">
      <c r="A1487" t="s">
        <v>9</v>
      </c>
      <c r="B1487" t="s">
        <v>764</v>
      </c>
      <c r="C1487">
        <v>0</v>
      </c>
      <c r="D1487">
        <v>21490000</v>
      </c>
      <c r="E1487" t="s">
        <v>765</v>
      </c>
      <c r="F1487" t="s">
        <v>1064</v>
      </c>
      <c r="G1487" t="str">
        <f>_xlfn.TEXTJOIN(",",TRUE,_xlfn._xlws.FILTER(GPU_brand[GPU brand], (GPU_brand[GPU brand text]&lt;&gt;"") * ISNUMBER(SEARCH(GPU_brand[GPU brand text], B1487)), ""))</f>
        <v>ASUS</v>
      </c>
      <c r="H1487" t="str">
        <f>_xlfn.TEXTJOIN(",",TRUE,_xlfn._xlws.FILTER(Chipset_Table[Chipset], (Chipset_Table[Chipset text]&lt;&gt;"") * ISNUMBER(SEARCH(Chipset_Table[Chipset text], B1487)), ""))</f>
        <v>GeForce RTX 4070</v>
      </c>
      <c r="I1487" t="str">
        <f>_xlfn.TEXTJOIN(",",TRUE,_xlfn._xlws.FILTER(VRAM_table[Video memory], (VRAM_table[Video memory text]&lt;&gt;"") * ISNUMBER(SEARCH(VRAM_table[Video memory text], B1487)), ""))</f>
        <v>12GB,2GB</v>
      </c>
    </row>
    <row r="1488" spans="1:9" x14ac:dyDescent="0.35">
      <c r="A1488" t="s">
        <v>9</v>
      </c>
      <c r="B1488" t="s">
        <v>766</v>
      </c>
      <c r="C1488">
        <v>0</v>
      </c>
      <c r="D1488">
        <v>35990000</v>
      </c>
      <c r="E1488" t="s">
        <v>767</v>
      </c>
      <c r="F1488" t="s">
        <v>1064</v>
      </c>
      <c r="G1488" t="str">
        <f>_xlfn.TEXTJOIN(",",TRUE,_xlfn._xlws.FILTER(GPU_brand[GPU brand], (GPU_brand[GPU brand text]&lt;&gt;"") * ISNUMBER(SEARCH(GPU_brand[GPU brand text], B1488)), ""))</f>
        <v>ASUS</v>
      </c>
      <c r="H1488" t="str">
        <f>_xlfn.TEXTJOIN(",",TRUE,_xlfn._xlws.FILTER(Chipset_Table[Chipset], (Chipset_Table[Chipset text]&lt;&gt;"") * ISNUMBER(SEARCH(Chipset_Table[Chipset text], B1488)), ""))</f>
        <v>GeForce RTX 4080</v>
      </c>
      <c r="I1488" t="str">
        <f>_xlfn.TEXTJOIN(",",TRUE,_xlfn._xlws.FILTER(VRAM_table[Video memory], (VRAM_table[Video memory text]&lt;&gt;"") * ISNUMBER(SEARCH(VRAM_table[Video memory text], B1488)), ""))</f>
        <v>16GB,16GB,6GB,6GB</v>
      </c>
    </row>
    <row r="1489" spans="1:9" x14ac:dyDescent="0.35">
      <c r="A1489" t="s">
        <v>9</v>
      </c>
      <c r="B1489" t="s">
        <v>768</v>
      </c>
      <c r="C1489">
        <v>0</v>
      </c>
      <c r="D1489">
        <v>35490000</v>
      </c>
      <c r="E1489" t="s">
        <v>769</v>
      </c>
      <c r="F1489" t="s">
        <v>1064</v>
      </c>
      <c r="G1489" t="str">
        <f>_xlfn.TEXTJOIN(",",TRUE,_xlfn._xlws.FILTER(GPU_brand[GPU brand], (GPU_brand[GPU brand text]&lt;&gt;"") * ISNUMBER(SEARCH(GPU_brand[GPU brand text], B1489)), ""))</f>
        <v>ASUS</v>
      </c>
      <c r="H1489" t="str">
        <f>_xlfn.TEXTJOIN(",",TRUE,_xlfn._xlws.FILTER(Chipset_Table[Chipset], (Chipset_Table[Chipset text]&lt;&gt;"") * ISNUMBER(SEARCH(Chipset_Table[Chipset text], B1489)), ""))</f>
        <v>GeForce RTX 4080</v>
      </c>
      <c r="I1489" t="str">
        <f>_xlfn.TEXTJOIN(",",TRUE,_xlfn._xlws.FILTER(VRAM_table[Video memory], (VRAM_table[Video memory text]&lt;&gt;"") * ISNUMBER(SEARCH(VRAM_table[Video memory text], B1489)), ""))</f>
        <v>16GB,16GB,6GB,6GB</v>
      </c>
    </row>
    <row r="1490" spans="1:9" x14ac:dyDescent="0.35">
      <c r="A1490" t="s">
        <v>9</v>
      </c>
      <c r="B1490" t="s">
        <v>770</v>
      </c>
      <c r="C1490">
        <v>0</v>
      </c>
      <c r="D1490">
        <v>23990000</v>
      </c>
      <c r="E1490" t="s">
        <v>771</v>
      </c>
      <c r="F1490" t="s">
        <v>1064</v>
      </c>
      <c r="G1490" t="str">
        <f>_xlfn.TEXTJOIN(",",TRUE,_xlfn._xlws.FILTER(GPU_brand[GPU brand], (GPU_brand[GPU brand text]&lt;&gt;"") * ISNUMBER(SEARCH(GPU_brand[GPU brand text], B1490)), ""))</f>
        <v>ASUS</v>
      </c>
      <c r="H1490" t="str">
        <f>_xlfn.TEXTJOIN(",",TRUE,_xlfn._xlws.FILTER(Chipset_Table[Chipset], (Chipset_Table[Chipset text]&lt;&gt;"") * ISNUMBER(SEARCH(Chipset_Table[Chipset text], B1490)), ""))</f>
        <v>GeForce RTX 4070</v>
      </c>
      <c r="I1490" t="str">
        <f>_xlfn.TEXTJOIN(",",TRUE,_xlfn._xlws.FILTER(VRAM_table[Video memory], (VRAM_table[Video memory text]&lt;&gt;"") * ISNUMBER(SEARCH(VRAM_table[Video memory text], B1490)), ""))</f>
        <v>12GB,2GB</v>
      </c>
    </row>
    <row r="1491" spans="1:9" x14ac:dyDescent="0.35">
      <c r="A1491" t="s">
        <v>9</v>
      </c>
      <c r="B1491" t="s">
        <v>772</v>
      </c>
      <c r="C1491">
        <v>0</v>
      </c>
      <c r="D1491">
        <v>23490000</v>
      </c>
      <c r="E1491" t="s">
        <v>773</v>
      </c>
      <c r="F1491" t="s">
        <v>1064</v>
      </c>
      <c r="G1491" t="str">
        <f>_xlfn.TEXTJOIN(",",TRUE,_xlfn._xlws.FILTER(GPU_brand[GPU brand], (GPU_brand[GPU brand text]&lt;&gt;"") * ISNUMBER(SEARCH(GPU_brand[GPU brand text], B1491)), ""))</f>
        <v>ASUS</v>
      </c>
      <c r="H1491" t="str">
        <f>_xlfn.TEXTJOIN(",",TRUE,_xlfn._xlws.FILTER(Chipset_Table[Chipset], (Chipset_Table[Chipset text]&lt;&gt;"") * ISNUMBER(SEARCH(Chipset_Table[Chipset text], B1491)), ""))</f>
        <v>GeForce RTX 4070</v>
      </c>
      <c r="I1491" t="str">
        <f>_xlfn.TEXTJOIN(",",TRUE,_xlfn._xlws.FILTER(VRAM_table[Video memory], (VRAM_table[Video memory text]&lt;&gt;"") * ISNUMBER(SEARCH(VRAM_table[Video memory text], B1491)), ""))</f>
        <v>12GB,2GB</v>
      </c>
    </row>
    <row r="1492" spans="1:9" x14ac:dyDescent="0.35">
      <c r="A1492" t="s">
        <v>9</v>
      </c>
      <c r="B1492" t="s">
        <v>774</v>
      </c>
      <c r="C1492">
        <v>0</v>
      </c>
      <c r="D1492">
        <v>17690000</v>
      </c>
      <c r="E1492" t="s">
        <v>775</v>
      </c>
      <c r="F1492" t="s">
        <v>1064</v>
      </c>
      <c r="G1492" t="str">
        <f>_xlfn.TEXTJOIN(",",TRUE,_xlfn._xlws.FILTER(GPU_brand[GPU brand], (GPU_brand[GPU brand text]&lt;&gt;"") * ISNUMBER(SEARCH(GPU_brand[GPU brand text], B1492)), ""))</f>
        <v>ASUS</v>
      </c>
      <c r="H1492" t="str">
        <f>_xlfn.TEXTJOIN(",",TRUE,_xlfn._xlws.FILTER(Chipset_Table[Chipset], (Chipset_Table[Chipset text]&lt;&gt;"") * ISNUMBER(SEARCH(Chipset_Table[Chipset text], B1492)), ""))</f>
        <v>GeForce RTX 4070</v>
      </c>
      <c r="I1492" t="str">
        <f>_xlfn.TEXTJOIN(",",TRUE,_xlfn._xlws.FILTER(VRAM_table[Video memory], (VRAM_table[Video memory text]&lt;&gt;"") * ISNUMBER(SEARCH(VRAM_table[Video memory text], B1492)), ""))</f>
        <v>12GB,2GB</v>
      </c>
    </row>
    <row r="1493" spans="1:9" x14ac:dyDescent="0.35">
      <c r="A1493" t="s">
        <v>9</v>
      </c>
      <c r="B1493" t="s">
        <v>776</v>
      </c>
      <c r="C1493">
        <v>0</v>
      </c>
      <c r="D1493">
        <v>17490000</v>
      </c>
      <c r="E1493" t="s">
        <v>777</v>
      </c>
      <c r="F1493" t="s">
        <v>1064</v>
      </c>
      <c r="G1493" t="str">
        <f>_xlfn.TEXTJOIN(",",TRUE,_xlfn._xlws.FILTER(GPU_brand[GPU brand], (GPU_brand[GPU brand text]&lt;&gt;"") * ISNUMBER(SEARCH(GPU_brand[GPU brand text], B1493)), ""))</f>
        <v>ASUS</v>
      </c>
      <c r="H1493" t="str">
        <f>_xlfn.TEXTJOIN(",",TRUE,_xlfn._xlws.FILTER(Chipset_Table[Chipset], (Chipset_Table[Chipset text]&lt;&gt;"") * ISNUMBER(SEARCH(Chipset_Table[Chipset text], B1493)), ""))</f>
        <v>GeForce RTX 4070</v>
      </c>
      <c r="I1493" t="str">
        <f>_xlfn.TEXTJOIN(",",TRUE,_xlfn._xlws.FILTER(VRAM_table[Video memory], (VRAM_table[Video memory text]&lt;&gt;"") * ISNUMBER(SEARCH(VRAM_table[Video memory text], B1493)), ""))</f>
        <v>12GB,2GB</v>
      </c>
    </row>
    <row r="1494" spans="1:9" x14ac:dyDescent="0.35">
      <c r="A1494" t="s">
        <v>9</v>
      </c>
      <c r="B1494" t="s">
        <v>778</v>
      </c>
      <c r="C1494">
        <v>18990000</v>
      </c>
      <c r="D1494">
        <v>17290000</v>
      </c>
      <c r="E1494" t="s">
        <v>779</v>
      </c>
      <c r="F1494" t="s">
        <v>1064</v>
      </c>
      <c r="G1494" t="str">
        <f>_xlfn.TEXTJOIN(",",TRUE,_xlfn._xlws.FILTER(GPU_brand[GPU brand], (GPU_brand[GPU brand text]&lt;&gt;"") * ISNUMBER(SEARCH(GPU_brand[GPU brand text], B1494)), ""))</f>
        <v>ASUS</v>
      </c>
      <c r="H1494" t="str">
        <f>_xlfn.TEXTJOIN(",",TRUE,_xlfn._xlws.FILTER(Chipset_Table[Chipset], (Chipset_Table[Chipset text]&lt;&gt;"") * ISNUMBER(SEARCH(Chipset_Table[Chipset text], B1494)), ""))</f>
        <v>GeForce RTX 4070</v>
      </c>
      <c r="I1494" t="str">
        <f>_xlfn.TEXTJOIN(",",TRUE,_xlfn._xlws.FILTER(VRAM_table[Video memory], (VRAM_table[Video memory text]&lt;&gt;"") * ISNUMBER(SEARCH(VRAM_table[Video memory text], B1494)), ""))</f>
        <v>12GB,2GB</v>
      </c>
    </row>
    <row r="1495" spans="1:9" x14ac:dyDescent="0.35">
      <c r="A1495" t="s">
        <v>9</v>
      </c>
      <c r="B1495" t="s">
        <v>780</v>
      </c>
      <c r="C1495">
        <v>0</v>
      </c>
      <c r="D1495">
        <v>16990000</v>
      </c>
      <c r="E1495" t="s">
        <v>781</v>
      </c>
      <c r="F1495" t="s">
        <v>1064</v>
      </c>
      <c r="G1495" t="str">
        <f>_xlfn.TEXTJOIN(",",TRUE,_xlfn._xlws.FILTER(GPU_brand[GPU brand], (GPU_brand[GPU brand text]&lt;&gt;"") * ISNUMBER(SEARCH(GPU_brand[GPU brand text], B1495)), ""))</f>
        <v>ASUS</v>
      </c>
      <c r="H1495" t="str">
        <f>_xlfn.TEXTJOIN(",",TRUE,_xlfn._xlws.FILTER(Chipset_Table[Chipset], (Chipset_Table[Chipset text]&lt;&gt;"") * ISNUMBER(SEARCH(Chipset_Table[Chipset text], B1495)), ""))</f>
        <v>GeForce RTX 4070</v>
      </c>
      <c r="I1495" t="str">
        <f>_xlfn.TEXTJOIN(",",TRUE,_xlfn._xlws.FILTER(VRAM_table[Video memory], (VRAM_table[Video memory text]&lt;&gt;"") * ISNUMBER(SEARCH(VRAM_table[Video memory text], B1495)), ""))</f>
        <v>12GB,2GB</v>
      </c>
    </row>
    <row r="1496" spans="1:9" x14ac:dyDescent="0.35">
      <c r="A1496" t="s">
        <v>782</v>
      </c>
      <c r="B1496" t="s">
        <v>783</v>
      </c>
      <c r="C1496">
        <v>5050000</v>
      </c>
      <c r="D1496">
        <v>5050000</v>
      </c>
      <c r="E1496" t="s">
        <v>784</v>
      </c>
      <c r="F1496" t="s">
        <v>1064</v>
      </c>
      <c r="G1496" t="str">
        <f>_xlfn.TEXTJOIN(",",TRUE,_xlfn._xlws.FILTER(GPU_brand[GPU brand], (GPU_brand[GPU brand text]&lt;&gt;"") * ISNUMBER(SEARCH(GPU_brand[GPU brand text], B1496)), ""))</f>
        <v>INNO3D</v>
      </c>
      <c r="H1496" t="str">
        <f>_xlfn.TEXTJOIN(",",TRUE,_xlfn._xlws.FILTER(Chipset_Table[Chipset], (Chipset_Table[Chipset text]&lt;&gt;"") * ISNUMBER(SEARCH(Chipset_Table[Chipset text], B1496)), ""))</f>
        <v>GeForce RTX 3050</v>
      </c>
      <c r="I1496" t="str">
        <f>_xlfn.TEXTJOIN(",",TRUE,_xlfn._xlws.FILTER(VRAM_table[Video memory], (VRAM_table[Video memory text]&lt;&gt;"") * ISNUMBER(SEARCH(VRAM_table[Video memory text], B1496)), ""))</f>
        <v>6GB,6GB</v>
      </c>
    </row>
    <row r="1497" spans="1:9" x14ac:dyDescent="0.35">
      <c r="A1497" t="s">
        <v>782</v>
      </c>
      <c r="B1497" t="s">
        <v>789</v>
      </c>
      <c r="C1497">
        <v>1700000</v>
      </c>
      <c r="D1497">
        <v>1700000</v>
      </c>
      <c r="E1497" t="s">
        <v>790</v>
      </c>
      <c r="F1497" t="s">
        <v>1064</v>
      </c>
      <c r="G1497" t="str">
        <f>_xlfn.TEXTJOIN(",",TRUE,_xlfn._xlws.FILTER(GPU_brand[GPU brand], (GPU_brand[GPU brand text]&lt;&gt;"") * ISNUMBER(SEARCH(GPU_brand[GPU brand text], B1497)), ""))</f>
        <v>ASUS</v>
      </c>
      <c r="H1497" t="str">
        <f>_xlfn.TEXTJOIN(",",TRUE,_xlfn._xlws.FILTER(Chipset_Table[Chipset], (Chipset_Table[Chipset text]&lt;&gt;"") * ISNUMBER(SEARCH(Chipset_Table[Chipset text], B1497)), ""))</f>
        <v>GeForce GT 730</v>
      </c>
      <c r="I1497" t="str">
        <f>_xlfn.TEXTJOIN(",",TRUE,_xlfn._xlws.FILTER(VRAM_table[Video memory], (VRAM_table[Video memory text]&lt;&gt;"") * ISNUMBER(SEARCH(VRAM_table[Video memory text], B1497)), ""))</f>
        <v>2GB</v>
      </c>
    </row>
    <row r="1498" spans="1:9" x14ac:dyDescent="0.35">
      <c r="A1498" t="s">
        <v>782</v>
      </c>
      <c r="B1498" t="s">
        <v>787</v>
      </c>
      <c r="C1498">
        <v>6490000</v>
      </c>
      <c r="D1498">
        <v>6490000</v>
      </c>
      <c r="E1498" t="s">
        <v>788</v>
      </c>
      <c r="F1498" t="s">
        <v>1064</v>
      </c>
      <c r="G1498" t="str">
        <f>_xlfn.TEXTJOIN(",",TRUE,_xlfn._xlws.FILTER(GPU_brand[GPU brand], (GPU_brand[GPU brand text]&lt;&gt;"") * ISNUMBER(SEARCH(GPU_brand[GPU brand text], B1498)), ""))</f>
        <v>Gigabyte</v>
      </c>
      <c r="H1498" t="str">
        <f>_xlfn.TEXTJOIN(",",TRUE,_xlfn._xlws.FILTER(Chipset_Table[Chipset], (Chipset_Table[Chipset text]&lt;&gt;"") * ISNUMBER(SEARCH(Chipset_Table[Chipset text], B1498)), ""))</f>
        <v>GeForce RTX 3050</v>
      </c>
      <c r="I1498" t="str">
        <f>_xlfn.TEXTJOIN(",",TRUE,_xlfn._xlws.FILTER(VRAM_table[Video memory], (VRAM_table[Video memory text]&lt;&gt;"") * ISNUMBER(SEARCH(VRAM_table[Video memory text], B1498)), ""))</f>
        <v>8GB,8GB</v>
      </c>
    </row>
    <row r="1499" spans="1:9" x14ac:dyDescent="0.35">
      <c r="A1499" t="s">
        <v>782</v>
      </c>
      <c r="B1499" t="s">
        <v>791</v>
      </c>
      <c r="C1499">
        <v>5290000</v>
      </c>
      <c r="D1499">
        <v>5290000</v>
      </c>
      <c r="E1499" t="s">
        <v>792</v>
      </c>
      <c r="F1499" t="s">
        <v>1064</v>
      </c>
      <c r="G1499" t="str">
        <f>_xlfn.TEXTJOIN(",",TRUE,_xlfn._xlws.FILTER(GPU_brand[GPU brand], (GPU_brand[GPU brand text]&lt;&gt;"") * ISNUMBER(SEARCH(GPU_brand[GPU brand text], B1499)), ""))</f>
        <v>ASUS</v>
      </c>
      <c r="H1499" t="str">
        <f>_xlfn.TEXTJOIN(",",TRUE,_xlfn._xlws.FILTER(Chipset_Table[Chipset], (Chipset_Table[Chipset text]&lt;&gt;"") * ISNUMBER(SEARCH(Chipset_Table[Chipset text], B1499)), ""))</f>
        <v>GeForce RTX 3050</v>
      </c>
      <c r="I1499" t="str">
        <f>_xlfn.TEXTJOIN(",",TRUE,_xlfn._xlws.FILTER(VRAM_table[Video memory], (VRAM_table[Video memory text]&lt;&gt;"") * ISNUMBER(SEARCH(VRAM_table[Video memory text], B1499)), ""))</f>
        <v>6GB,6GB</v>
      </c>
    </row>
    <row r="1500" spans="1:9" x14ac:dyDescent="0.35">
      <c r="A1500" t="s">
        <v>782</v>
      </c>
      <c r="B1500" t="s">
        <v>785</v>
      </c>
      <c r="C1500">
        <v>5250000</v>
      </c>
      <c r="D1500">
        <v>5250000</v>
      </c>
      <c r="E1500" t="s">
        <v>786</v>
      </c>
      <c r="F1500" t="s">
        <v>1064</v>
      </c>
      <c r="G1500" t="str">
        <f>_xlfn.TEXTJOIN(",",TRUE,_xlfn._xlws.FILTER(GPU_brand[GPU brand], (GPU_brand[GPU brand text]&lt;&gt;"") * ISNUMBER(SEARCH(GPU_brand[GPU brand text], B1500)), ""))</f>
        <v>Colorful</v>
      </c>
      <c r="H1500" t="str">
        <f>_xlfn.TEXTJOIN(",",TRUE,_xlfn._xlws.FILTER(Chipset_Table[Chipset], (Chipset_Table[Chipset text]&lt;&gt;"") * ISNUMBER(SEARCH(Chipset_Table[Chipset text], B1500)), ""))</f>
        <v>GeForce RTX 3050</v>
      </c>
      <c r="I1500" t="str">
        <f>_xlfn.TEXTJOIN(",",TRUE,_xlfn._xlws.FILTER(VRAM_table[Video memory], (VRAM_table[Video memory text]&lt;&gt;"") * ISNUMBER(SEARCH(VRAM_table[Video memory text], B1500)), ""))</f>
        <v>6GB,6GB</v>
      </c>
    </row>
    <row r="1501" spans="1:9" x14ac:dyDescent="0.35">
      <c r="A1501" t="s">
        <v>782</v>
      </c>
      <c r="B1501" t="s">
        <v>804</v>
      </c>
      <c r="C1501">
        <v>6990000</v>
      </c>
      <c r="D1501">
        <v>6990000</v>
      </c>
      <c r="E1501" t="s">
        <v>805</v>
      </c>
      <c r="F1501" t="s">
        <v>1064</v>
      </c>
      <c r="G1501" t="str">
        <f>_xlfn.TEXTJOIN(",",TRUE,_xlfn._xlws.FILTER(GPU_brand[GPU brand], (GPU_brand[GPU brand text]&lt;&gt;"") * ISNUMBER(SEARCH(GPU_brand[GPU brand text], B1501)), ""))</f>
        <v>ASUS</v>
      </c>
      <c r="H1501" t="str">
        <f>_xlfn.TEXTJOIN(",",TRUE,_xlfn._xlws.FILTER(Chipset_Table[Chipset], (Chipset_Table[Chipset text]&lt;&gt;"") * ISNUMBER(SEARCH(Chipset_Table[Chipset text], B1501)), ""))</f>
        <v>RX 7600</v>
      </c>
      <c r="I1501" t="str">
        <f>_xlfn.TEXTJOIN(",",TRUE,_xlfn._xlws.FILTER(VRAM_table[Video memory], (VRAM_table[Video memory text]&lt;&gt;"") * ISNUMBER(SEARCH(VRAM_table[Video memory text], B1501)), ""))</f>
        <v>8GB,8GB</v>
      </c>
    </row>
    <row r="1502" spans="1:9" x14ac:dyDescent="0.35">
      <c r="A1502" t="s">
        <v>782</v>
      </c>
      <c r="B1502" t="s">
        <v>808</v>
      </c>
      <c r="C1502">
        <v>5490000</v>
      </c>
      <c r="D1502">
        <v>5490000</v>
      </c>
      <c r="E1502" t="s">
        <v>809</v>
      </c>
      <c r="F1502" t="s">
        <v>1064</v>
      </c>
      <c r="G1502" t="str">
        <f>_xlfn.TEXTJOIN(",",TRUE,_xlfn._xlws.FILTER(GPU_brand[GPU brand], (GPU_brand[GPU brand text]&lt;&gt;"") * ISNUMBER(SEARCH(GPU_brand[GPU brand text], B1502)), ""))</f>
        <v>ZOTAC</v>
      </c>
      <c r="H1502" t="str">
        <f>_xlfn.TEXTJOIN(",",TRUE,_xlfn._xlws.FILTER(Chipset_Table[Chipset], (Chipset_Table[Chipset text]&lt;&gt;"") * ISNUMBER(SEARCH(Chipset_Table[Chipset text], B1502)), ""))</f>
        <v>GeForce RTX 3050</v>
      </c>
      <c r="I1502" t="str">
        <f>_xlfn.TEXTJOIN(",",TRUE,_xlfn._xlws.FILTER(VRAM_table[Video memory], (VRAM_table[Video memory text]&lt;&gt;"") * ISNUMBER(SEARCH(VRAM_table[Video memory text], B1502)), ""))</f>
        <v>6GB,6GB</v>
      </c>
    </row>
    <row r="1503" spans="1:9" x14ac:dyDescent="0.35">
      <c r="A1503" t="s">
        <v>782</v>
      </c>
      <c r="B1503" t="s">
        <v>806</v>
      </c>
      <c r="C1503">
        <v>5990000</v>
      </c>
      <c r="D1503">
        <v>5990000</v>
      </c>
      <c r="E1503" t="s">
        <v>807</v>
      </c>
      <c r="F1503" t="s">
        <v>1064</v>
      </c>
      <c r="G1503" t="str">
        <f>_xlfn.TEXTJOIN(",",TRUE,_xlfn._xlws.FILTER(GPU_brand[GPU brand], (GPU_brand[GPU brand text]&lt;&gt;"") * ISNUMBER(SEARCH(GPU_brand[GPU brand text], B1503)), ""))</f>
        <v>ASUS</v>
      </c>
      <c r="H1503" t="str">
        <f>_xlfn.TEXTJOIN(",",TRUE,_xlfn._xlws.FILTER(Chipset_Table[Chipset], (Chipset_Table[Chipset text]&lt;&gt;"") * ISNUMBER(SEARCH(Chipset_Table[Chipset text], B1503)), ""))</f>
        <v>GeForce RTX 3050</v>
      </c>
      <c r="I1503" t="str">
        <f>_xlfn.TEXTJOIN(",",TRUE,_xlfn._xlws.FILTER(VRAM_table[Video memory], (VRAM_table[Video memory text]&lt;&gt;"") * ISNUMBER(SEARCH(VRAM_table[Video memory text], B1503)), ""))</f>
        <v>8GB,8GB</v>
      </c>
    </row>
    <row r="1504" spans="1:9" x14ac:dyDescent="0.35">
      <c r="A1504" t="s">
        <v>782</v>
      </c>
      <c r="B1504" t="s">
        <v>812</v>
      </c>
      <c r="C1504">
        <v>2390000</v>
      </c>
      <c r="D1504">
        <v>2390000</v>
      </c>
      <c r="E1504" t="s">
        <v>813</v>
      </c>
      <c r="F1504" t="s">
        <v>1064</v>
      </c>
      <c r="G1504" t="str">
        <f>_xlfn.TEXTJOIN(",",TRUE,_xlfn._xlws.FILTER(GPU_brand[GPU brand], (GPU_brand[GPU brand text]&lt;&gt;"") * ISNUMBER(SEARCH(GPU_brand[GPU brand text], B1504)), ""))</f>
        <v>ASUS</v>
      </c>
      <c r="H1504" t="str">
        <f>_xlfn.TEXTJOIN(",",TRUE,_xlfn._xlws.FILTER(Chipset_Table[Chipset], (Chipset_Table[Chipset text]&lt;&gt;"") * ISNUMBER(SEARCH(Chipset_Table[Chipset text], B1504)), ""))</f>
        <v>GT 1030</v>
      </c>
      <c r="I1504" t="str">
        <f>_xlfn.TEXTJOIN(",",TRUE,_xlfn._xlws.FILTER(VRAM_table[Video memory], (VRAM_table[Video memory text]&lt;&gt;"") * ISNUMBER(SEARCH(VRAM_table[Video memory text], B1504)), ""))</f>
        <v>2GB</v>
      </c>
    </row>
    <row r="1505" spans="1:9" x14ac:dyDescent="0.35">
      <c r="A1505" t="s">
        <v>782</v>
      </c>
      <c r="B1505" t="s">
        <v>810</v>
      </c>
      <c r="C1505">
        <v>11690000</v>
      </c>
      <c r="D1505">
        <v>11690000</v>
      </c>
      <c r="E1505" t="s">
        <v>811</v>
      </c>
      <c r="F1505" t="s">
        <v>1064</v>
      </c>
      <c r="G1505" t="str">
        <f>_xlfn.TEXTJOIN(",",TRUE,_xlfn._xlws.FILTER(GPU_brand[GPU brand], (GPU_brand[GPU brand text]&lt;&gt;"") * ISNUMBER(SEARCH(GPU_brand[GPU brand text], B1505)), ""))</f>
        <v>ASUS</v>
      </c>
      <c r="H1505" t="str">
        <f>_xlfn.TEXTJOIN(",",TRUE,_xlfn._xlws.FILTER(Chipset_Table[Chipset], (Chipset_Table[Chipset text]&lt;&gt;"") * ISNUMBER(SEARCH(Chipset_Table[Chipset text], B1505)), ""))</f>
        <v>GeForce RTX 5060 Ti,GeForce RTX 5060</v>
      </c>
      <c r="I1505" t="str">
        <f>_xlfn.TEXTJOIN(",",TRUE,_xlfn._xlws.FILTER(VRAM_table[Video memory], (VRAM_table[Video memory text]&lt;&gt;"") * ISNUMBER(SEARCH(VRAM_table[Video memory text], B1505)), ""))</f>
        <v>8GB,8GB</v>
      </c>
    </row>
    <row r="1506" spans="1:9" x14ac:dyDescent="0.35">
      <c r="A1506" t="s">
        <v>782</v>
      </c>
      <c r="B1506" t="s">
        <v>816</v>
      </c>
      <c r="C1506">
        <v>19190000</v>
      </c>
      <c r="D1506">
        <v>19190000</v>
      </c>
      <c r="E1506" t="s">
        <v>817</v>
      </c>
      <c r="F1506" t="s">
        <v>1064</v>
      </c>
      <c r="G1506" t="str">
        <f>_xlfn.TEXTJOIN(",",TRUE,_xlfn._xlws.FILTER(GPU_brand[GPU brand], (GPU_brand[GPU brand text]&lt;&gt;"") * ISNUMBER(SEARCH(GPU_brand[GPU brand text], B1506)), ""))</f>
        <v>Colorful</v>
      </c>
      <c r="H1506" t="str">
        <f>_xlfn.TEXTJOIN(",",TRUE,_xlfn._xlws.FILTER(Chipset_Table[Chipset], (Chipset_Table[Chipset text]&lt;&gt;"") * ISNUMBER(SEARCH(Chipset_Table[Chipset text], B1506)), ""))</f>
        <v>GeForce RTX 5070,RTX 5070</v>
      </c>
      <c r="I1506" t="str">
        <f>_xlfn.TEXTJOIN(",",TRUE,_xlfn._xlws.FILTER(VRAM_table[Video memory], (VRAM_table[Video memory text]&lt;&gt;"") * ISNUMBER(SEARCH(VRAM_table[Video memory text], B1506)), ""))</f>
        <v>12GB,2GB</v>
      </c>
    </row>
    <row r="1507" spans="1:9" x14ac:dyDescent="0.35">
      <c r="A1507" t="s">
        <v>782</v>
      </c>
      <c r="B1507" t="s">
        <v>814</v>
      </c>
      <c r="C1507">
        <v>9490000</v>
      </c>
      <c r="D1507">
        <v>9490000</v>
      </c>
      <c r="E1507" t="s">
        <v>815</v>
      </c>
      <c r="F1507" t="s">
        <v>1064</v>
      </c>
      <c r="G1507" t="str">
        <f>_xlfn.TEXTJOIN(",",TRUE,_xlfn._xlws.FILTER(GPU_brand[GPU brand], (GPU_brand[GPU brand text]&lt;&gt;"") * ISNUMBER(SEARCH(GPU_brand[GPU brand text], B1507)), ""))</f>
        <v>MSI</v>
      </c>
      <c r="H1507" t="str">
        <f>_xlfn.TEXTJOIN(",",TRUE,_xlfn._xlws.FILTER(Chipset_Table[Chipset], (Chipset_Table[Chipset text]&lt;&gt;"") * ISNUMBER(SEARCH(Chipset_Table[Chipset text], B1507)), ""))</f>
        <v>GeForce RTX 5060</v>
      </c>
      <c r="I1507" t="str">
        <f>_xlfn.TEXTJOIN(",",TRUE,_xlfn._xlws.FILTER(VRAM_table[Video memory], (VRAM_table[Video memory text]&lt;&gt;"") * ISNUMBER(SEARCH(VRAM_table[Video memory text], B1507)), ""))</f>
        <v>8GB,8GB</v>
      </c>
    </row>
    <row r="1508" spans="1:9" x14ac:dyDescent="0.35">
      <c r="A1508" t="s">
        <v>782</v>
      </c>
      <c r="B1508" t="s">
        <v>798</v>
      </c>
      <c r="C1508">
        <v>5590000</v>
      </c>
      <c r="D1508">
        <v>5590000</v>
      </c>
      <c r="E1508" t="s">
        <v>799</v>
      </c>
      <c r="F1508" t="s">
        <v>1064</v>
      </c>
      <c r="G1508" t="str">
        <f>_xlfn.TEXTJOIN(",",TRUE,_xlfn._xlws.FILTER(GPU_brand[GPU brand], (GPU_brand[GPU brand text]&lt;&gt;"") * ISNUMBER(SEARCH(GPU_brand[GPU brand text], B1508)), ""))</f>
        <v>Gigabyte</v>
      </c>
      <c r="H1508" t="str">
        <f>_xlfn.TEXTJOIN(",",TRUE,_xlfn._xlws.FILTER(Chipset_Table[Chipset], (Chipset_Table[Chipset text]&lt;&gt;"") * ISNUMBER(SEARCH(Chipset_Table[Chipset text], B1508)), ""))</f>
        <v>GeForce RTX 3050</v>
      </c>
      <c r="I1508" t="str">
        <f>_xlfn.TEXTJOIN(",",TRUE,_xlfn._xlws.FILTER(VRAM_table[Video memory], (VRAM_table[Video memory text]&lt;&gt;"") * ISNUMBER(SEARCH(VRAM_table[Video memory text], B1508)), ""))</f>
        <v>6GB,6GB</v>
      </c>
    </row>
    <row r="1509" spans="1:9" x14ac:dyDescent="0.35">
      <c r="A1509" t="s">
        <v>782</v>
      </c>
      <c r="B1509" t="s">
        <v>822</v>
      </c>
      <c r="C1509">
        <v>12390000</v>
      </c>
      <c r="D1509">
        <v>12390000</v>
      </c>
      <c r="E1509" t="s">
        <v>823</v>
      </c>
      <c r="F1509" t="s">
        <v>1064</v>
      </c>
      <c r="G1509" t="str">
        <f>_xlfn.TEXTJOIN(",",TRUE,_xlfn._xlws.FILTER(GPU_brand[GPU brand], (GPU_brand[GPU brand text]&lt;&gt;"") * ISNUMBER(SEARCH(GPU_brand[GPU brand text], B1509)), ""))</f>
        <v>ASRock</v>
      </c>
      <c r="H1509" t="str">
        <f>_xlfn.TEXTJOIN(",",TRUE,_xlfn._xlws.FILTER(Chipset_Table[Chipset], (Chipset_Table[Chipset text]&lt;&gt;"") * ISNUMBER(SEARCH(Chipset_Table[Chipset text], B1509)), ""))</f>
        <v>RX 9060 XT</v>
      </c>
      <c r="I1509" t="str">
        <f>_xlfn.TEXTJOIN(",",TRUE,_xlfn._xlws.FILTER(VRAM_table[Video memory], (VRAM_table[Video memory text]&lt;&gt;"") * ISNUMBER(SEARCH(VRAM_table[Video memory text], B1509)), ""))</f>
        <v>16GB,16GB,6GB,6GB</v>
      </c>
    </row>
    <row r="1510" spans="1:9" x14ac:dyDescent="0.35">
      <c r="A1510" t="s">
        <v>782</v>
      </c>
      <c r="B1510" t="s">
        <v>818</v>
      </c>
      <c r="C1510">
        <v>9190000</v>
      </c>
      <c r="D1510">
        <v>9190000</v>
      </c>
      <c r="E1510" t="s">
        <v>819</v>
      </c>
      <c r="F1510" t="s">
        <v>1064</v>
      </c>
      <c r="G1510" t="str">
        <f>_xlfn.TEXTJOIN(",",TRUE,_xlfn._xlws.FILTER(GPU_brand[GPU brand], (GPU_brand[GPU brand text]&lt;&gt;"") * ISNUMBER(SEARCH(GPU_brand[GPU brand text], B1510)), ""))</f>
        <v>Palit</v>
      </c>
      <c r="H1510" t="str">
        <f>_xlfn.TEXTJOIN(",",TRUE,_xlfn._xlws.FILTER(Chipset_Table[Chipset], (Chipset_Table[Chipset text]&lt;&gt;"") * ISNUMBER(SEARCH(Chipset_Table[Chipset text], B1510)), ""))</f>
        <v>GeForce RTX 5060</v>
      </c>
      <c r="I1510" t="str">
        <f>_xlfn.TEXTJOIN(",",TRUE,_xlfn._xlws.FILTER(VRAM_table[Video memory], (VRAM_table[Video memory text]&lt;&gt;"") * ISNUMBER(SEARCH(VRAM_table[Video memory text], B1510)), ""))</f>
        <v>8GB,8GB</v>
      </c>
    </row>
    <row r="1511" spans="1:9" x14ac:dyDescent="0.35">
      <c r="A1511" t="s">
        <v>782</v>
      </c>
      <c r="B1511" t="s">
        <v>820</v>
      </c>
      <c r="C1511">
        <v>5350000</v>
      </c>
      <c r="D1511">
        <v>5350000</v>
      </c>
      <c r="E1511" t="s">
        <v>821</v>
      </c>
      <c r="F1511" t="s">
        <v>1064</v>
      </c>
      <c r="G1511" t="str">
        <f>_xlfn.TEXTJOIN(",",TRUE,_xlfn._xlws.FILTER(GPU_brand[GPU brand], (GPU_brand[GPU brand text]&lt;&gt;"") * ISNUMBER(SEARCH(GPU_brand[GPU brand text], B1511)), ""))</f>
        <v>ASUS</v>
      </c>
      <c r="H1511" t="str">
        <f>_xlfn.TEXTJOIN(",",TRUE,_xlfn._xlws.FILTER(Chipset_Table[Chipset], (Chipset_Table[Chipset text]&lt;&gt;"") * ISNUMBER(SEARCH(Chipset_Table[Chipset text], B1511)), ""))</f>
        <v>GeForce RTX 3050</v>
      </c>
      <c r="I1511" t="str">
        <f>_xlfn.TEXTJOIN(",",TRUE,_xlfn._xlws.FILTER(VRAM_table[Video memory], (VRAM_table[Video memory text]&lt;&gt;"") * ISNUMBER(SEARCH(VRAM_table[Video memory text], B1511)), ""))</f>
        <v>6GB,6GB</v>
      </c>
    </row>
    <row r="1512" spans="1:9" x14ac:dyDescent="0.35">
      <c r="A1512" t="s">
        <v>782</v>
      </c>
      <c r="B1512" t="s">
        <v>802</v>
      </c>
      <c r="C1512">
        <v>9590000</v>
      </c>
      <c r="D1512">
        <v>9590000</v>
      </c>
      <c r="E1512" t="s">
        <v>803</v>
      </c>
      <c r="F1512" t="s">
        <v>1064</v>
      </c>
      <c r="G1512" t="str">
        <f>_xlfn.TEXTJOIN(",",TRUE,_xlfn._xlws.FILTER(GPU_brand[GPU brand], (GPU_brand[GPU brand text]&lt;&gt;"") * ISNUMBER(SEARCH(GPU_brand[GPU brand text], B1512)), ""))</f>
        <v>ASUS</v>
      </c>
      <c r="H1512" t="str">
        <f>_xlfn.TEXTJOIN(",",TRUE,_xlfn._xlws.FILTER(Chipset_Table[Chipset], (Chipset_Table[Chipset text]&lt;&gt;"") * ISNUMBER(SEARCH(Chipset_Table[Chipset text], B1512)), ""))</f>
        <v>GeForce RTX 5060</v>
      </c>
      <c r="I1512" t="str">
        <f>_xlfn.TEXTJOIN(",",TRUE,_xlfn._xlws.FILTER(VRAM_table[Video memory], (VRAM_table[Video memory text]&lt;&gt;"") * ISNUMBER(SEARCH(VRAM_table[Video memory text], B1512)), ""))</f>
        <v>8GB,8GB</v>
      </c>
    </row>
    <row r="1513" spans="1:9" x14ac:dyDescent="0.35">
      <c r="A1513" t="s">
        <v>782</v>
      </c>
      <c r="B1513" t="s">
        <v>800</v>
      </c>
      <c r="C1513">
        <v>9390000</v>
      </c>
      <c r="D1513">
        <v>9390000</v>
      </c>
      <c r="E1513" t="s">
        <v>801</v>
      </c>
      <c r="F1513" t="s">
        <v>1064</v>
      </c>
      <c r="G1513" t="str">
        <f>_xlfn.TEXTJOIN(",",TRUE,_xlfn._xlws.FILTER(GPU_brand[GPU brand], (GPU_brand[GPU brand text]&lt;&gt;"") * ISNUMBER(SEARCH(GPU_brand[GPU brand text], B1513)), ""))</f>
        <v>MSI</v>
      </c>
      <c r="H1513" t="str">
        <f>_xlfn.TEXTJOIN(",",TRUE,_xlfn._xlws.FILTER(Chipset_Table[Chipset], (Chipset_Table[Chipset text]&lt;&gt;"") * ISNUMBER(SEARCH(Chipset_Table[Chipset text], B1513)), ""))</f>
        <v>GeForce RTX 5060</v>
      </c>
      <c r="I1513" t="str">
        <f>_xlfn.TEXTJOIN(",",TRUE,_xlfn._xlws.FILTER(VRAM_table[Video memory], (VRAM_table[Video memory text]&lt;&gt;"") * ISNUMBER(SEARCH(VRAM_table[Video memory text], B1513)), ""))</f>
        <v>8GB,8GB</v>
      </c>
    </row>
    <row r="1514" spans="1:9" x14ac:dyDescent="0.35">
      <c r="A1514" t="s">
        <v>782</v>
      </c>
      <c r="B1514" t="s">
        <v>826</v>
      </c>
      <c r="C1514">
        <v>7290000</v>
      </c>
      <c r="D1514">
        <v>7290000</v>
      </c>
      <c r="E1514" t="s">
        <v>827</v>
      </c>
      <c r="F1514" t="s">
        <v>1064</v>
      </c>
      <c r="G1514" t="str">
        <f>_xlfn.TEXTJOIN(",",TRUE,_xlfn._xlws.FILTER(GPU_brand[GPU brand], (GPU_brand[GPU brand text]&lt;&gt;"") * ISNUMBER(SEARCH(GPU_brand[GPU brand text], B1514)), ""))</f>
        <v>Gigabyte</v>
      </c>
      <c r="H1514" t="str">
        <f>_xlfn.TEXTJOIN(",",TRUE,_xlfn._xlws.FILTER(Chipset_Table[Chipset], (Chipset_Table[Chipset text]&lt;&gt;"") * ISNUMBER(SEARCH(Chipset_Table[Chipset text], B1514)), ""))</f>
        <v>RX 7600</v>
      </c>
      <c r="I1514" t="str">
        <f>_xlfn.TEXTJOIN(",",TRUE,_xlfn._xlws.FILTER(VRAM_table[Video memory], (VRAM_table[Video memory text]&lt;&gt;"") * ISNUMBER(SEARCH(VRAM_table[Video memory text], B1514)), ""))</f>
        <v>8GB,8GB</v>
      </c>
    </row>
    <row r="1515" spans="1:9" x14ac:dyDescent="0.35">
      <c r="A1515" t="s">
        <v>782</v>
      </c>
      <c r="B1515" t="s">
        <v>830</v>
      </c>
      <c r="C1515">
        <v>10490000</v>
      </c>
      <c r="D1515">
        <v>10490000</v>
      </c>
      <c r="E1515" t="s">
        <v>831</v>
      </c>
      <c r="F1515" t="s">
        <v>1064</v>
      </c>
      <c r="G1515" t="str">
        <f>_xlfn.TEXTJOIN(",",TRUE,_xlfn._xlws.FILTER(GPU_brand[GPU brand], (GPU_brand[GPU brand text]&lt;&gt;"") * ISNUMBER(SEARCH(GPU_brand[GPU brand text], B1515)), ""))</f>
        <v>Colorful</v>
      </c>
      <c r="H1515" t="str">
        <f>_xlfn.TEXTJOIN(",",TRUE,_xlfn._xlws.FILTER(Chipset_Table[Chipset], (Chipset_Table[Chipset text]&lt;&gt;"") * ISNUMBER(SEARCH(Chipset_Table[Chipset text], B1515)), ""))</f>
        <v>GeForce RTX 5060</v>
      </c>
      <c r="I1515" t="str">
        <f>_xlfn.TEXTJOIN(",",TRUE,_xlfn._xlws.FILTER(VRAM_table[Video memory], (VRAM_table[Video memory text]&lt;&gt;"") * ISNUMBER(SEARCH(VRAM_table[Video memory text], B1515)), ""))</f>
        <v>8GB,8GB</v>
      </c>
    </row>
    <row r="1516" spans="1:9" x14ac:dyDescent="0.35">
      <c r="A1516" t="s">
        <v>782</v>
      </c>
      <c r="B1516" t="s">
        <v>1054</v>
      </c>
      <c r="C1516">
        <v>26990000</v>
      </c>
      <c r="D1516">
        <v>26990000</v>
      </c>
      <c r="E1516" t="s">
        <v>1055</v>
      </c>
      <c r="F1516" t="s">
        <v>1064</v>
      </c>
      <c r="G1516" t="str">
        <f>_xlfn.TEXTJOIN(",",TRUE,_xlfn._xlws.FILTER(GPU_brand[GPU brand], (GPU_brand[GPU brand text]&lt;&gt;"") * ISNUMBER(SEARCH(GPU_brand[GPU brand text], B1516)), ""))</f>
        <v>INNO3D</v>
      </c>
      <c r="H1516" t="str">
        <f>_xlfn.TEXTJOIN(",",TRUE,_xlfn._xlws.FILTER(Chipset_Table[Chipset], (Chipset_Table[Chipset text]&lt;&gt;"") * ISNUMBER(SEARCH(Chipset_Table[Chipset text], B1516)), ""))</f>
        <v>GeForce RTX 5070,GeForce RTX 5070 Ti,RTX 5070</v>
      </c>
      <c r="I1516" t="str">
        <f>_xlfn.TEXTJOIN(",",TRUE,_xlfn._xlws.FILTER(VRAM_table[Video memory], (VRAM_table[Video memory text]&lt;&gt;"") * ISNUMBER(SEARCH(VRAM_table[Video memory text], B1516)), ""))</f>
        <v>16GB,16GB,6GB,6GB</v>
      </c>
    </row>
    <row r="1517" spans="1:9" x14ac:dyDescent="0.35">
      <c r="A1517" t="s">
        <v>782</v>
      </c>
      <c r="B1517" t="s">
        <v>824</v>
      </c>
      <c r="C1517">
        <v>8690000</v>
      </c>
      <c r="D1517">
        <v>8690000</v>
      </c>
      <c r="E1517" t="s">
        <v>825</v>
      </c>
      <c r="F1517" t="s">
        <v>1064</v>
      </c>
      <c r="G1517" t="str">
        <f>_xlfn.TEXTJOIN(",",TRUE,_xlfn._xlws.FILTER(GPU_brand[GPU brand], (GPU_brand[GPU brand text]&lt;&gt;"") * ISNUMBER(SEARCH(GPU_brand[GPU brand text], B1517)), ""))</f>
        <v>ASUS</v>
      </c>
      <c r="H1517" t="str">
        <f>_xlfn.TEXTJOIN(",",TRUE,_xlfn._xlws.FILTER(Chipset_Table[Chipset], (Chipset_Table[Chipset text]&lt;&gt;"") * ISNUMBER(SEARCH(Chipset_Table[Chipset text], B1517)), ""))</f>
        <v>RTX 5050</v>
      </c>
      <c r="I1517" t="str">
        <f>_xlfn.TEXTJOIN(",",TRUE,_xlfn._xlws.FILTER(VRAM_table[Video memory], (VRAM_table[Video memory text]&lt;&gt;"") * ISNUMBER(SEARCH(VRAM_table[Video memory text], B1517)), ""))</f>
        <v>8GB,8GB</v>
      </c>
    </row>
    <row r="1518" spans="1:9" x14ac:dyDescent="0.35">
      <c r="A1518" t="s">
        <v>782</v>
      </c>
      <c r="B1518" t="s">
        <v>832</v>
      </c>
      <c r="C1518">
        <v>4050000</v>
      </c>
      <c r="D1518">
        <v>4050000</v>
      </c>
      <c r="E1518" t="s">
        <v>833</v>
      </c>
      <c r="F1518" t="s">
        <v>1064</v>
      </c>
      <c r="G1518" t="str">
        <f>_xlfn.TEXTJOIN(",",TRUE,_xlfn._xlws.FILTER(GPU_brand[GPU brand], (GPU_brand[GPU brand text]&lt;&gt;"") * ISNUMBER(SEARCH(GPU_brand[GPU brand text], B1518)), ""))</f>
        <v>Unika</v>
      </c>
      <c r="H1518" t="str">
        <f>_xlfn.TEXTJOIN(",",TRUE,_xlfn._xlws.FILTER(Chipset_Table[Chipset], (Chipset_Table[Chipset text]&lt;&gt;"") * ISNUMBER(SEARCH(Chipset_Table[Chipset text], B1518)), ""))</f>
        <v>GeForce GTX 1650,GTX 1650</v>
      </c>
      <c r="I1518" t="str">
        <f>_xlfn.TEXTJOIN(",",TRUE,_xlfn._xlws.FILTER(VRAM_table[Video memory], (VRAM_table[Video memory text]&lt;&gt;"") * ISNUMBER(SEARCH(VRAM_table[Video memory text], B1518)), ""))</f>
        <v>4GB,4GB</v>
      </c>
    </row>
    <row r="1519" spans="1:9" x14ac:dyDescent="0.35">
      <c r="A1519" t="s">
        <v>782</v>
      </c>
      <c r="B1519" t="s">
        <v>1056</v>
      </c>
      <c r="C1519">
        <v>1930000</v>
      </c>
      <c r="D1519">
        <v>1930000</v>
      </c>
      <c r="E1519" t="s">
        <v>1057</v>
      </c>
      <c r="F1519" t="s">
        <v>1064</v>
      </c>
      <c r="G1519" t="str">
        <f>_xlfn.TEXTJOIN(",",TRUE,_xlfn._xlws.FILTER(GPU_brand[GPU brand], (GPU_brand[GPU brand text]&lt;&gt;"") * ISNUMBER(SEARCH(GPU_brand[GPU brand text], B1519)), ""))</f>
        <v>Unika</v>
      </c>
      <c r="H1519" t="str">
        <f>_xlfn.TEXTJOIN(",",TRUE,_xlfn._xlws.FILTER(Chipset_Table[Chipset], (Chipset_Table[Chipset text]&lt;&gt;"") * ISNUMBER(SEARCH(Chipset_Table[Chipset text], B1519)), ""))</f>
        <v>GeForce GT 1030,GT 1030</v>
      </c>
      <c r="I1519" t="str">
        <f>_xlfn.TEXTJOIN(",",TRUE,_xlfn._xlws.FILTER(VRAM_table[Video memory], (VRAM_table[Video memory text]&lt;&gt;"") * ISNUMBER(SEARCH(VRAM_table[Video memory text], B1519)), ""))</f>
        <v>4GB,4GB</v>
      </c>
    </row>
    <row r="1520" spans="1:9" x14ac:dyDescent="0.35">
      <c r="A1520" t="s">
        <v>782</v>
      </c>
      <c r="B1520" t="s">
        <v>838</v>
      </c>
      <c r="C1520">
        <v>19490000</v>
      </c>
      <c r="D1520">
        <v>19490000</v>
      </c>
      <c r="E1520" t="s">
        <v>839</v>
      </c>
      <c r="F1520" t="s">
        <v>1064</v>
      </c>
      <c r="G1520" t="str">
        <f>_xlfn.TEXTJOIN(",",TRUE,_xlfn._xlws.FILTER(GPU_brand[GPU brand], (GPU_brand[GPU brand text]&lt;&gt;"") * ISNUMBER(SEARCH(GPU_brand[GPU brand text], B1520)), ""))</f>
        <v>Gigabyte</v>
      </c>
      <c r="H1520" t="str">
        <f>_xlfn.TEXTJOIN(",",TRUE,_xlfn._xlws.FILTER(Chipset_Table[Chipset], (Chipset_Table[Chipset text]&lt;&gt;"") * ISNUMBER(SEARCH(Chipset_Table[Chipset text], B1520)), ""))</f>
        <v>RTX 5070</v>
      </c>
      <c r="I1520" t="str">
        <f>_xlfn.TEXTJOIN(",",TRUE,_xlfn._xlws.FILTER(VRAM_table[Video memory], (VRAM_table[Video memory text]&lt;&gt;"") * ISNUMBER(SEARCH(VRAM_table[Video memory text], B1520)), ""))</f>
        <v>12GB,2GB</v>
      </c>
    </row>
    <row r="1521" spans="1:9" x14ac:dyDescent="0.35">
      <c r="A1521" t="s">
        <v>782</v>
      </c>
      <c r="B1521" t="s">
        <v>846</v>
      </c>
      <c r="C1521">
        <v>5490000</v>
      </c>
      <c r="D1521">
        <v>5490000</v>
      </c>
      <c r="E1521" t="s">
        <v>847</v>
      </c>
      <c r="F1521" t="s">
        <v>1064</v>
      </c>
      <c r="G1521" t="str">
        <f>_xlfn.TEXTJOIN(",",TRUE,_xlfn._xlws.FILTER(GPU_brand[GPU brand], (GPU_brand[GPU brand text]&lt;&gt;"") * ISNUMBER(SEARCH(GPU_brand[GPU brand text], B1521)), ""))</f>
        <v>MSI</v>
      </c>
      <c r="H1521" t="str">
        <f>_xlfn.TEXTJOIN(",",TRUE,_xlfn._xlws.FILTER(Chipset_Table[Chipset], (Chipset_Table[Chipset text]&lt;&gt;"") * ISNUMBER(SEARCH(Chipset_Table[Chipset text], B1521)), ""))</f>
        <v>GeForce RTX 3050</v>
      </c>
      <c r="I1521" t="str">
        <f>_xlfn.TEXTJOIN(",",TRUE,_xlfn._xlws.FILTER(VRAM_table[Video memory], (VRAM_table[Video memory text]&lt;&gt;"") * ISNUMBER(SEARCH(VRAM_table[Video memory text], B1521)), ""))</f>
        <v>6GB,6GB</v>
      </c>
    </row>
    <row r="1522" spans="1:9" x14ac:dyDescent="0.35">
      <c r="A1522" t="s">
        <v>782</v>
      </c>
      <c r="B1522" t="s">
        <v>848</v>
      </c>
      <c r="C1522">
        <v>9790000</v>
      </c>
      <c r="D1522">
        <v>9790000</v>
      </c>
      <c r="E1522" t="s">
        <v>849</v>
      </c>
      <c r="F1522" t="s">
        <v>1064</v>
      </c>
      <c r="G1522" t="str">
        <f>_xlfn.TEXTJOIN(",",TRUE,_xlfn._xlws.FILTER(GPU_brand[GPU brand], (GPU_brand[GPU brand text]&lt;&gt;"") * ISNUMBER(SEARCH(GPU_brand[GPU brand text], B1522)), ""))</f>
        <v>Gigabyte</v>
      </c>
      <c r="H1522" t="str">
        <f>_xlfn.TEXTJOIN(",",TRUE,_xlfn._xlws.FILTER(Chipset_Table[Chipset], (Chipset_Table[Chipset text]&lt;&gt;"") * ISNUMBER(SEARCH(Chipset_Table[Chipset text], B1522)), ""))</f>
        <v>GeForce RTX 5060</v>
      </c>
      <c r="I1522" t="str">
        <f>_xlfn.TEXTJOIN(",",TRUE,_xlfn._xlws.FILTER(VRAM_table[Video memory], (VRAM_table[Video memory text]&lt;&gt;"") * ISNUMBER(SEARCH(VRAM_table[Video memory text], B1522)), ""))</f>
        <v>8GB,8GB</v>
      </c>
    </row>
    <row r="1523" spans="1:9" x14ac:dyDescent="0.35">
      <c r="A1523" t="s">
        <v>782</v>
      </c>
      <c r="B1523" t="s">
        <v>842</v>
      </c>
      <c r="C1523">
        <v>26190000</v>
      </c>
      <c r="D1523">
        <v>26190000</v>
      </c>
      <c r="E1523" t="s">
        <v>843</v>
      </c>
      <c r="F1523" t="s">
        <v>1064</v>
      </c>
      <c r="G1523" t="str">
        <f>_xlfn.TEXTJOIN(",",TRUE,_xlfn._xlws.FILTER(GPU_brand[GPU brand], (GPU_brand[GPU brand text]&lt;&gt;"") * ISNUMBER(SEARCH(GPU_brand[GPU brand text], B1523)), ""))</f>
        <v>Colorful</v>
      </c>
      <c r="H1523" t="str">
        <f>_xlfn.TEXTJOIN(",",TRUE,_xlfn._xlws.FILTER(Chipset_Table[Chipset], (Chipset_Table[Chipset text]&lt;&gt;"") * ISNUMBER(SEARCH(Chipset_Table[Chipset text], B1523)), ""))</f>
        <v>GeForce RTX 5070,GeForce RTX 5070 Ti,RTX 5070</v>
      </c>
      <c r="I1523" t="str">
        <f>_xlfn.TEXTJOIN(",",TRUE,_xlfn._xlws.FILTER(VRAM_table[Video memory], (VRAM_table[Video memory text]&lt;&gt;"") * ISNUMBER(SEARCH(VRAM_table[Video memory text], B1523)), ""))</f>
        <v>16GB,16GB,6GB,6GB</v>
      </c>
    </row>
    <row r="1524" spans="1:9" x14ac:dyDescent="0.35">
      <c r="A1524" t="s">
        <v>782</v>
      </c>
      <c r="B1524" t="s">
        <v>840</v>
      </c>
      <c r="C1524">
        <v>5030000</v>
      </c>
      <c r="D1524">
        <v>5030000</v>
      </c>
      <c r="E1524" t="s">
        <v>841</v>
      </c>
      <c r="F1524" t="s">
        <v>1064</v>
      </c>
      <c r="G1524" t="str">
        <f>_xlfn.TEXTJOIN(",",TRUE,_xlfn._xlws.FILTER(GPU_brand[GPU brand], (GPU_brand[GPU brand text]&lt;&gt;"") * ISNUMBER(SEARCH(GPU_brand[GPU brand text], B1524)), ""))</f>
        <v>Unika</v>
      </c>
      <c r="H1524" t="str">
        <f>_xlfn.TEXTJOIN(",",TRUE,_xlfn._xlws.FILTER(Chipset_Table[Chipset], (Chipset_Table[Chipset text]&lt;&gt;"") * ISNUMBER(SEARCH(Chipset_Table[Chipset text], B1524)), ""))</f>
        <v>GeForce RTX 2060,RTX 2060</v>
      </c>
      <c r="I1524" t="str">
        <f>_xlfn.TEXTJOIN(",",TRUE,_xlfn._xlws.FILTER(VRAM_table[Video memory], (VRAM_table[Video memory text]&lt;&gt;"") * ISNUMBER(SEARCH(VRAM_table[Video memory text], B1524)), ""))</f>
        <v>6GB,6GB</v>
      </c>
    </row>
    <row r="1525" spans="1:9" x14ac:dyDescent="0.35">
      <c r="A1525" t="s">
        <v>782</v>
      </c>
      <c r="B1525" t="s">
        <v>828</v>
      </c>
      <c r="C1525">
        <v>2090000</v>
      </c>
      <c r="D1525">
        <v>2090000</v>
      </c>
      <c r="E1525" t="s">
        <v>829</v>
      </c>
      <c r="F1525" t="s">
        <v>1064</v>
      </c>
      <c r="G1525" t="str">
        <f>_xlfn.TEXTJOIN(",",TRUE,_xlfn._xlws.FILTER(GPU_brand[GPU brand], (GPU_brand[GPU brand text]&lt;&gt;"") * ISNUMBER(SEARCH(GPU_brand[GPU brand text], B1525)), ""))</f>
        <v>ARK</v>
      </c>
      <c r="H1525" t="str">
        <f>_xlfn.TEXTJOIN(",",TRUE,_xlfn._xlws.FILTER(Chipset_Table[Chipset], (Chipset_Table[Chipset text]&lt;&gt;"") * ISNUMBER(SEARCH(Chipset_Table[Chipset text], B1525)), ""))</f>
        <v>RX 550</v>
      </c>
      <c r="I1525" t="str">
        <f>_xlfn.TEXTJOIN(",",TRUE,_xlfn._xlws.FILTER(VRAM_table[Video memory], (VRAM_table[Video memory text]&lt;&gt;"") * ISNUMBER(SEARCH(VRAM_table[Video memory text], B1525)), ""))</f>
        <v>4GB,4GB</v>
      </c>
    </row>
    <row r="1526" spans="1:9" x14ac:dyDescent="0.35">
      <c r="A1526" t="s">
        <v>782</v>
      </c>
      <c r="B1526" t="s">
        <v>862</v>
      </c>
      <c r="C1526">
        <v>11190000</v>
      </c>
      <c r="D1526">
        <v>11190000</v>
      </c>
      <c r="E1526" t="s">
        <v>863</v>
      </c>
      <c r="F1526" t="s">
        <v>1064</v>
      </c>
      <c r="G1526" t="str">
        <f>_xlfn.TEXTJOIN(",",TRUE,_xlfn._xlws.FILTER(GPU_brand[GPU brand], (GPU_brand[GPU brand text]&lt;&gt;"") * ISNUMBER(SEARCH(GPU_brand[GPU brand text], B1526)), ""))</f>
        <v>Palit</v>
      </c>
      <c r="H1526" t="str">
        <f>_xlfn.TEXTJOIN(",",TRUE,_xlfn._xlws.FILTER(Chipset_Table[Chipset], (Chipset_Table[Chipset text]&lt;&gt;"") * ISNUMBER(SEARCH(Chipset_Table[Chipset text], B1526)), ""))</f>
        <v>GeForce RTX 5060,GeForce RTX 5060 Ti,RTX 5060 Ti</v>
      </c>
      <c r="I1526" t="str">
        <f>_xlfn.TEXTJOIN(",",TRUE,_xlfn._xlws.FILTER(VRAM_table[Video memory], (VRAM_table[Video memory text]&lt;&gt;"") * ISNUMBER(SEARCH(VRAM_table[Video memory text], B1526)), ""))</f>
        <v>8GB,8GB</v>
      </c>
    </row>
    <row r="1527" spans="1:9" x14ac:dyDescent="0.35">
      <c r="A1527" t="s">
        <v>782</v>
      </c>
      <c r="B1527" t="s">
        <v>864</v>
      </c>
      <c r="C1527">
        <v>12790000</v>
      </c>
      <c r="D1527">
        <v>12790000</v>
      </c>
      <c r="E1527" t="s">
        <v>865</v>
      </c>
      <c r="F1527" t="s">
        <v>1064</v>
      </c>
      <c r="G1527" t="str">
        <f>_xlfn.TEXTJOIN(",",TRUE,_xlfn._xlws.FILTER(GPU_brand[GPU brand], (GPU_brand[GPU brand text]&lt;&gt;"") * ISNUMBER(SEARCH(GPU_brand[GPU brand text], B1527)), ""))</f>
        <v>ASUS</v>
      </c>
      <c r="H1527" t="str">
        <f>_xlfn.TEXTJOIN(",",TRUE,_xlfn._xlws.FILTER(Chipset_Table[Chipset], (Chipset_Table[Chipset text]&lt;&gt;"") * ISNUMBER(SEARCH(Chipset_Table[Chipset text], B1527)), ""))</f>
        <v>RX 9060XT</v>
      </c>
      <c r="I1527" t="str">
        <f>_xlfn.TEXTJOIN(",",TRUE,_xlfn._xlws.FILTER(VRAM_table[Video memory], (VRAM_table[Video memory text]&lt;&gt;"") * ISNUMBER(SEARCH(VRAM_table[Video memory text], B1527)), ""))</f>
        <v>16GB,16GB,6GB,6GB</v>
      </c>
    </row>
    <row r="1528" spans="1:9" x14ac:dyDescent="0.35">
      <c r="A1528" t="s">
        <v>782</v>
      </c>
      <c r="B1528" t="s">
        <v>860</v>
      </c>
      <c r="C1528">
        <v>6590000</v>
      </c>
      <c r="D1528">
        <v>6590000</v>
      </c>
      <c r="E1528" t="s">
        <v>861</v>
      </c>
      <c r="F1528" t="s">
        <v>1064</v>
      </c>
      <c r="G1528" t="str">
        <f>_xlfn.TEXTJOIN(",",TRUE,_xlfn._xlws.FILTER(GPU_brand[GPU brand], (GPU_brand[GPU brand text]&lt;&gt;"") * ISNUMBER(SEARCH(GPU_brand[GPU brand text], B1528)), ""))</f>
        <v>Unika</v>
      </c>
      <c r="H1528" t="str">
        <f>_xlfn.TEXTJOIN(",",TRUE,_xlfn._xlws.FILTER(Chipset_Table[Chipset], (Chipset_Table[Chipset text]&lt;&gt;"") * ISNUMBER(SEARCH(Chipset_Table[Chipset text], B1528)), ""))</f>
        <v>RX 7600</v>
      </c>
      <c r="I1528" t="str">
        <f>_xlfn.TEXTJOIN(",",TRUE,_xlfn._xlws.FILTER(VRAM_table[Video memory], (VRAM_table[Video memory text]&lt;&gt;"") * ISNUMBER(SEARCH(VRAM_table[Video memory text], B1528)), ""))</f>
        <v>8GB,8GB</v>
      </c>
    </row>
    <row r="1529" spans="1:9" x14ac:dyDescent="0.35">
      <c r="A1529" t="s">
        <v>782</v>
      </c>
      <c r="B1529" t="s">
        <v>850</v>
      </c>
      <c r="C1529">
        <v>17090000</v>
      </c>
      <c r="D1529">
        <v>17090000</v>
      </c>
      <c r="E1529" t="s">
        <v>851</v>
      </c>
      <c r="F1529" t="s">
        <v>1064</v>
      </c>
      <c r="G1529" t="str">
        <f>_xlfn.TEXTJOIN(",",TRUE,_xlfn._xlws.FILTER(GPU_brand[GPU brand], (GPU_brand[GPU brand text]&lt;&gt;"") * ISNUMBER(SEARCH(GPU_brand[GPU brand text], B1529)), ""))</f>
        <v>ASUS</v>
      </c>
      <c r="H1529" t="str">
        <f>_xlfn.TEXTJOIN(",",TRUE,_xlfn._xlws.FILTER(Chipset_Table[Chipset], (Chipset_Table[Chipset text]&lt;&gt;"") * ISNUMBER(SEARCH(Chipset_Table[Chipset text], B1529)), ""))</f>
        <v>GeForce RTX 5060,GeForce RTX 5060 Ti,RTX 5060 Ti</v>
      </c>
      <c r="I1529" t="str">
        <f>_xlfn.TEXTJOIN(",",TRUE,_xlfn._xlws.FILTER(VRAM_table[Video memory], (VRAM_table[Video memory text]&lt;&gt;"") * ISNUMBER(SEARCH(VRAM_table[Video memory text], B1529)), ""))</f>
        <v>16GB,16GB,6GB,6GB</v>
      </c>
    </row>
    <row r="1530" spans="1:9" x14ac:dyDescent="0.35">
      <c r="A1530" t="s">
        <v>782</v>
      </c>
      <c r="B1530" t="s">
        <v>866</v>
      </c>
      <c r="C1530">
        <v>9690000</v>
      </c>
      <c r="D1530">
        <v>9690000</v>
      </c>
      <c r="E1530" t="s">
        <v>867</v>
      </c>
      <c r="F1530" t="s">
        <v>1064</v>
      </c>
      <c r="G1530" t="str">
        <f>_xlfn.TEXTJOIN(",",TRUE,_xlfn._xlws.FILTER(GPU_brand[GPU brand], (GPU_brand[GPU brand text]&lt;&gt;"") * ISNUMBER(SEARCH(GPU_brand[GPU brand text], B1530)), ""))</f>
        <v>Gigabyte</v>
      </c>
      <c r="H1530" t="str">
        <f>_xlfn.TEXTJOIN(",",TRUE,_xlfn._xlws.FILTER(Chipset_Table[Chipset], (Chipset_Table[Chipset text]&lt;&gt;"") * ISNUMBER(SEARCH(Chipset_Table[Chipset text], B1530)), ""))</f>
        <v>RX 9060 XT</v>
      </c>
      <c r="I1530" t="str">
        <f>_xlfn.TEXTJOIN(",",TRUE,_xlfn._xlws.FILTER(VRAM_table[Video memory], (VRAM_table[Video memory text]&lt;&gt;"") * ISNUMBER(SEARCH(VRAM_table[Video memory text], B1530)), ""))</f>
        <v>8GB,8GB</v>
      </c>
    </row>
    <row r="1531" spans="1:9" x14ac:dyDescent="0.35">
      <c r="A1531" t="s">
        <v>782</v>
      </c>
      <c r="B1531" t="s">
        <v>854</v>
      </c>
      <c r="C1531">
        <v>2300000</v>
      </c>
      <c r="D1531">
        <v>2300000</v>
      </c>
      <c r="E1531" t="s">
        <v>855</v>
      </c>
      <c r="F1531" t="s">
        <v>1064</v>
      </c>
      <c r="G1531" t="str">
        <f>_xlfn.TEXTJOIN(",",TRUE,_xlfn._xlws.FILTER(GPU_brand[GPU brand], (GPU_brand[GPU brand text]&lt;&gt;"") * ISNUMBER(SEARCH(GPU_brand[GPU brand text], B1531)), ""))</f>
        <v>T-WOLF</v>
      </c>
      <c r="H1531" t="str">
        <f>_xlfn.TEXTJOIN(",",TRUE,_xlfn._xlws.FILTER(Chipset_Table[Chipset], (Chipset_Table[Chipset text]&lt;&gt;"") * ISNUMBER(SEARCH(Chipset_Table[Chipset text], B1531)), ""))</f>
        <v>RX 560</v>
      </c>
      <c r="I1531" t="str">
        <f>_xlfn.TEXTJOIN(",",TRUE,_xlfn._xlws.FILTER(VRAM_table[Video memory], (VRAM_table[Video memory text]&lt;&gt;"") * ISNUMBER(SEARCH(VRAM_table[Video memory text], B1531)), ""))</f>
        <v>4GB,4GB</v>
      </c>
    </row>
    <row r="1532" spans="1:9" x14ac:dyDescent="0.35">
      <c r="A1532" t="s">
        <v>782</v>
      </c>
      <c r="B1532" t="s">
        <v>876</v>
      </c>
      <c r="C1532">
        <v>20290000</v>
      </c>
      <c r="D1532">
        <v>20290000</v>
      </c>
      <c r="E1532" t="s">
        <v>877</v>
      </c>
      <c r="F1532" t="s">
        <v>1064</v>
      </c>
      <c r="G1532" t="str">
        <f>_xlfn.TEXTJOIN(",",TRUE,_xlfn._xlws.FILTER(GPU_brand[GPU brand], (GPU_brand[GPU brand text]&lt;&gt;"") * ISNUMBER(SEARCH(GPU_brand[GPU brand text], B1532)), ""))</f>
        <v>ASRock</v>
      </c>
      <c r="H1532" t="str">
        <f>_xlfn.TEXTJOIN(",",TRUE,_xlfn._xlws.FILTER(Chipset_Table[Chipset], (Chipset_Table[Chipset text]&lt;&gt;"") * ISNUMBER(SEARCH(Chipset_Table[Chipset text], B1532)), ""))</f>
        <v>RX 9070</v>
      </c>
      <c r="I1532" t="str">
        <f>_xlfn.TEXTJOIN(",",TRUE,_xlfn._xlws.FILTER(VRAM_table[Video memory], (VRAM_table[Video memory text]&lt;&gt;"") * ISNUMBER(SEARCH(VRAM_table[Video memory text], B1532)), ""))</f>
        <v>16GB,16GB,6GB,6GB</v>
      </c>
    </row>
    <row r="1533" spans="1:9" x14ac:dyDescent="0.35">
      <c r="A1533" t="s">
        <v>782</v>
      </c>
      <c r="B1533" t="s">
        <v>868</v>
      </c>
      <c r="C1533">
        <v>26490000</v>
      </c>
      <c r="D1533">
        <v>26490000</v>
      </c>
      <c r="E1533" t="s">
        <v>869</v>
      </c>
      <c r="F1533" t="s">
        <v>1064</v>
      </c>
      <c r="G1533" t="str">
        <f>_xlfn.TEXTJOIN(",",TRUE,_xlfn._xlws.FILTER(GPU_brand[GPU brand], (GPU_brand[GPU brand text]&lt;&gt;"") * ISNUMBER(SEARCH(GPU_brand[GPU brand text], B1533)), ""))</f>
        <v>Palit</v>
      </c>
      <c r="H1533" t="str">
        <f>_xlfn.TEXTJOIN(",",TRUE,_xlfn._xlws.FILTER(Chipset_Table[Chipset], (Chipset_Table[Chipset text]&lt;&gt;"") * ISNUMBER(SEARCH(Chipset_Table[Chipset text], B1533)), ""))</f>
        <v>GeForce RTX 5070,GeForce RTX 5070 Ti,RTX 5070</v>
      </c>
      <c r="I1533" t="str">
        <f>_xlfn.TEXTJOIN(",",TRUE,_xlfn._xlws.FILTER(VRAM_table[Video memory], (VRAM_table[Video memory text]&lt;&gt;"") * ISNUMBER(SEARCH(VRAM_table[Video memory text], B1533)), ""))</f>
        <v>16GB,16GB,6GB,6GB</v>
      </c>
    </row>
    <row r="1534" spans="1:9" x14ac:dyDescent="0.35">
      <c r="A1534" t="s">
        <v>782</v>
      </c>
      <c r="B1534" t="s">
        <v>856</v>
      </c>
      <c r="C1534">
        <v>11790000</v>
      </c>
      <c r="D1534">
        <v>11790000</v>
      </c>
      <c r="E1534" t="s">
        <v>857</v>
      </c>
      <c r="F1534" t="s">
        <v>1064</v>
      </c>
      <c r="G1534" t="str">
        <f>_xlfn.TEXTJOIN(",",TRUE,_xlfn._xlws.FILTER(GPU_brand[GPU brand], (GPU_brand[GPU brand text]&lt;&gt;"") * ISNUMBER(SEARCH(GPU_brand[GPU brand text], B1534)), ""))</f>
        <v>MSI</v>
      </c>
      <c r="H1534" t="str">
        <f>_xlfn.TEXTJOIN(",",TRUE,_xlfn._xlws.FILTER(Chipset_Table[Chipset], (Chipset_Table[Chipset text]&lt;&gt;"") * ISNUMBER(SEARCH(Chipset_Table[Chipset text], B1534)), ""))</f>
        <v>GeForce RTX 5060,GeForce RTX 5060 Ti,RTX 5060 Ti</v>
      </c>
      <c r="I1534" t="str">
        <f>_xlfn.TEXTJOIN(",",TRUE,_xlfn._xlws.FILTER(VRAM_table[Video memory], (VRAM_table[Video memory text]&lt;&gt;"") * ISNUMBER(SEARCH(VRAM_table[Video memory text], B1534)), ""))</f>
        <v>8GB,8GB</v>
      </c>
    </row>
    <row r="1535" spans="1:9" x14ac:dyDescent="0.35">
      <c r="A1535" t="s">
        <v>782</v>
      </c>
      <c r="B1535" t="s">
        <v>858</v>
      </c>
      <c r="C1535">
        <v>12490000</v>
      </c>
      <c r="D1535">
        <v>12490000</v>
      </c>
      <c r="E1535" t="s">
        <v>859</v>
      </c>
      <c r="F1535" t="s">
        <v>1064</v>
      </c>
      <c r="G1535" t="str">
        <f>_xlfn.TEXTJOIN(",",TRUE,_xlfn._xlws.FILTER(GPU_brand[GPU brand], (GPU_brand[GPU brand text]&lt;&gt;"") * ISNUMBER(SEARCH(GPU_brand[GPU brand text], B1535)), ""))</f>
        <v>Gigabyte</v>
      </c>
      <c r="H1535" t="str">
        <f>_xlfn.TEXTJOIN(",",TRUE,_xlfn._xlws.FILTER(Chipset_Table[Chipset], (Chipset_Table[Chipset text]&lt;&gt;"") * ISNUMBER(SEARCH(Chipset_Table[Chipset text], B1535)), ""))</f>
        <v>RX 9060 XT</v>
      </c>
      <c r="I1535" t="str">
        <f>_xlfn.TEXTJOIN(",",TRUE,_xlfn._xlws.FILTER(VRAM_table[Video memory], (VRAM_table[Video memory text]&lt;&gt;"") * ISNUMBER(SEARCH(VRAM_table[Video memory text], B1535)), ""))</f>
        <v>16GB,16GB,6GB,6GB</v>
      </c>
    </row>
    <row r="1536" spans="1:9" x14ac:dyDescent="0.35">
      <c r="A1536" t="s">
        <v>782</v>
      </c>
      <c r="B1536" t="s">
        <v>852</v>
      </c>
      <c r="C1536">
        <v>9390000</v>
      </c>
      <c r="D1536">
        <v>9390000</v>
      </c>
      <c r="E1536" t="s">
        <v>853</v>
      </c>
      <c r="F1536" t="s">
        <v>1064</v>
      </c>
      <c r="G1536" t="str">
        <f>_xlfn.TEXTJOIN(",",TRUE,_xlfn._xlws.FILTER(GPU_brand[GPU brand], (GPU_brand[GPU brand text]&lt;&gt;"") * ISNUMBER(SEARCH(GPU_brand[GPU brand text], B1536)), ""))</f>
        <v>Colorful</v>
      </c>
      <c r="H1536" t="str">
        <f>_xlfn.TEXTJOIN(",",TRUE,_xlfn._xlws.FILTER(Chipset_Table[Chipset], (Chipset_Table[Chipset text]&lt;&gt;"") * ISNUMBER(SEARCH(Chipset_Table[Chipset text], B1536)), ""))</f>
        <v>GeForce RTX 5060</v>
      </c>
      <c r="I1536" t="str">
        <f>_xlfn.TEXTJOIN(",",TRUE,_xlfn._xlws.FILTER(VRAM_table[Video memory], (VRAM_table[Video memory text]&lt;&gt;"") * ISNUMBER(SEARCH(VRAM_table[Video memory text], B1536)), ""))</f>
        <v>8GB,8GB</v>
      </c>
    </row>
    <row r="1537" spans="1:9" x14ac:dyDescent="0.35">
      <c r="A1537" t="s">
        <v>782</v>
      </c>
      <c r="B1537" t="s">
        <v>872</v>
      </c>
      <c r="C1537">
        <v>18790000</v>
      </c>
      <c r="D1537">
        <v>18790000</v>
      </c>
      <c r="E1537" t="s">
        <v>873</v>
      </c>
      <c r="F1537" t="s">
        <v>1064</v>
      </c>
      <c r="G1537" t="str">
        <f>_xlfn.TEXTJOIN(",",TRUE,_xlfn._xlws.FILTER(GPU_brand[GPU brand], (GPU_brand[GPU brand text]&lt;&gt;"") * ISNUMBER(SEARCH(GPU_brand[GPU brand text], B1537)), ""))</f>
        <v>Palit</v>
      </c>
      <c r="H1537" t="str">
        <f>_xlfn.TEXTJOIN(",",TRUE,_xlfn._xlws.FILTER(Chipset_Table[Chipset], (Chipset_Table[Chipset text]&lt;&gt;"") * ISNUMBER(SEARCH(Chipset_Table[Chipset text], B1537)), ""))</f>
        <v>GeForce RTX 5070,RTX 5070</v>
      </c>
      <c r="I1537" t="str">
        <f>_xlfn.TEXTJOIN(",",TRUE,_xlfn._xlws.FILTER(VRAM_table[Video memory], (VRAM_table[Video memory text]&lt;&gt;"") * ISNUMBER(SEARCH(VRAM_table[Video memory text], B1537)), ""))</f>
        <v>12GB,2GB</v>
      </c>
    </row>
    <row r="1538" spans="1:9" x14ac:dyDescent="0.35">
      <c r="A1538" t="s">
        <v>782</v>
      </c>
      <c r="B1538" t="s">
        <v>874</v>
      </c>
      <c r="C1538">
        <v>6990000</v>
      </c>
      <c r="D1538">
        <v>6990000</v>
      </c>
      <c r="E1538" t="s">
        <v>875</v>
      </c>
      <c r="F1538" t="s">
        <v>1064</v>
      </c>
      <c r="G1538" t="str">
        <f>_xlfn.TEXTJOIN(",",TRUE,_xlfn._xlws.FILTER(GPU_brand[GPU brand], (GPU_brand[GPU brand text]&lt;&gt;"") * ISNUMBER(SEARCH(GPU_brand[GPU brand text], B1538)), ""))</f>
        <v>MSI</v>
      </c>
      <c r="H1538" t="str">
        <f>_xlfn.TEXTJOIN(",",TRUE,_xlfn._xlws.FILTER(Chipset_Table[Chipset], (Chipset_Table[Chipset text]&lt;&gt;"") * ISNUMBER(SEARCH(Chipset_Table[Chipset text], B1538)), ""))</f>
        <v>GeForce RTX 3050</v>
      </c>
      <c r="I1538" t="str">
        <f>_xlfn.TEXTJOIN(",",TRUE,_xlfn._xlws.FILTER(VRAM_table[Video memory], (VRAM_table[Video memory text]&lt;&gt;"") * ISNUMBER(SEARCH(VRAM_table[Video memory text], B1538)), ""))</f>
        <v>8GB,8GB</v>
      </c>
    </row>
    <row r="1539" spans="1:9" x14ac:dyDescent="0.35">
      <c r="A1539" t="s">
        <v>782</v>
      </c>
      <c r="B1539" t="s">
        <v>886</v>
      </c>
      <c r="C1539">
        <v>3390000</v>
      </c>
      <c r="D1539">
        <v>3390000</v>
      </c>
      <c r="E1539" t="s">
        <v>887</v>
      </c>
      <c r="F1539" t="s">
        <v>1064</v>
      </c>
      <c r="G1539" t="str">
        <f>_xlfn.TEXTJOIN(",",TRUE,_xlfn._xlws.FILTER(GPU_brand[GPU brand], (GPU_brand[GPU brand text]&lt;&gt;"") * ISNUMBER(SEARCH(GPU_brand[GPU brand text], B1539)), ""))</f>
        <v>T-WOLF</v>
      </c>
      <c r="H1539" t="str">
        <f>_xlfn.TEXTJOIN(",",TRUE,_xlfn._xlws.FILTER(Chipset_Table[Chipset], (Chipset_Table[Chipset text]&lt;&gt;"") * ISNUMBER(SEARCH(Chipset_Table[Chipset text], B1539)), ""))</f>
        <v>RX 580</v>
      </c>
      <c r="I1539" t="str">
        <f>_xlfn.TEXTJOIN(",",TRUE,_xlfn._xlws.FILTER(VRAM_table[Video memory], (VRAM_table[Video memory text]&lt;&gt;"") * ISNUMBER(SEARCH(VRAM_table[Video memory text], B1539)), ""))</f>
        <v>8GB,8GB</v>
      </c>
    </row>
    <row r="1540" spans="1:9" x14ac:dyDescent="0.35">
      <c r="A1540" t="s">
        <v>782</v>
      </c>
      <c r="B1540" t="s">
        <v>844</v>
      </c>
      <c r="C1540">
        <v>15790000</v>
      </c>
      <c r="D1540">
        <v>15790000</v>
      </c>
      <c r="E1540" t="s">
        <v>845</v>
      </c>
      <c r="F1540" t="s">
        <v>1064</v>
      </c>
      <c r="G1540" t="str">
        <f>_xlfn.TEXTJOIN(",",TRUE,_xlfn._xlws.FILTER(GPU_brand[GPU brand], (GPU_brand[GPU brand text]&lt;&gt;"") * ISNUMBER(SEARCH(GPU_brand[GPU brand text], B1540)), ""))</f>
        <v>ZOTAC</v>
      </c>
      <c r="H1540" t="str">
        <f>_xlfn.TEXTJOIN(",",TRUE,_xlfn._xlws.FILTER(Chipset_Table[Chipset], (Chipset_Table[Chipset text]&lt;&gt;"") * ISNUMBER(SEARCH(Chipset_Table[Chipset text], B1540)), ""))</f>
        <v>GeForce RTX 5060,GeForce RTX 5060 Ti,RTX 5060 Ti</v>
      </c>
      <c r="I1540" t="str">
        <f>_xlfn.TEXTJOIN(",",TRUE,_xlfn._xlws.FILTER(VRAM_table[Video memory], (VRAM_table[Video memory text]&lt;&gt;"") * ISNUMBER(SEARCH(VRAM_table[Video memory text], B1540)), ""))</f>
        <v>16GB,16GB,6GB,6GB</v>
      </c>
    </row>
    <row r="1541" spans="1:9" x14ac:dyDescent="0.35">
      <c r="A1541" t="s">
        <v>782</v>
      </c>
      <c r="B1541" t="s">
        <v>880</v>
      </c>
      <c r="C1541">
        <v>8890000</v>
      </c>
      <c r="D1541">
        <v>8890000</v>
      </c>
      <c r="E1541" t="s">
        <v>881</v>
      </c>
      <c r="F1541" t="s">
        <v>1064</v>
      </c>
      <c r="G1541" t="str">
        <f>_xlfn.TEXTJOIN(",",TRUE,_xlfn._xlws.FILTER(GPU_brand[GPU brand], (GPU_brand[GPU brand text]&lt;&gt;"") * ISNUMBER(SEARCH(GPU_brand[GPU brand text], B1541)), ""))</f>
        <v>MSI</v>
      </c>
      <c r="H1541" t="str">
        <f>_xlfn.TEXTJOIN(",",TRUE,_xlfn._xlws.FILTER(Chipset_Table[Chipset], (Chipset_Table[Chipset text]&lt;&gt;"") * ISNUMBER(SEARCH(Chipset_Table[Chipset text], B1541)), ""))</f>
        <v>GEFORCE RTX 5050,RTX 5050</v>
      </c>
      <c r="I1541" t="str">
        <f>_xlfn.TEXTJOIN(",",TRUE,_xlfn._xlws.FILTER(VRAM_table[Video memory], (VRAM_table[Video memory text]&lt;&gt;"") * ISNUMBER(SEARCH(VRAM_table[Video memory text], B1541)), ""))</f>
        <v>8GB,8GB</v>
      </c>
    </row>
    <row r="1542" spans="1:9" x14ac:dyDescent="0.35">
      <c r="A1542" t="s">
        <v>782</v>
      </c>
      <c r="B1542" t="s">
        <v>892</v>
      </c>
      <c r="C1542">
        <v>12050000</v>
      </c>
      <c r="D1542">
        <v>12050000</v>
      </c>
      <c r="E1542" t="s">
        <v>893</v>
      </c>
      <c r="F1542" t="s">
        <v>1064</v>
      </c>
      <c r="G1542" t="str">
        <f>_xlfn.TEXTJOIN(",",TRUE,_xlfn._xlws.FILTER(GPU_brand[GPU brand], (GPU_brand[GPU brand text]&lt;&gt;"") * ISNUMBER(SEARCH(GPU_brand[GPU brand text], B1542)), ""))</f>
        <v>MSI</v>
      </c>
      <c r="H1542" t="str">
        <f>_xlfn.TEXTJOIN(",",TRUE,_xlfn._xlws.FILTER(Chipset_Table[Chipset], (Chipset_Table[Chipset text]&lt;&gt;"") * ISNUMBER(SEARCH(Chipset_Table[Chipset text], B1542)), ""))</f>
        <v>RTX 5060 Ti</v>
      </c>
      <c r="I1542" t="str">
        <f>_xlfn.TEXTJOIN(",",TRUE,_xlfn._xlws.FILTER(VRAM_table[Video memory], (VRAM_table[Video memory text]&lt;&gt;"") * ISNUMBER(SEARCH(VRAM_table[Video memory text], B1542)), ""))</f>
        <v>8GB,8GB</v>
      </c>
    </row>
    <row r="1543" spans="1:9" x14ac:dyDescent="0.35">
      <c r="A1543" t="s">
        <v>782</v>
      </c>
      <c r="B1543" t="s">
        <v>878</v>
      </c>
      <c r="C1543">
        <v>19190000</v>
      </c>
      <c r="D1543">
        <v>19190000</v>
      </c>
      <c r="E1543" t="s">
        <v>879</v>
      </c>
      <c r="F1543" t="s">
        <v>1064</v>
      </c>
      <c r="G1543" t="str">
        <f>_xlfn.TEXTJOIN(",",TRUE,_xlfn._xlws.FILTER(GPU_brand[GPU brand], (GPU_brand[GPU brand text]&lt;&gt;"") * ISNUMBER(SEARCH(GPU_brand[GPU brand text], B1543)), ""))</f>
        <v>Palit</v>
      </c>
      <c r="H1543" t="str">
        <f>_xlfn.TEXTJOIN(",",TRUE,_xlfn._xlws.FILTER(Chipset_Table[Chipset], (Chipset_Table[Chipset text]&lt;&gt;"") * ISNUMBER(SEARCH(Chipset_Table[Chipset text], B1543)), ""))</f>
        <v>GeForce RTX 5070,RTX 5070</v>
      </c>
      <c r="I1543" t="str">
        <f>_xlfn.TEXTJOIN(",",TRUE,_xlfn._xlws.FILTER(VRAM_table[Video memory], (VRAM_table[Video memory text]&lt;&gt;"") * ISNUMBER(SEARCH(VRAM_table[Video memory text], B1543)), ""))</f>
        <v>12GB,2GB</v>
      </c>
    </row>
    <row r="1544" spans="1:9" x14ac:dyDescent="0.35">
      <c r="A1544" t="s">
        <v>782</v>
      </c>
      <c r="B1544" t="s">
        <v>888</v>
      </c>
      <c r="C1544">
        <v>2790000</v>
      </c>
      <c r="D1544">
        <v>2790000</v>
      </c>
      <c r="E1544" t="s">
        <v>889</v>
      </c>
      <c r="F1544" t="s">
        <v>1064</v>
      </c>
      <c r="G1544" t="str">
        <f>_xlfn.TEXTJOIN(",",TRUE,_xlfn._xlws.FILTER(GPU_brand[GPU brand], (GPU_brand[GPU brand text]&lt;&gt;"") * ISNUMBER(SEARCH(GPU_brand[GPU brand text], B1544)), ""))</f>
        <v>ARK</v>
      </c>
      <c r="H1544" t="str">
        <f>_xlfn.TEXTJOIN(",",TRUE,_xlfn._xlws.FILTER(Chipset_Table[Chipset], (Chipset_Table[Chipset text]&lt;&gt;"") * ISNUMBER(SEARCH(Chipset_Table[Chipset text], B1544)), ""))</f>
        <v>RX 550</v>
      </c>
      <c r="I1544" t="str">
        <f>_xlfn.TEXTJOIN(",",TRUE,_xlfn._xlws.FILTER(VRAM_table[Video memory], (VRAM_table[Video memory text]&lt;&gt;"") * ISNUMBER(SEARCH(VRAM_table[Video memory text], B1544)), ""))</f>
        <v>8GB,8GB</v>
      </c>
    </row>
    <row r="1545" spans="1:9" x14ac:dyDescent="0.35">
      <c r="A1545" t="s">
        <v>782</v>
      </c>
      <c r="B1545" t="s">
        <v>942</v>
      </c>
      <c r="C1545">
        <v>2990000</v>
      </c>
      <c r="D1545">
        <v>2990000</v>
      </c>
      <c r="E1545" t="s">
        <v>943</v>
      </c>
      <c r="F1545" t="s">
        <v>1064</v>
      </c>
      <c r="G1545" t="str">
        <f>_xlfn.TEXTJOIN(",",TRUE,_xlfn._xlws.FILTER(GPU_brand[GPU brand], (GPU_brand[GPU brand text]&lt;&gt;"") * ISNUMBER(SEARCH(GPU_brand[GPU brand text], B1545)), ""))</f>
        <v>T-WOLF</v>
      </c>
      <c r="H1545" t="str">
        <f>_xlfn.TEXTJOIN(",",TRUE,_xlfn._xlws.FILTER(Chipset_Table[Chipset], (Chipset_Table[Chipset text]&lt;&gt;"") * ISNUMBER(SEARCH(Chipset_Table[Chipset text], B1545)), ""))</f>
        <v>GeForce GTX 1060</v>
      </c>
      <c r="I1545" t="str">
        <f>_xlfn.TEXTJOIN(",",TRUE,_xlfn._xlws.FILTER(VRAM_table[Video memory], (VRAM_table[Video memory text]&lt;&gt;"") * ISNUMBER(SEARCH(VRAM_table[Video memory text], B1545)), ""))</f>
        <v>3GB</v>
      </c>
    </row>
    <row r="1546" spans="1:9" x14ac:dyDescent="0.35">
      <c r="A1546" t="s">
        <v>782</v>
      </c>
      <c r="B1546" t="s">
        <v>1058</v>
      </c>
      <c r="C1546">
        <v>3290000</v>
      </c>
      <c r="D1546">
        <v>3290000</v>
      </c>
      <c r="E1546" t="s">
        <v>1059</v>
      </c>
      <c r="F1546" t="s">
        <v>1064</v>
      </c>
      <c r="G1546" t="str">
        <f>_xlfn.TEXTJOIN(",",TRUE,_xlfn._xlws.FILTER(GPU_brand[GPU brand], (GPU_brand[GPU brand text]&lt;&gt;"") * ISNUMBER(SEARCH(GPU_brand[GPU brand text], B1546)), ""))</f>
        <v>T-WOLF</v>
      </c>
      <c r="H1546" t="str">
        <f>_xlfn.TEXTJOIN(",",TRUE,_xlfn._xlws.FILTER(Chipset_Table[Chipset], (Chipset_Table[Chipset text]&lt;&gt;"") * ISNUMBER(SEARCH(Chipset_Table[Chipset text], B1546)), ""))</f>
        <v>GeForce GTX 1050</v>
      </c>
      <c r="I1546" t="str">
        <f>_xlfn.TEXTJOIN(",",TRUE,_xlfn._xlws.FILTER(VRAM_table[Video memory], (VRAM_table[Video memory text]&lt;&gt;"") * ISNUMBER(SEARCH(VRAM_table[Video memory text], B1546)), ""))</f>
        <v>4GB,4GB</v>
      </c>
    </row>
    <row r="1547" spans="1:9" x14ac:dyDescent="0.35">
      <c r="A1547" t="s">
        <v>782</v>
      </c>
      <c r="B1547" t="s">
        <v>834</v>
      </c>
      <c r="C1547">
        <v>7290000</v>
      </c>
      <c r="D1547">
        <v>7290000</v>
      </c>
      <c r="E1547" t="s">
        <v>835</v>
      </c>
      <c r="F1547" t="s">
        <v>1064</v>
      </c>
      <c r="G1547" t="str">
        <f>_xlfn.TEXTJOIN(",",TRUE,_xlfn._xlws.FILTER(GPU_brand[GPU brand], (GPU_brand[GPU brand text]&lt;&gt;"") * ISNUMBER(SEARCH(GPU_brand[GPU brand text], B1547)), ""))</f>
        <v>ZOTAC</v>
      </c>
      <c r="H1547" t="str">
        <f>_xlfn.TEXTJOIN(",",TRUE,_xlfn._xlws.FILTER(Chipset_Table[Chipset], (Chipset_Table[Chipset text]&lt;&gt;"") * ISNUMBER(SEARCH(Chipset_Table[Chipset text], B1547)), ""))</f>
        <v>GEFORCE RTX 5050,RTX 5050</v>
      </c>
      <c r="I1547" t="str">
        <f>_xlfn.TEXTJOIN(",",TRUE,_xlfn._xlws.FILTER(VRAM_table[Video memory], (VRAM_table[Video memory text]&lt;&gt;"") * ISNUMBER(SEARCH(VRAM_table[Video memory text], B1547)), ""))</f>
        <v>8GB,8GB</v>
      </c>
    </row>
    <row r="1548" spans="1:9" x14ac:dyDescent="0.35">
      <c r="A1548" t="s">
        <v>782</v>
      </c>
      <c r="B1548" t="s">
        <v>896</v>
      </c>
      <c r="C1548">
        <v>16090000</v>
      </c>
      <c r="D1548">
        <v>16090000</v>
      </c>
      <c r="E1548" t="s">
        <v>897</v>
      </c>
      <c r="F1548" t="s">
        <v>1064</v>
      </c>
      <c r="G1548" t="str">
        <f>_xlfn.TEXTJOIN(",",TRUE,_xlfn._xlws.FILTER(GPU_brand[GPU brand], (GPU_brand[GPU brand text]&lt;&gt;"") * ISNUMBER(SEARCH(GPU_brand[GPU brand text], B1548)), ""))</f>
        <v>INNO3D</v>
      </c>
      <c r="H1548" t="str">
        <f>_xlfn.TEXTJOIN(",",TRUE,_xlfn._xlws.FILTER(Chipset_Table[Chipset], (Chipset_Table[Chipset text]&lt;&gt;"") * ISNUMBER(SEARCH(Chipset_Table[Chipset text], B1548)), ""))</f>
        <v>GeForce RTX 5060,GeForce RTX 5060 Ti,RTX 5060 Ti</v>
      </c>
      <c r="I1548" t="str">
        <f>_xlfn.TEXTJOIN(",",TRUE,_xlfn._xlws.FILTER(VRAM_table[Video memory], (VRAM_table[Video memory text]&lt;&gt;"") * ISNUMBER(SEARCH(VRAM_table[Video memory text], B1548)), ""))</f>
        <v>16GB,16GB,6GB,6GB</v>
      </c>
    </row>
    <row r="1549" spans="1:9" x14ac:dyDescent="0.35">
      <c r="A1549" t="s">
        <v>782</v>
      </c>
      <c r="B1549" t="s">
        <v>882</v>
      </c>
      <c r="C1549">
        <v>32690000</v>
      </c>
      <c r="D1549">
        <v>32690000</v>
      </c>
      <c r="E1549" t="s">
        <v>883</v>
      </c>
      <c r="F1549" t="s">
        <v>1064</v>
      </c>
      <c r="G1549" t="str">
        <f>_xlfn.TEXTJOIN(",",TRUE,_xlfn._xlws.FILTER(GPU_brand[GPU brand], (GPU_brand[GPU brand text]&lt;&gt;"") * ISNUMBER(SEARCH(GPU_brand[GPU brand text], B1549)), ""))</f>
        <v>ZOTAC</v>
      </c>
      <c r="H1549" t="str">
        <f>_xlfn.TEXTJOIN(",",TRUE,_xlfn._xlws.FILTER(Chipset_Table[Chipset], (Chipset_Table[Chipset text]&lt;&gt;"") * ISNUMBER(SEARCH(Chipset_Table[Chipset text], B1549)), ""))</f>
        <v>GeForce RTX 5080,RTX 5080</v>
      </c>
      <c r="I1549" t="str">
        <f>_xlfn.TEXTJOIN(",",TRUE,_xlfn._xlws.FILTER(VRAM_table[Video memory], (VRAM_table[Video memory text]&lt;&gt;"") * ISNUMBER(SEARCH(VRAM_table[Video memory text], B1549)), ""))</f>
        <v>16GB,16GB,6GB,6GB</v>
      </c>
    </row>
    <row r="1550" spans="1:9" x14ac:dyDescent="0.35">
      <c r="A1550" t="s">
        <v>782</v>
      </c>
      <c r="B1550" t="s">
        <v>894</v>
      </c>
      <c r="C1550">
        <v>4790000</v>
      </c>
      <c r="D1550">
        <v>4790000</v>
      </c>
      <c r="E1550" t="s">
        <v>895</v>
      </c>
      <c r="F1550" t="s">
        <v>1064</v>
      </c>
      <c r="G1550" t="str">
        <f>_xlfn.TEXTJOIN(",",TRUE,_xlfn._xlws.FILTER(GPU_brand[GPU brand], (GPU_brand[GPU brand text]&lt;&gt;"") * ISNUMBER(SEARCH(GPU_brand[GPU brand text], B1550)), ""))</f>
        <v>ARK</v>
      </c>
      <c r="H1550" t="str">
        <f>_xlfn.TEXTJOIN(",",TRUE,_xlfn._xlws.FILTER(Chipset_Table[Chipset], (Chipset_Table[Chipset text]&lt;&gt;"") * ISNUMBER(SEARCH(Chipset_Table[Chipset text], B1550)), ""))</f>
        <v xml:space="preserve"> GTX 1660 Super</v>
      </c>
      <c r="I1550" t="str">
        <f>_xlfn.TEXTJOIN(",",TRUE,_xlfn._xlws.FILTER(VRAM_table[Video memory], (VRAM_table[Video memory text]&lt;&gt;"") * ISNUMBER(SEARCH(VRAM_table[Video memory text], B1550)), ""))</f>
        <v>6GB,6GB</v>
      </c>
    </row>
    <row r="1551" spans="1:9" x14ac:dyDescent="0.35">
      <c r="A1551" t="s">
        <v>782</v>
      </c>
      <c r="B1551" t="s">
        <v>908</v>
      </c>
      <c r="C1551">
        <v>13690000</v>
      </c>
      <c r="D1551">
        <v>13690000</v>
      </c>
      <c r="E1551" t="s">
        <v>909</v>
      </c>
      <c r="F1551" t="s">
        <v>1064</v>
      </c>
      <c r="G1551" t="str">
        <f>_xlfn.TEXTJOIN(",",TRUE,_xlfn._xlws.FILTER(GPU_brand[GPU brand], (GPU_brand[GPU brand text]&lt;&gt;"") * ISNUMBER(SEARCH(GPU_brand[GPU brand text], B1551)), ""))</f>
        <v>Leadtek</v>
      </c>
      <c r="H1551" t="str">
        <f>_xlfn.TEXTJOIN(",",TRUE,_xlfn._xlws.FILTER(Chipset_Table[Chipset], (Chipset_Table[Chipset text]&lt;&gt;"") * ISNUMBER(SEARCH(Chipset_Table[Chipset text], B1551)), ""))</f>
        <v>RTX A1000</v>
      </c>
      <c r="I1551" t="str">
        <f>_xlfn.TEXTJOIN(",",TRUE,_xlfn._xlws.FILTER(VRAM_table[Video memory], (VRAM_table[Video memory text]&lt;&gt;"") * ISNUMBER(SEARCH(VRAM_table[Video memory text], B1551)), ""))</f>
        <v>8GB,8GB</v>
      </c>
    </row>
    <row r="1552" spans="1:9" x14ac:dyDescent="0.35">
      <c r="A1552" t="s">
        <v>782</v>
      </c>
      <c r="B1552" t="s">
        <v>997</v>
      </c>
      <c r="C1552">
        <v>5290000</v>
      </c>
      <c r="D1552">
        <v>5290000</v>
      </c>
      <c r="E1552" t="s">
        <v>998</v>
      </c>
      <c r="F1552" t="s">
        <v>1064</v>
      </c>
      <c r="G1552" t="str">
        <f>_xlfn.TEXTJOIN(",",TRUE,_xlfn._xlws.FILTER(GPU_brand[GPU brand], (GPU_brand[GPU brand text]&lt;&gt;"") * ISNUMBER(SEARCH(GPU_brand[GPU brand text], B1552)), ""))</f>
        <v>Leadtek</v>
      </c>
      <c r="H1552" t="str">
        <f>_xlfn.TEXTJOIN(",",TRUE,_xlfn._xlws.FILTER(Chipset_Table[Chipset], (Chipset_Table[Chipset text]&lt;&gt;"") * ISNUMBER(SEARCH(Chipset_Table[Chipset text], B1552)), ""))</f>
        <v>RTX A400</v>
      </c>
      <c r="I1552" t="str">
        <f>_xlfn.TEXTJOIN(",",TRUE,_xlfn._xlws.FILTER(VRAM_table[Video memory], (VRAM_table[Video memory text]&lt;&gt;"") * ISNUMBER(SEARCH(VRAM_table[Video memory text], B1552)), ""))</f>
        <v>4GB,4GB</v>
      </c>
    </row>
    <row r="1553" spans="1:9" x14ac:dyDescent="0.35">
      <c r="A1553" t="s">
        <v>782</v>
      </c>
      <c r="B1553" t="s">
        <v>900</v>
      </c>
      <c r="C1553">
        <v>13790000</v>
      </c>
      <c r="D1553">
        <v>13790000</v>
      </c>
      <c r="E1553" t="s">
        <v>901</v>
      </c>
      <c r="F1553" t="s">
        <v>1064</v>
      </c>
      <c r="G1553" t="str">
        <f>_xlfn.TEXTJOIN(",",TRUE,_xlfn._xlws.FILTER(GPU_brand[GPU brand], (GPU_brand[GPU brand text]&lt;&gt;"") * ISNUMBER(SEARCH(GPU_brand[GPU brand text], B1553)), ""))</f>
        <v>ASUS</v>
      </c>
      <c r="H1553" t="str">
        <f>_xlfn.TEXTJOIN(",",TRUE,_xlfn._xlws.FILTER(Chipset_Table[Chipset], (Chipset_Table[Chipset text]&lt;&gt;"") * ISNUMBER(SEARCH(Chipset_Table[Chipset text], B1553)), ""))</f>
        <v>RX 9060 XT</v>
      </c>
      <c r="I1553" t="str">
        <f>_xlfn.TEXTJOIN(",",TRUE,_xlfn._xlws.FILTER(VRAM_table[Video memory], (VRAM_table[Video memory text]&lt;&gt;"") * ISNUMBER(SEARCH(VRAM_table[Video memory text], B1553)), ""))</f>
        <v>16GB,16GB,6GB,6GB</v>
      </c>
    </row>
    <row r="1554" spans="1:9" x14ac:dyDescent="0.35">
      <c r="A1554" t="s">
        <v>782</v>
      </c>
      <c r="B1554" t="s">
        <v>916</v>
      </c>
      <c r="C1554">
        <v>10990000</v>
      </c>
      <c r="D1554">
        <v>10990000</v>
      </c>
      <c r="E1554" t="s">
        <v>917</v>
      </c>
      <c r="F1554" t="s">
        <v>1064</v>
      </c>
      <c r="G1554" t="str">
        <f>_xlfn.TEXTJOIN(",",TRUE,_xlfn._xlws.FILTER(GPU_brand[GPU brand], (GPU_brand[GPU brand text]&lt;&gt;"") * ISNUMBER(SEARCH(GPU_brand[GPU brand text], B1554)), ""))</f>
        <v>Gigabyte</v>
      </c>
      <c r="H1554" t="str">
        <f>_xlfn.TEXTJOIN(",",TRUE,_xlfn._xlws.FILTER(Chipset_Table[Chipset], (Chipset_Table[Chipset text]&lt;&gt;"") * ISNUMBER(SEARCH(Chipset_Table[Chipset text], B1554)), ""))</f>
        <v>GeForce RTX 5060,GeForce RTX 5060 Ti,RTX 5060 Ti</v>
      </c>
      <c r="I1554" t="str">
        <f>_xlfn.TEXTJOIN(",",TRUE,_xlfn._xlws.FILTER(VRAM_table[Video memory], (VRAM_table[Video memory text]&lt;&gt;"") * ISNUMBER(SEARCH(VRAM_table[Video memory text], B1554)), ""))</f>
        <v>8GB,8GB</v>
      </c>
    </row>
    <row r="1555" spans="1:9" x14ac:dyDescent="0.35">
      <c r="A1555" t="s">
        <v>782</v>
      </c>
      <c r="B1555" t="s">
        <v>914</v>
      </c>
      <c r="C1555">
        <v>17290000</v>
      </c>
      <c r="D1555">
        <v>17290000</v>
      </c>
      <c r="E1555" t="s">
        <v>915</v>
      </c>
      <c r="F1555" t="s">
        <v>1064</v>
      </c>
      <c r="G1555" t="str">
        <f>_xlfn.TEXTJOIN(",",TRUE,_xlfn._xlws.FILTER(GPU_brand[GPU brand], (GPU_brand[GPU brand text]&lt;&gt;"") * ISNUMBER(SEARCH(GPU_brand[GPU brand text], B1555)), ""))</f>
        <v>Colorful</v>
      </c>
      <c r="H1555" t="str">
        <f>_xlfn.TEXTJOIN(",",TRUE,_xlfn._xlws.FILTER(Chipset_Table[Chipset], (Chipset_Table[Chipset text]&lt;&gt;"") * ISNUMBER(SEARCH(Chipset_Table[Chipset text], B1555)), ""))</f>
        <v>GeForce RTX 5060,GeForce RTX 5060 Ti,RTX 5060 Ti</v>
      </c>
      <c r="I1555" t="str">
        <f>_xlfn.TEXTJOIN(",",TRUE,_xlfn._xlws.FILTER(VRAM_table[Video memory], (VRAM_table[Video memory text]&lt;&gt;"") * ISNUMBER(SEARCH(VRAM_table[Video memory text], B1555)), ""))</f>
        <v>16GB,16GB,6GB,6GB</v>
      </c>
    </row>
    <row r="1556" spans="1:9" x14ac:dyDescent="0.35">
      <c r="A1556" t="s">
        <v>782</v>
      </c>
      <c r="B1556" t="s">
        <v>920</v>
      </c>
      <c r="C1556">
        <v>36990000</v>
      </c>
      <c r="D1556">
        <v>36990000</v>
      </c>
      <c r="E1556" t="s">
        <v>921</v>
      </c>
      <c r="F1556" t="s">
        <v>1064</v>
      </c>
      <c r="G1556" t="str">
        <f>_xlfn.TEXTJOIN(",",TRUE,_xlfn._xlws.FILTER(GPU_brand[GPU brand], (GPU_brand[GPU brand text]&lt;&gt;"") * ISNUMBER(SEARCH(GPU_brand[GPU brand text], B1556)), ""))</f>
        <v>INNO3D</v>
      </c>
      <c r="H1556" t="str">
        <f>_xlfn.TEXTJOIN(",",TRUE,_xlfn._xlws.FILTER(Chipset_Table[Chipset], (Chipset_Table[Chipset text]&lt;&gt;"") * ISNUMBER(SEARCH(Chipset_Table[Chipset text], B1556)), ""))</f>
        <v>RTX 5080</v>
      </c>
      <c r="I1556" t="str">
        <f>_xlfn.TEXTJOIN(",",TRUE,_xlfn._xlws.FILTER(VRAM_table[Video memory], (VRAM_table[Video memory text]&lt;&gt;"") * ISNUMBER(SEARCH(VRAM_table[Video memory text], B1556)), ""))</f>
        <v>16GB</v>
      </c>
    </row>
    <row r="1557" spans="1:9" x14ac:dyDescent="0.35">
      <c r="A1557" t="s">
        <v>782</v>
      </c>
      <c r="B1557" t="s">
        <v>890</v>
      </c>
      <c r="C1557">
        <v>1090000</v>
      </c>
      <c r="D1557">
        <v>1090000</v>
      </c>
      <c r="E1557" t="s">
        <v>891</v>
      </c>
      <c r="F1557" t="s">
        <v>1064</v>
      </c>
      <c r="G1557" t="str">
        <f>_xlfn.TEXTJOIN(",",TRUE,_xlfn._xlws.FILTER(GPU_brand[GPU brand], (GPU_brand[GPU brand text]&lt;&gt;"") * ISNUMBER(SEARCH(GPU_brand[GPU brand text], B1557)), ""))</f>
        <v>ASUS</v>
      </c>
      <c r="H1557" t="str">
        <f>_xlfn.TEXTJOIN(",",TRUE,_xlfn._xlws.FILTER(Chipset_Table[Chipset], (Chipset_Table[Chipset text]&lt;&gt;"") * ISNUMBER(SEARCH(Chipset_Table[Chipset text], B1557)), ""))</f>
        <v>GeForce GT 710</v>
      </c>
      <c r="I1557" t="str">
        <f>_xlfn.TEXTJOIN(",",TRUE,_xlfn._xlws.FILTER(VRAM_table[Video memory], (VRAM_table[Video memory text]&lt;&gt;"") * ISNUMBER(SEARCH(VRAM_table[Video memory text], B1557)), ""))</f>
        <v>2GB</v>
      </c>
    </row>
    <row r="1558" spans="1:9" x14ac:dyDescent="0.35">
      <c r="A1558" t="s">
        <v>782</v>
      </c>
      <c r="B1558" t="s">
        <v>904</v>
      </c>
      <c r="C1558">
        <v>15990000</v>
      </c>
      <c r="D1558">
        <v>15990000</v>
      </c>
      <c r="E1558" t="s">
        <v>905</v>
      </c>
      <c r="F1558" t="s">
        <v>1064</v>
      </c>
      <c r="G1558" t="str">
        <f>_xlfn.TEXTJOIN(",",TRUE,_xlfn._xlws.FILTER(GPU_brand[GPU brand], (GPU_brand[GPU brand text]&lt;&gt;"") * ISNUMBER(SEARCH(GPU_brand[GPU brand text], B1558)), ""))</f>
        <v>Colorful</v>
      </c>
      <c r="H1558" t="str">
        <f>_xlfn.TEXTJOIN(",",TRUE,_xlfn._xlws.FILTER(Chipset_Table[Chipset], (Chipset_Table[Chipset text]&lt;&gt;"") * ISNUMBER(SEARCH(Chipset_Table[Chipset text], B1558)), ""))</f>
        <v>GeForce RTX 5060,GeForce RTX 5060 Ti,RTX 5060 Ti</v>
      </c>
      <c r="I1558" t="str">
        <f>_xlfn.TEXTJOIN(",",TRUE,_xlfn._xlws.FILTER(VRAM_table[Video memory], (VRAM_table[Video memory text]&lt;&gt;"") * ISNUMBER(SEARCH(VRAM_table[Video memory text], B1558)), ""))</f>
        <v>16GB,16GB,6GB,6GB</v>
      </c>
    </row>
    <row r="1559" spans="1:9" x14ac:dyDescent="0.35">
      <c r="A1559" t="s">
        <v>782</v>
      </c>
      <c r="B1559" t="s">
        <v>910</v>
      </c>
      <c r="C1559">
        <v>37990000</v>
      </c>
      <c r="D1559">
        <v>37990000</v>
      </c>
      <c r="E1559" t="s">
        <v>911</v>
      </c>
      <c r="F1559" t="s">
        <v>1064</v>
      </c>
      <c r="G1559" t="str">
        <f>_xlfn.TEXTJOIN(",",TRUE,_xlfn._xlws.FILTER(GPU_brand[GPU brand], (GPU_brand[GPU brand text]&lt;&gt;"") * ISNUMBER(SEARCH(GPU_brand[GPU brand text], B1559)), ""))</f>
        <v>Gigabyte</v>
      </c>
      <c r="H1559" t="str">
        <f>_xlfn.TEXTJOIN(",",TRUE,_xlfn._xlws.FILTER(Chipset_Table[Chipset], (Chipset_Table[Chipset text]&lt;&gt;"") * ISNUMBER(SEARCH(Chipset_Table[Chipset text], B1559)), ""))</f>
        <v>GeForce RTX 5080,RTX 5080</v>
      </c>
      <c r="I1559" t="str">
        <f>_xlfn.TEXTJOIN(",",TRUE,_xlfn._xlws.FILTER(VRAM_table[Video memory], (VRAM_table[Video memory text]&lt;&gt;"") * ISNUMBER(SEARCH(VRAM_table[Video memory text], B1559)), ""))</f>
        <v>16GB,16GB,6GB,6GB</v>
      </c>
    </row>
    <row r="1560" spans="1:9" x14ac:dyDescent="0.35">
      <c r="A1560" t="s">
        <v>782</v>
      </c>
      <c r="B1560" t="s">
        <v>884</v>
      </c>
      <c r="C1560">
        <v>17849000</v>
      </c>
      <c r="D1560">
        <v>17849000</v>
      </c>
      <c r="E1560" t="s">
        <v>885</v>
      </c>
      <c r="F1560" t="s">
        <v>1064</v>
      </c>
      <c r="G1560" t="str">
        <f>_xlfn.TEXTJOIN(",",TRUE,_xlfn._xlws.FILTER(GPU_brand[GPU brand], (GPU_brand[GPU brand text]&lt;&gt;"") * ISNUMBER(SEARCH(GPU_brand[GPU brand text], B1560)), ""))</f>
        <v>Gigabyte</v>
      </c>
      <c r="H1560" t="str">
        <f>_xlfn.TEXTJOIN(",",TRUE,_xlfn._xlws.FILTER(Chipset_Table[Chipset], (Chipset_Table[Chipset text]&lt;&gt;"") * ISNUMBER(SEARCH(Chipset_Table[Chipset text], B1560)), ""))</f>
        <v>RTX 5070</v>
      </c>
      <c r="I1560" t="str">
        <f>_xlfn.TEXTJOIN(",",TRUE,_xlfn._xlws.FILTER(VRAM_table[Video memory], (VRAM_table[Video memory text]&lt;&gt;"") * ISNUMBER(SEARCH(VRAM_table[Video memory text], B1560)), ""))</f>
        <v>12GB,2GB</v>
      </c>
    </row>
    <row r="1561" spans="1:9" x14ac:dyDescent="0.35">
      <c r="A1561" t="s">
        <v>782</v>
      </c>
      <c r="B1561" t="s">
        <v>906</v>
      </c>
      <c r="C1561">
        <v>10590000</v>
      </c>
      <c r="D1561">
        <v>10590000</v>
      </c>
      <c r="E1561" t="s">
        <v>907</v>
      </c>
      <c r="F1561" t="s">
        <v>1064</v>
      </c>
      <c r="G1561" t="str">
        <f>_xlfn.TEXTJOIN(",",TRUE,_xlfn._xlws.FILTER(GPU_brand[GPU brand], (GPU_brand[GPU brand text]&lt;&gt;"") * ISNUMBER(SEARCH(GPU_brand[GPU brand text], B1561)), ""))</f>
        <v>MSI</v>
      </c>
      <c r="H1561" t="str">
        <f>_xlfn.TEXTJOIN(",",TRUE,_xlfn._xlws.FILTER(Chipset_Table[Chipset], (Chipset_Table[Chipset text]&lt;&gt;"") * ISNUMBER(SEARCH(Chipset_Table[Chipset text], B1561)), ""))</f>
        <v>GeForce RTX 5060</v>
      </c>
      <c r="I1561" t="str">
        <f>_xlfn.TEXTJOIN(",",TRUE,_xlfn._xlws.FILTER(VRAM_table[Video memory], (VRAM_table[Video memory text]&lt;&gt;"") * ISNUMBER(SEARCH(VRAM_table[Video memory text], B1561)), ""))</f>
        <v>8GB,8GB</v>
      </c>
    </row>
    <row r="1562" spans="1:9" x14ac:dyDescent="0.35">
      <c r="A1562" t="s">
        <v>782</v>
      </c>
      <c r="B1562" t="s">
        <v>922</v>
      </c>
      <c r="C1562">
        <v>21990000</v>
      </c>
      <c r="D1562">
        <v>21990000</v>
      </c>
      <c r="E1562" t="s">
        <v>923</v>
      </c>
      <c r="F1562" t="s">
        <v>1064</v>
      </c>
      <c r="G1562" t="str">
        <f>_xlfn.TEXTJOIN(",",TRUE,_xlfn._xlws.FILTER(GPU_brand[GPU brand], (GPU_brand[GPU brand text]&lt;&gt;"") * ISNUMBER(SEARCH(GPU_brand[GPU brand text], B1562)), ""))</f>
        <v>ASUS</v>
      </c>
      <c r="H1562" t="str">
        <f>_xlfn.TEXTJOIN(",",TRUE,_xlfn._xlws.FILTER(Chipset_Table[Chipset], (Chipset_Table[Chipset text]&lt;&gt;"") * ISNUMBER(SEARCH(Chipset_Table[Chipset text], B1562)), ""))</f>
        <v>RX 6900 XT</v>
      </c>
      <c r="I1562" t="str">
        <f>_xlfn.TEXTJOIN(",",TRUE,_xlfn._xlws.FILTER(VRAM_table[Video memory], (VRAM_table[Video memory text]&lt;&gt;"") * ISNUMBER(SEARCH(VRAM_table[Video memory text], B1562)), ""))</f>
        <v>16GB,16GB,6GB,6GB</v>
      </c>
    </row>
    <row r="1563" spans="1:9" x14ac:dyDescent="0.35">
      <c r="A1563" t="s">
        <v>782</v>
      </c>
      <c r="B1563" t="s">
        <v>930</v>
      </c>
      <c r="C1563">
        <v>28990000</v>
      </c>
      <c r="D1563">
        <v>28990000</v>
      </c>
      <c r="E1563" t="s">
        <v>931</v>
      </c>
      <c r="F1563" t="s">
        <v>1064</v>
      </c>
      <c r="G1563" t="str">
        <f>_xlfn.TEXTJOIN(",",TRUE,_xlfn._xlws.FILTER(GPU_brand[GPU brand], (GPU_brand[GPU brand text]&lt;&gt;"") * ISNUMBER(SEARCH(GPU_brand[GPU brand text], B1563)), ""))</f>
        <v>Gigabyte</v>
      </c>
      <c r="H1563" t="str">
        <f>_xlfn.TEXTJOIN(",",TRUE,_xlfn._xlws.FILTER(Chipset_Table[Chipset], (Chipset_Table[Chipset text]&lt;&gt;"") * ISNUMBER(SEARCH(Chipset_Table[Chipset text], B1563)), ""))</f>
        <v>GeForce RTX 5070,GeForce RTX 5070 Ti,RTX 5070</v>
      </c>
      <c r="I1563" t="str">
        <f>_xlfn.TEXTJOIN(",",TRUE,_xlfn._xlws.FILTER(VRAM_table[Video memory], (VRAM_table[Video memory text]&lt;&gt;"") * ISNUMBER(SEARCH(VRAM_table[Video memory text], B1563)), ""))</f>
        <v>16GB,16GB,6GB,6GB</v>
      </c>
    </row>
    <row r="1564" spans="1:9" x14ac:dyDescent="0.35">
      <c r="A1564" t="s">
        <v>782</v>
      </c>
      <c r="B1564" t="s">
        <v>918</v>
      </c>
      <c r="C1564">
        <v>12790000</v>
      </c>
      <c r="D1564">
        <v>12790000</v>
      </c>
      <c r="E1564" t="s">
        <v>919</v>
      </c>
      <c r="F1564" t="s">
        <v>1064</v>
      </c>
      <c r="G1564" t="str">
        <f>_xlfn.TEXTJOIN(",",TRUE,_xlfn._xlws.FILTER(GPU_brand[GPU brand], (GPU_brand[GPU brand text]&lt;&gt;"") * ISNUMBER(SEARCH(GPU_brand[GPU brand text], B1564)), ""))</f>
        <v>MSI</v>
      </c>
      <c r="H1564" t="str">
        <f>_xlfn.TEXTJOIN(",",TRUE,_xlfn._xlws.FILTER(Chipset_Table[Chipset], (Chipset_Table[Chipset text]&lt;&gt;"") * ISNUMBER(SEARCH(Chipset_Table[Chipset text], B1564)), ""))</f>
        <v>GeForce RTX 5060,GeForce RTX 5060 Ti,RTX 5060 Ti</v>
      </c>
      <c r="I1564" t="str">
        <f>_xlfn.TEXTJOIN(",",TRUE,_xlfn._xlws.FILTER(VRAM_table[Video memory], (VRAM_table[Video memory text]&lt;&gt;"") * ISNUMBER(SEARCH(VRAM_table[Video memory text], B1564)), ""))</f>
        <v>8GB,8GB</v>
      </c>
    </row>
    <row r="1565" spans="1:9" x14ac:dyDescent="0.35">
      <c r="A1565" t="s">
        <v>782</v>
      </c>
      <c r="B1565" t="s">
        <v>938</v>
      </c>
      <c r="C1565">
        <v>13990000</v>
      </c>
      <c r="D1565">
        <v>13990000</v>
      </c>
      <c r="E1565" t="s">
        <v>939</v>
      </c>
      <c r="F1565" t="s">
        <v>1064</v>
      </c>
      <c r="G1565" t="str">
        <f>_xlfn.TEXTJOIN(",",TRUE,_xlfn._xlws.FILTER(GPU_brand[GPU brand], (GPU_brand[GPU brand text]&lt;&gt;"") * ISNUMBER(SEARCH(GPU_brand[GPU brand text], B1565)), ""))</f>
        <v>Colorful</v>
      </c>
      <c r="H1565" t="str">
        <f>_xlfn.TEXTJOIN(",",TRUE,_xlfn._xlws.FILTER(Chipset_Table[Chipset], (Chipset_Table[Chipset text]&lt;&gt;"") * ISNUMBER(SEARCH(Chipset_Table[Chipset text], B1565)), ""))</f>
        <v>GeForce RTX 5060,GeForce RTX 5060 Ti,RTX 5060 Ti</v>
      </c>
      <c r="I1565" t="str">
        <f>_xlfn.TEXTJOIN(",",TRUE,_xlfn._xlws.FILTER(VRAM_table[Video memory], (VRAM_table[Video memory text]&lt;&gt;"") * ISNUMBER(SEARCH(VRAM_table[Video memory text], B1565)), ""))</f>
        <v>8GB,8GB</v>
      </c>
    </row>
    <row r="1566" spans="1:9" x14ac:dyDescent="0.35">
      <c r="A1566" t="s">
        <v>782</v>
      </c>
      <c r="B1566" t="s">
        <v>924</v>
      </c>
      <c r="C1566">
        <v>25690000</v>
      </c>
      <c r="D1566">
        <v>25690000</v>
      </c>
      <c r="E1566" t="s">
        <v>925</v>
      </c>
      <c r="F1566" t="s">
        <v>1064</v>
      </c>
      <c r="G1566" t="str">
        <f>_xlfn.TEXTJOIN(",",TRUE,_xlfn._xlws.FILTER(GPU_brand[GPU brand], (GPU_brand[GPU brand text]&lt;&gt;"") * ISNUMBER(SEARCH(GPU_brand[GPU brand text], B1566)), ""))</f>
        <v>Sapphire</v>
      </c>
      <c r="H1566" t="str">
        <f>_xlfn.TEXTJOIN(",",TRUE,_xlfn._xlws.FILTER(Chipset_Table[Chipset], (Chipset_Table[Chipset text]&lt;&gt;"") * ISNUMBER(SEARCH(Chipset_Table[Chipset text], B1566)), ""))</f>
        <v>RX 7900XTX</v>
      </c>
      <c r="I1566" t="str">
        <f>_xlfn.TEXTJOIN(",",TRUE,_xlfn._xlws.FILTER(VRAM_table[Video memory], (VRAM_table[Video memory text]&lt;&gt;"") * ISNUMBER(SEARCH(VRAM_table[Video memory text], B1566)), ""))</f>
        <v>24GB,4GB</v>
      </c>
    </row>
    <row r="1567" spans="1:9" x14ac:dyDescent="0.35">
      <c r="A1567" t="s">
        <v>782</v>
      </c>
      <c r="B1567" t="s">
        <v>934</v>
      </c>
      <c r="C1567">
        <v>23990000</v>
      </c>
      <c r="D1567">
        <v>23990000</v>
      </c>
      <c r="E1567" t="s">
        <v>935</v>
      </c>
      <c r="F1567" t="s">
        <v>1064</v>
      </c>
      <c r="G1567" t="str">
        <f>_xlfn.TEXTJOIN(",",TRUE,_xlfn._xlws.FILTER(GPU_brand[GPU brand], (GPU_brand[GPU brand text]&lt;&gt;"") * ISNUMBER(SEARCH(GPU_brand[GPU brand text], B1567)), ""))</f>
        <v>Gigabyte</v>
      </c>
      <c r="H1567" t="str">
        <f>_xlfn.TEXTJOIN(",",TRUE,_xlfn._xlws.FILTER(Chipset_Table[Chipset], (Chipset_Table[Chipset text]&lt;&gt;"") * ISNUMBER(SEARCH(Chipset_Table[Chipset text], B1567)), ""))</f>
        <v>GeForce RTX 5070,RTX 5070</v>
      </c>
      <c r="I1567" t="str">
        <f>_xlfn.TEXTJOIN(",",TRUE,_xlfn._xlws.FILTER(VRAM_table[Video memory], (VRAM_table[Video memory text]&lt;&gt;"") * ISNUMBER(SEARCH(VRAM_table[Video memory text], B1567)), ""))</f>
        <v>12GB,2GB</v>
      </c>
    </row>
    <row r="1568" spans="1:9" x14ac:dyDescent="0.35">
      <c r="A1568" t="s">
        <v>782</v>
      </c>
      <c r="B1568" t="s">
        <v>926</v>
      </c>
      <c r="C1568">
        <v>21390000</v>
      </c>
      <c r="D1568">
        <v>21390000</v>
      </c>
      <c r="E1568" t="s">
        <v>927</v>
      </c>
      <c r="F1568" t="s">
        <v>1064</v>
      </c>
      <c r="G1568" t="str">
        <f>_xlfn.TEXTJOIN(",",TRUE,_xlfn._xlws.FILTER(GPU_brand[GPU brand], (GPU_brand[GPU brand text]&lt;&gt;"") * ISNUMBER(SEARCH(GPU_brand[GPU brand text], B1568)), ""))</f>
        <v>ASUS</v>
      </c>
      <c r="H1568" t="str">
        <f>_xlfn.TEXTJOIN(",",TRUE,_xlfn._xlws.FILTER(Chipset_Table[Chipset], (Chipset_Table[Chipset text]&lt;&gt;"") * ISNUMBER(SEARCH(Chipset_Table[Chipset text], B1568)), ""))</f>
        <v>RX 9070</v>
      </c>
      <c r="I1568" t="str">
        <f>_xlfn.TEXTJOIN(",",TRUE,_xlfn._xlws.FILTER(VRAM_table[Video memory], (VRAM_table[Video memory text]&lt;&gt;"") * ISNUMBER(SEARCH(VRAM_table[Video memory text], B1568)), ""))</f>
        <v>16GB,16GB,6GB,6GB</v>
      </c>
    </row>
    <row r="1569" spans="1:9" x14ac:dyDescent="0.35">
      <c r="A1569" t="s">
        <v>782</v>
      </c>
      <c r="B1569" t="s">
        <v>928</v>
      </c>
      <c r="C1569">
        <v>20990000</v>
      </c>
      <c r="D1569">
        <v>20990000</v>
      </c>
      <c r="E1569" t="s">
        <v>929</v>
      </c>
      <c r="F1569" t="s">
        <v>1064</v>
      </c>
      <c r="G1569" t="str">
        <f>_xlfn.TEXTJOIN(",",TRUE,_xlfn._xlws.FILTER(GPU_brand[GPU brand], (GPU_brand[GPU brand text]&lt;&gt;"") * ISNUMBER(SEARCH(GPU_brand[GPU brand text], B1569)), ""))</f>
        <v>Colorful</v>
      </c>
      <c r="H1569" t="str">
        <f>_xlfn.TEXTJOIN(",",TRUE,_xlfn._xlws.FILTER(Chipset_Table[Chipset], (Chipset_Table[Chipset text]&lt;&gt;"") * ISNUMBER(SEARCH(Chipset_Table[Chipset text], B1569)), ""))</f>
        <v>GeForce RTX 5070,RTX 5070</v>
      </c>
      <c r="I1569" t="str">
        <f>_xlfn.TEXTJOIN(",",TRUE,_xlfn._xlws.FILTER(VRAM_table[Video memory], (VRAM_table[Video memory text]&lt;&gt;"") * ISNUMBER(SEARCH(VRAM_table[Video memory text], B1569)), ""))</f>
        <v>12GB,2GB</v>
      </c>
    </row>
    <row r="1570" spans="1:9" x14ac:dyDescent="0.35">
      <c r="A1570" t="s">
        <v>782</v>
      </c>
      <c r="B1570" t="s">
        <v>1060</v>
      </c>
      <c r="C1570">
        <v>11190000</v>
      </c>
      <c r="D1570">
        <v>11190000</v>
      </c>
      <c r="E1570" t="s">
        <v>1061</v>
      </c>
      <c r="F1570" t="s">
        <v>1064</v>
      </c>
      <c r="G1570" t="str">
        <f>_xlfn.TEXTJOIN(",",TRUE,_xlfn._xlws.FILTER(GPU_brand[GPU brand], (GPU_brand[GPU brand text]&lt;&gt;"") * ISNUMBER(SEARCH(GPU_brand[GPU brand text], B1570)), ""))</f>
        <v>Gigabyte</v>
      </c>
      <c r="H1570" t="str">
        <f>_xlfn.TEXTJOIN(",",TRUE,_xlfn._xlws.FILTER(Chipset_Table[Chipset], (Chipset_Table[Chipset text]&lt;&gt;"") * ISNUMBER(SEARCH(Chipset_Table[Chipset text], B1570)), ""))</f>
        <v>GeForce RTX 5060,GeForce RTX 5060 Ti,RTX 5060 Ti</v>
      </c>
      <c r="I1570" t="str">
        <f>_xlfn.TEXTJOIN(",",TRUE,_xlfn._xlws.FILTER(VRAM_table[Video memory], (VRAM_table[Video memory text]&lt;&gt;"") * ISNUMBER(SEARCH(VRAM_table[Video memory text], B1570)), ""))</f>
        <v>8GB,8GB</v>
      </c>
    </row>
    <row r="1571" spans="1:9" x14ac:dyDescent="0.35">
      <c r="A1571" t="s">
        <v>782</v>
      </c>
      <c r="B1571" t="s">
        <v>958</v>
      </c>
      <c r="C1571">
        <v>32990000</v>
      </c>
      <c r="D1571">
        <v>32990000</v>
      </c>
      <c r="E1571" t="s">
        <v>959</v>
      </c>
      <c r="F1571" t="s">
        <v>1064</v>
      </c>
      <c r="G1571" t="str">
        <f>_xlfn.TEXTJOIN(",",TRUE,_xlfn._xlws.FILTER(GPU_brand[GPU brand], (GPU_brand[GPU brand text]&lt;&gt;"") * ISNUMBER(SEARCH(GPU_brand[GPU brand text], B1571)), ""))</f>
        <v>INNO3D</v>
      </c>
      <c r="H1571" t="str">
        <f>_xlfn.TEXTJOIN(",",TRUE,_xlfn._xlws.FILTER(Chipset_Table[Chipset], (Chipset_Table[Chipset text]&lt;&gt;"") * ISNUMBER(SEARCH(Chipset_Table[Chipset text], B1571)), ""))</f>
        <v>GeForce RTX 5080,RTX 5080</v>
      </c>
      <c r="I1571" t="str">
        <f>_xlfn.TEXTJOIN(",",TRUE,_xlfn._xlws.FILTER(VRAM_table[Video memory], (VRAM_table[Video memory text]&lt;&gt;"") * ISNUMBER(SEARCH(VRAM_table[Video memory text], B1571)), ""))</f>
        <v>16GB,16GB,6GB,6GB</v>
      </c>
    </row>
    <row r="1572" spans="1:9" x14ac:dyDescent="0.35">
      <c r="A1572" t="s">
        <v>782</v>
      </c>
      <c r="B1572" t="s">
        <v>956</v>
      </c>
      <c r="C1572">
        <v>22290000</v>
      </c>
      <c r="D1572">
        <v>22290000</v>
      </c>
      <c r="E1572" t="s">
        <v>957</v>
      </c>
      <c r="F1572" t="s">
        <v>1064</v>
      </c>
      <c r="G1572" t="str">
        <f>_xlfn.TEXTJOIN(",",TRUE,_xlfn._xlws.FILTER(GPU_brand[GPU brand], (GPU_brand[GPU brand text]&lt;&gt;"") * ISNUMBER(SEARCH(GPU_brand[GPU brand text], B1572)), ""))</f>
        <v>ZOTAC</v>
      </c>
      <c r="H1572" t="str">
        <f>_xlfn.TEXTJOIN(",",TRUE,_xlfn._xlws.FILTER(Chipset_Table[Chipset], (Chipset_Table[Chipset text]&lt;&gt;"") * ISNUMBER(SEARCH(Chipset_Table[Chipset text], B1572)), ""))</f>
        <v>GeForce RTX 5070,RTX 5070</v>
      </c>
      <c r="I1572" t="str">
        <f>_xlfn.TEXTJOIN(",",TRUE,_xlfn._xlws.FILTER(VRAM_table[Video memory], (VRAM_table[Video memory text]&lt;&gt;"") * ISNUMBER(SEARCH(VRAM_table[Video memory text], B1572)), ""))</f>
        <v>12GB,2GB</v>
      </c>
    </row>
    <row r="1573" spans="1:9" x14ac:dyDescent="0.35">
      <c r="A1573" t="s">
        <v>782</v>
      </c>
      <c r="B1573" t="s">
        <v>954</v>
      </c>
      <c r="C1573">
        <v>19890000</v>
      </c>
      <c r="D1573">
        <v>19890000</v>
      </c>
      <c r="E1573" t="s">
        <v>955</v>
      </c>
      <c r="F1573" t="s">
        <v>1064</v>
      </c>
      <c r="G1573" t="str">
        <f>_xlfn.TEXTJOIN(",",TRUE,_xlfn._xlws.FILTER(GPU_brand[GPU brand], (GPU_brand[GPU brand text]&lt;&gt;"") * ISNUMBER(SEARCH(GPU_brand[GPU brand text], B1573)), ""))</f>
        <v>ASUS</v>
      </c>
      <c r="H1573" t="str">
        <f>_xlfn.TEXTJOIN(",",TRUE,_xlfn._xlws.FILTER(Chipset_Table[Chipset], (Chipset_Table[Chipset text]&lt;&gt;"") * ISNUMBER(SEARCH(Chipset_Table[Chipset text], B1573)), ""))</f>
        <v>RX 9070</v>
      </c>
      <c r="I1573" t="str">
        <f>_xlfn.TEXTJOIN(",",TRUE,_xlfn._xlws.FILTER(VRAM_table[Video memory], (VRAM_table[Video memory text]&lt;&gt;"") * ISNUMBER(SEARCH(VRAM_table[Video memory text], B1573)), ""))</f>
        <v>16GB,16GB,6GB,6GB</v>
      </c>
    </row>
    <row r="1574" spans="1:9" x14ac:dyDescent="0.35">
      <c r="A1574" t="s">
        <v>782</v>
      </c>
      <c r="B1574" t="s">
        <v>968</v>
      </c>
      <c r="C1574">
        <v>11190000</v>
      </c>
      <c r="D1574">
        <v>11190000</v>
      </c>
      <c r="E1574" t="s">
        <v>969</v>
      </c>
      <c r="F1574" t="s">
        <v>1064</v>
      </c>
      <c r="G1574" t="str">
        <f>_xlfn.TEXTJOIN(",",TRUE,_xlfn._xlws.FILTER(GPU_brand[GPU brand], (GPU_brand[GPU brand text]&lt;&gt;"") * ISNUMBER(SEARCH(GPU_brand[GPU brand text], B1574)), ""))</f>
        <v>MSI</v>
      </c>
      <c r="H1574" t="str">
        <f>_xlfn.TEXTJOIN(",",TRUE,_xlfn._xlws.FILTER(Chipset_Table[Chipset], (Chipset_Table[Chipset text]&lt;&gt;"") * ISNUMBER(SEARCH(Chipset_Table[Chipset text], B1574)), ""))</f>
        <v>GeForce RTX 5060</v>
      </c>
      <c r="I1574" t="str">
        <f>_xlfn.TEXTJOIN(",",TRUE,_xlfn._xlws.FILTER(VRAM_table[Video memory], (VRAM_table[Video memory text]&lt;&gt;"") * ISNUMBER(SEARCH(VRAM_table[Video memory text], B1574)), ""))</f>
        <v>8GB,8GB</v>
      </c>
    </row>
    <row r="1575" spans="1:9" x14ac:dyDescent="0.35">
      <c r="A1575" t="s">
        <v>782</v>
      </c>
      <c r="B1575" t="s">
        <v>950</v>
      </c>
      <c r="C1575">
        <v>41290000</v>
      </c>
      <c r="D1575">
        <v>41290000</v>
      </c>
      <c r="E1575" t="s">
        <v>951</v>
      </c>
      <c r="F1575" t="s">
        <v>1064</v>
      </c>
      <c r="G1575" t="str">
        <f>_xlfn.TEXTJOIN(",",TRUE,_xlfn._xlws.FILTER(GPU_brand[GPU brand], (GPU_brand[GPU brand text]&lt;&gt;"") * ISNUMBER(SEARCH(GPU_brand[GPU brand text], B1575)), ""))</f>
        <v>Leadtek</v>
      </c>
      <c r="H1575" t="str">
        <f>_xlfn.TEXTJOIN(",",TRUE,_xlfn._xlws.FILTER(Chipset_Table[Chipset], (Chipset_Table[Chipset text]&lt;&gt;"") * ISNUMBER(SEARCH(Chipset_Table[Chipset text], B1575)), ""))</f>
        <v>RTX 4000</v>
      </c>
      <c r="I1575" t="str">
        <f>_xlfn.TEXTJOIN(",",TRUE,_xlfn._xlws.FILTER(VRAM_table[Video memory], (VRAM_table[Video memory text]&lt;&gt;"") * ISNUMBER(SEARCH(VRAM_table[Video memory text], B1575)), ""))</f>
        <v>20GB</v>
      </c>
    </row>
    <row r="1576" spans="1:9" x14ac:dyDescent="0.35">
      <c r="A1576" t="s">
        <v>782</v>
      </c>
      <c r="B1576" t="s">
        <v>932</v>
      </c>
      <c r="C1576">
        <v>15990000</v>
      </c>
      <c r="D1576">
        <v>15990000</v>
      </c>
      <c r="E1576" t="s">
        <v>933</v>
      </c>
      <c r="F1576" t="s">
        <v>1064</v>
      </c>
      <c r="G1576" t="str">
        <f>_xlfn.TEXTJOIN(",",TRUE,_xlfn._xlws.FILTER(GPU_brand[GPU brand], (GPU_brand[GPU brand text]&lt;&gt;"") * ISNUMBER(SEARCH(GPU_brand[GPU brand text], B1576)), ""))</f>
        <v>Colorful</v>
      </c>
      <c r="H1576" t="str">
        <f>_xlfn.TEXTJOIN(",",TRUE,_xlfn._xlws.FILTER(Chipset_Table[Chipset], (Chipset_Table[Chipset text]&lt;&gt;"") * ISNUMBER(SEARCH(Chipset_Table[Chipset text], B1576)), ""))</f>
        <v>GeForce RTX 5060,GeForce RTX 5060 Ti,RTX 5060 Ti</v>
      </c>
      <c r="I1576" t="str">
        <f>_xlfn.TEXTJOIN(",",TRUE,_xlfn._xlws.FILTER(VRAM_table[Video memory], (VRAM_table[Video memory text]&lt;&gt;"") * ISNUMBER(SEARCH(VRAM_table[Video memory text], B1576)), ""))</f>
        <v>16GB,16GB,6GB,6GB</v>
      </c>
    </row>
    <row r="1577" spans="1:9" x14ac:dyDescent="0.35">
      <c r="A1577" t="s">
        <v>782</v>
      </c>
      <c r="B1577" t="s">
        <v>970</v>
      </c>
      <c r="C1577">
        <v>20990000</v>
      </c>
      <c r="D1577">
        <v>20990000</v>
      </c>
      <c r="E1577" t="s">
        <v>971</v>
      </c>
      <c r="F1577" t="s">
        <v>1064</v>
      </c>
      <c r="G1577" t="str">
        <f>_xlfn.TEXTJOIN(",",TRUE,_xlfn._xlws.FILTER(GPU_brand[GPU brand], (GPU_brand[GPU brand text]&lt;&gt;"") * ISNUMBER(SEARCH(GPU_brand[GPU brand text], B1577)), ""))</f>
        <v>ASUS</v>
      </c>
      <c r="H1577" t="str">
        <f>_xlfn.TEXTJOIN(",",TRUE,_xlfn._xlws.FILTER(Chipset_Table[Chipset], (Chipset_Table[Chipset text]&lt;&gt;"") * ISNUMBER(SEARCH(Chipset_Table[Chipset text], B1577)), ""))</f>
        <v>RX 6900 XT</v>
      </c>
      <c r="I1577" t="str">
        <f>_xlfn.TEXTJOIN(",",TRUE,_xlfn._xlws.FILTER(VRAM_table[Video memory], (VRAM_table[Video memory text]&lt;&gt;"") * ISNUMBER(SEARCH(VRAM_table[Video memory text], B1577)), ""))</f>
        <v>16GB,16GB,6GB,6GB</v>
      </c>
    </row>
    <row r="1578" spans="1:9" x14ac:dyDescent="0.35">
      <c r="A1578" t="s">
        <v>782</v>
      </c>
      <c r="B1578" t="s">
        <v>964</v>
      </c>
      <c r="C1578">
        <v>6990000</v>
      </c>
      <c r="D1578">
        <v>6990000</v>
      </c>
      <c r="E1578" t="s">
        <v>965</v>
      </c>
      <c r="F1578" t="s">
        <v>1064</v>
      </c>
      <c r="G1578" t="str">
        <f>_xlfn.TEXTJOIN(",",TRUE,_xlfn._xlws.FILTER(GPU_brand[GPU brand], (GPU_brand[GPU brand text]&lt;&gt;"") * ISNUMBER(SEARCH(GPU_brand[GPU brand text], B1578)), ""))</f>
        <v>Sapphire</v>
      </c>
      <c r="H1578" t="str">
        <f>_xlfn.TEXTJOIN(",",TRUE,_xlfn._xlws.FILTER(Chipset_Table[Chipset], (Chipset_Table[Chipset text]&lt;&gt;"") * ISNUMBER(SEARCH(Chipset_Table[Chipset text], B1578)), ""))</f>
        <v>RX 7600</v>
      </c>
      <c r="I1578" t="str">
        <f>_xlfn.TEXTJOIN(",",TRUE,_xlfn._xlws.FILTER(VRAM_table[Video memory], (VRAM_table[Video memory text]&lt;&gt;"") * ISNUMBER(SEARCH(VRAM_table[Video memory text], B1578)), ""))</f>
        <v>8GB,8GB</v>
      </c>
    </row>
    <row r="1579" spans="1:9" x14ac:dyDescent="0.35">
      <c r="A1579" t="s">
        <v>782</v>
      </c>
      <c r="B1579" t="s">
        <v>952</v>
      </c>
      <c r="C1579">
        <v>14790000</v>
      </c>
      <c r="D1579">
        <v>14790000</v>
      </c>
      <c r="E1579" t="s">
        <v>953</v>
      </c>
      <c r="F1579" t="s">
        <v>1064</v>
      </c>
      <c r="G1579" t="str">
        <f>_xlfn.TEXTJOIN(",",TRUE,_xlfn._xlws.FILTER(GPU_brand[GPU brand], (GPU_brand[GPU brand text]&lt;&gt;"") * ISNUMBER(SEARCH(GPU_brand[GPU brand text], B1579)), ""))</f>
        <v>Sapphire</v>
      </c>
      <c r="H1579" t="str">
        <f>_xlfn.TEXTJOIN(",",TRUE,_xlfn._xlws.FILTER(Chipset_Table[Chipset], (Chipset_Table[Chipset text]&lt;&gt;"") * ISNUMBER(SEARCH(Chipset_Table[Chipset text], B1579)), ""))</f>
        <v>RX 9060 XT</v>
      </c>
      <c r="I1579" t="str">
        <f>_xlfn.TEXTJOIN(",",TRUE,_xlfn._xlws.FILTER(VRAM_table[Video memory], (VRAM_table[Video memory text]&lt;&gt;"") * ISNUMBER(SEARCH(VRAM_table[Video memory text], B1579)), ""))</f>
        <v>16GB,16GB,6GB,6GB</v>
      </c>
    </row>
    <row r="1580" spans="1:9" x14ac:dyDescent="0.35">
      <c r="A1580" t="s">
        <v>782</v>
      </c>
      <c r="B1580" t="s">
        <v>982</v>
      </c>
      <c r="C1580">
        <v>9590000</v>
      </c>
      <c r="D1580">
        <v>9590000</v>
      </c>
      <c r="E1580" t="s">
        <v>983</v>
      </c>
      <c r="F1580" t="s">
        <v>1064</v>
      </c>
      <c r="G1580" t="str">
        <f>_xlfn.TEXTJOIN(",",TRUE,_xlfn._xlws.FILTER(GPU_brand[GPU brand], (GPU_brand[GPU brand text]&lt;&gt;"") * ISNUMBER(SEARCH(GPU_brand[GPU brand text], B1580)), ""))</f>
        <v>INNO3D</v>
      </c>
      <c r="H1580" t="str">
        <f>_xlfn.TEXTJOIN(",",TRUE,_xlfn._xlws.FILTER(Chipset_Table[Chipset], (Chipset_Table[Chipset text]&lt;&gt;"") * ISNUMBER(SEARCH(Chipset_Table[Chipset text], B1580)), ""))</f>
        <v>GeForce RTX 5060</v>
      </c>
      <c r="I1580" t="str">
        <f>_xlfn.TEXTJOIN(",",TRUE,_xlfn._xlws.FILTER(VRAM_table[Video memory], (VRAM_table[Video memory text]&lt;&gt;"") * ISNUMBER(SEARCH(VRAM_table[Video memory text], B1580)), ""))</f>
        <v>8GB,8GB</v>
      </c>
    </row>
    <row r="1581" spans="1:9" x14ac:dyDescent="0.35">
      <c r="A1581" t="s">
        <v>782</v>
      </c>
      <c r="B1581" t="s">
        <v>1062</v>
      </c>
      <c r="C1581">
        <v>20390000</v>
      </c>
      <c r="D1581">
        <v>20390000</v>
      </c>
      <c r="E1581" t="s">
        <v>1063</v>
      </c>
      <c r="F1581" t="s">
        <v>1064</v>
      </c>
      <c r="G1581" t="str">
        <f>_xlfn.TEXTJOIN(",",TRUE,_xlfn._xlws.FILTER(GPU_brand[GPU brand], (GPU_brand[GPU brand text]&lt;&gt;"") * ISNUMBER(SEARCH(GPU_brand[GPU brand text], B1581)), ""))</f>
        <v>MSI</v>
      </c>
      <c r="H1581" t="str">
        <f>_xlfn.TEXTJOIN(",",TRUE,_xlfn._xlws.FILTER(Chipset_Table[Chipset], (Chipset_Table[Chipset text]&lt;&gt;"") * ISNUMBER(SEARCH(Chipset_Table[Chipset text], B1581)), ""))</f>
        <v>GeForce RTX 5070,RTX 5070</v>
      </c>
      <c r="I1581" t="str">
        <f>_xlfn.TEXTJOIN(",",TRUE,_xlfn._xlws.FILTER(VRAM_table[Video memory], (VRAM_table[Video memory text]&lt;&gt;"") * ISNUMBER(SEARCH(VRAM_table[Video memory text], B1581)), ""))</f>
        <v>12GB,2GB</v>
      </c>
    </row>
    <row r="1582" spans="1:9" x14ac:dyDescent="0.35">
      <c r="A1582" t="s">
        <v>782</v>
      </c>
      <c r="B1582" t="s">
        <v>962</v>
      </c>
      <c r="C1582">
        <v>32990000</v>
      </c>
      <c r="D1582">
        <v>32990000</v>
      </c>
      <c r="E1582" t="s">
        <v>963</v>
      </c>
      <c r="F1582" t="s">
        <v>1064</v>
      </c>
      <c r="G1582" t="str">
        <f>_xlfn.TEXTJOIN(",",TRUE,_xlfn._xlws.FILTER(GPU_brand[GPU brand], (GPU_brand[GPU brand text]&lt;&gt;"") * ISNUMBER(SEARCH(GPU_brand[GPU brand text], B1582)), ""))</f>
        <v>ASUS</v>
      </c>
      <c r="H1582" t="str">
        <f>_xlfn.TEXTJOIN(",",TRUE,_xlfn._xlws.FILTER(Chipset_Table[Chipset], (Chipset_Table[Chipset text]&lt;&gt;"") * ISNUMBER(SEARCH(Chipset_Table[Chipset text], B1582)), ""))</f>
        <v>GeForce RTX 5070,GeForce RTX 5070 Ti,RTX 5070</v>
      </c>
      <c r="I1582" t="str">
        <f>_xlfn.TEXTJOIN(",",TRUE,_xlfn._xlws.FILTER(VRAM_table[Video memory], (VRAM_table[Video memory text]&lt;&gt;"") * ISNUMBER(SEARCH(VRAM_table[Video memory text], B1582)), ""))</f>
        <v>16GB,16GB,6GB,6GB</v>
      </c>
    </row>
    <row r="1583" spans="1:9" x14ac:dyDescent="0.35">
      <c r="A1583" t="s">
        <v>782</v>
      </c>
      <c r="B1583" t="s">
        <v>976</v>
      </c>
      <c r="C1583">
        <v>18190000</v>
      </c>
      <c r="D1583">
        <v>18190000</v>
      </c>
      <c r="E1583" t="s">
        <v>977</v>
      </c>
      <c r="F1583" t="s">
        <v>1064</v>
      </c>
      <c r="G1583" t="str">
        <f>_xlfn.TEXTJOIN(",",TRUE,_xlfn._xlws.FILTER(GPU_brand[GPU brand], (GPU_brand[GPU brand text]&lt;&gt;"") * ISNUMBER(SEARCH(GPU_brand[GPU brand text], B1583)), ""))</f>
        <v>INNO3D</v>
      </c>
      <c r="H1583" t="str">
        <f>_xlfn.TEXTJOIN(",",TRUE,_xlfn._xlws.FILTER(Chipset_Table[Chipset], (Chipset_Table[Chipset text]&lt;&gt;"") * ISNUMBER(SEARCH(Chipset_Table[Chipset text], B1583)), ""))</f>
        <v>GeForce RTX 5070,RTX 5070</v>
      </c>
      <c r="I1583" t="str">
        <f>_xlfn.TEXTJOIN(",",TRUE,_xlfn._xlws.FILTER(VRAM_table[Video memory], (VRAM_table[Video memory text]&lt;&gt;"") * ISNUMBER(SEARCH(VRAM_table[Video memory text], B1583)), ""))</f>
        <v>12GB,2GB</v>
      </c>
    </row>
    <row r="1584" spans="1:9" x14ac:dyDescent="0.35">
      <c r="A1584" t="s">
        <v>782</v>
      </c>
      <c r="B1584" t="s">
        <v>986</v>
      </c>
      <c r="C1584">
        <v>17490000</v>
      </c>
      <c r="D1584">
        <v>17490000</v>
      </c>
      <c r="E1584" t="s">
        <v>987</v>
      </c>
      <c r="F1584" t="s">
        <v>1064</v>
      </c>
      <c r="G1584" t="str">
        <f>_xlfn.TEXTJOIN(",",TRUE,_xlfn._xlws.FILTER(GPU_brand[GPU brand], (GPU_brand[GPU brand text]&lt;&gt;"") * ISNUMBER(SEARCH(GPU_brand[GPU brand text], B1584)), ""))</f>
        <v>PNY</v>
      </c>
      <c r="H1584" t="str">
        <f>_xlfn.TEXTJOIN(",",TRUE,_xlfn._xlws.FILTER(Chipset_Table[Chipset], (Chipset_Table[Chipset text]&lt;&gt;"") * ISNUMBER(SEARCH(Chipset_Table[Chipset text], B1584)), ""))</f>
        <v>GeForce RTX 5060,GeForce RTX 5060 Ti,RTX 5060 Ti</v>
      </c>
      <c r="I1584" t="str">
        <f>_xlfn.TEXTJOIN(",",TRUE,_xlfn._xlws.FILTER(VRAM_table[Video memory], (VRAM_table[Video memory text]&lt;&gt;"") * ISNUMBER(SEARCH(VRAM_table[Video memory text], B1584)), ""))</f>
        <v>16GB</v>
      </c>
    </row>
    <row r="1585" spans="1:9" x14ac:dyDescent="0.35">
      <c r="A1585" t="s">
        <v>782</v>
      </c>
      <c r="B1585" t="s">
        <v>960</v>
      </c>
      <c r="C1585">
        <v>44990000</v>
      </c>
      <c r="D1585">
        <v>44990000</v>
      </c>
      <c r="E1585" t="s">
        <v>961</v>
      </c>
      <c r="F1585" t="s">
        <v>1064</v>
      </c>
      <c r="G1585" t="str">
        <f>_xlfn.TEXTJOIN(",",TRUE,_xlfn._xlws.FILTER(GPU_brand[GPU brand], (GPU_brand[GPU brand text]&lt;&gt;"") * ISNUMBER(SEARCH(GPU_brand[GPU brand text], B1585)), ""))</f>
        <v>ASUS</v>
      </c>
      <c r="H1585" t="str">
        <f>_xlfn.TEXTJOIN(",",TRUE,_xlfn._xlws.FILTER(Chipset_Table[Chipset], (Chipset_Table[Chipset text]&lt;&gt;"") * ISNUMBER(SEARCH(Chipset_Table[Chipset text], B1585)), ""))</f>
        <v>GeForce RTX 5080,RTX 5080</v>
      </c>
      <c r="I1585" t="str">
        <f>_xlfn.TEXTJOIN(",",TRUE,_xlfn._xlws.FILTER(VRAM_table[Video memory], (VRAM_table[Video memory text]&lt;&gt;"") * ISNUMBER(SEARCH(VRAM_table[Video memory text], B1585)), ""))</f>
        <v>16GB,16GB,6GB,6GB</v>
      </c>
    </row>
    <row r="1586" spans="1:9" x14ac:dyDescent="0.35">
      <c r="A1586" t="s">
        <v>782</v>
      </c>
      <c r="B1586" t="s">
        <v>988</v>
      </c>
      <c r="C1586">
        <v>13490000</v>
      </c>
      <c r="D1586">
        <v>13490000</v>
      </c>
      <c r="E1586" t="s">
        <v>989</v>
      </c>
      <c r="F1586" t="s">
        <v>1064</v>
      </c>
      <c r="G1586" t="str">
        <f>_xlfn.TEXTJOIN(",",TRUE,_xlfn._xlws.FILTER(GPU_brand[GPU brand], (GPU_brand[GPU brand text]&lt;&gt;"") * ISNUMBER(SEARCH(GPU_brand[GPU brand text], B1586)), ""))</f>
        <v>Colorful</v>
      </c>
      <c r="H1586" t="str">
        <f>_xlfn.TEXTJOIN(",",TRUE,_xlfn._xlws.FILTER(Chipset_Table[Chipset], (Chipset_Table[Chipset text]&lt;&gt;"") * ISNUMBER(SEARCH(Chipset_Table[Chipset text], B1586)), ""))</f>
        <v>GeForce RTX 5060,GeForce RTX 5060 Ti,RTX 5060 Ti</v>
      </c>
      <c r="I1586" t="str">
        <f>_xlfn.TEXTJOIN(",",TRUE,_xlfn._xlws.FILTER(VRAM_table[Video memory], (VRAM_table[Video memory text]&lt;&gt;"") * ISNUMBER(SEARCH(VRAM_table[Video memory text], B1586)), ""))</f>
        <v>8GB,8GB</v>
      </c>
    </row>
    <row r="1587" spans="1:9" x14ac:dyDescent="0.35">
      <c r="A1587" t="s">
        <v>782</v>
      </c>
      <c r="B1587" t="s">
        <v>974</v>
      </c>
      <c r="C1587">
        <v>12690000</v>
      </c>
      <c r="D1587">
        <v>12690000</v>
      </c>
      <c r="E1587" t="s">
        <v>975</v>
      </c>
      <c r="F1587" t="s">
        <v>1064</v>
      </c>
      <c r="G1587" t="str">
        <f>_xlfn.TEXTJOIN(",",TRUE,_xlfn._xlws.FILTER(GPU_brand[GPU brand], (GPU_brand[GPU brand text]&lt;&gt;"") * ISNUMBER(SEARCH(GPU_brand[GPU brand text], B1587)), ""))</f>
        <v>ASRock</v>
      </c>
      <c r="H1587" t="str">
        <f>_xlfn.TEXTJOIN(",",TRUE,_xlfn._xlws.FILTER(Chipset_Table[Chipset], (Chipset_Table[Chipset text]&lt;&gt;"") * ISNUMBER(SEARCH(Chipset_Table[Chipset text], B1587)), ""))</f>
        <v>RX 9060 XT</v>
      </c>
      <c r="I1587" t="str">
        <f>_xlfn.TEXTJOIN(",",TRUE,_xlfn._xlws.FILTER(VRAM_table[Video memory], (VRAM_table[Video memory text]&lt;&gt;"") * ISNUMBER(SEARCH(VRAM_table[Video memory text], B1587)), ""))</f>
        <v>16GB,16GB,6GB,6GB</v>
      </c>
    </row>
    <row r="1588" spans="1:9" x14ac:dyDescent="0.35">
      <c r="A1588" t="s">
        <v>782</v>
      </c>
      <c r="B1588" t="s">
        <v>898</v>
      </c>
      <c r="C1588">
        <v>31990000</v>
      </c>
      <c r="D1588">
        <v>31990000</v>
      </c>
      <c r="E1588" t="s">
        <v>899</v>
      </c>
      <c r="F1588" t="s">
        <v>1064</v>
      </c>
      <c r="G1588" t="str">
        <f>_xlfn.TEXTJOIN(",",TRUE,_xlfn._xlws.FILTER(GPU_brand[GPU brand], (GPU_brand[GPU brand text]&lt;&gt;"") * ISNUMBER(SEARCH(GPU_brand[GPU brand text], B1588)), ""))</f>
        <v>ZOTAC</v>
      </c>
      <c r="H1588" t="str">
        <f>_xlfn.TEXTJOIN(",",TRUE,_xlfn._xlws.FILTER(Chipset_Table[Chipset], (Chipset_Table[Chipset text]&lt;&gt;"") * ISNUMBER(SEARCH(Chipset_Table[Chipset text], B1588)), ""))</f>
        <v>GeForce RTX 5080,RTX 5080</v>
      </c>
      <c r="I1588" t="str">
        <f>_xlfn.TEXTJOIN(",",TRUE,_xlfn._xlws.FILTER(VRAM_table[Video memory], (VRAM_table[Video memory text]&lt;&gt;"") * ISNUMBER(SEARCH(VRAM_table[Video memory text], B1588)), ""))</f>
        <v>16GB,16GB,6GB,6GB</v>
      </c>
    </row>
    <row r="1589" spans="1:9" x14ac:dyDescent="0.35">
      <c r="A1589" t="s">
        <v>782</v>
      </c>
      <c r="B1589" t="s">
        <v>1011</v>
      </c>
      <c r="C1589">
        <v>11790000</v>
      </c>
      <c r="D1589">
        <v>11790000</v>
      </c>
      <c r="E1589" t="s">
        <v>1012</v>
      </c>
      <c r="F1589" t="s">
        <v>1064</v>
      </c>
      <c r="G1589" t="str">
        <f>_xlfn.TEXTJOIN(",",TRUE,_xlfn._xlws.FILTER(GPU_brand[GPU brand], (GPU_brand[GPU brand text]&lt;&gt;"") * ISNUMBER(SEARCH(GPU_brand[GPU brand text], B1589)), ""))</f>
        <v>MSI</v>
      </c>
      <c r="H1589" t="str">
        <f>_xlfn.TEXTJOIN(",",TRUE,_xlfn._xlws.FILTER(Chipset_Table[Chipset], (Chipset_Table[Chipset text]&lt;&gt;"") * ISNUMBER(SEARCH(Chipset_Table[Chipset text], B1589)), ""))</f>
        <v>GeForce RTX 5060</v>
      </c>
      <c r="I1589" t="str">
        <f>_xlfn.TEXTJOIN(",",TRUE,_xlfn._xlws.FILTER(VRAM_table[Video memory], (VRAM_table[Video memory text]&lt;&gt;"") * ISNUMBER(SEARCH(VRAM_table[Video memory text], B1589)), ""))</f>
        <v>8GB</v>
      </c>
    </row>
    <row r="1590" spans="1:9" x14ac:dyDescent="0.35">
      <c r="A1590" t="s">
        <v>782</v>
      </c>
      <c r="B1590" t="s">
        <v>999</v>
      </c>
      <c r="C1590">
        <v>21590000</v>
      </c>
      <c r="D1590">
        <v>21590000</v>
      </c>
      <c r="E1590" t="s">
        <v>1000</v>
      </c>
      <c r="F1590" t="s">
        <v>1064</v>
      </c>
      <c r="G1590" t="str">
        <f>_xlfn.TEXTJOIN(",",TRUE,_xlfn._xlws.FILTER(GPU_brand[GPU brand], (GPU_brand[GPU brand text]&lt;&gt;"") * ISNUMBER(SEARCH(GPU_brand[GPU brand text], B1590)), ""))</f>
        <v>MSI</v>
      </c>
      <c r="H1590" t="str">
        <f>_xlfn.TEXTJOIN(",",TRUE,_xlfn._xlws.FILTER(Chipset_Table[Chipset], (Chipset_Table[Chipset text]&lt;&gt;"") * ISNUMBER(SEARCH(Chipset_Table[Chipset text], B1590)), ""))</f>
        <v>GeForce RTX 5070,RTX 5070</v>
      </c>
      <c r="I1590" t="str">
        <f>_xlfn.TEXTJOIN(",",TRUE,_xlfn._xlws.FILTER(VRAM_table[Video memory], (VRAM_table[Video memory text]&lt;&gt;"") * ISNUMBER(SEARCH(VRAM_table[Video memory text], B1590)), ""))</f>
        <v>12GB,2GB</v>
      </c>
    </row>
    <row r="1591" spans="1:9" x14ac:dyDescent="0.35">
      <c r="A1591" t="s">
        <v>782</v>
      </c>
      <c r="B1591" t="s">
        <v>972</v>
      </c>
      <c r="C1591">
        <v>37890000</v>
      </c>
      <c r="D1591">
        <v>37890000</v>
      </c>
      <c r="E1591" t="s">
        <v>973</v>
      </c>
      <c r="F1591" t="s">
        <v>1064</v>
      </c>
      <c r="G1591" t="str">
        <f>_xlfn.TEXTJOIN(",",TRUE,_xlfn._xlws.FILTER(GPU_brand[GPU brand], (GPU_brand[GPU brand text]&lt;&gt;"") * ISNUMBER(SEARCH(GPU_brand[GPU brand text], B1591)), ""))</f>
        <v>MSI</v>
      </c>
      <c r="H1591" t="str">
        <f>_xlfn.TEXTJOIN(",",TRUE,_xlfn._xlws.FILTER(Chipset_Table[Chipset], (Chipset_Table[Chipset text]&lt;&gt;"") * ISNUMBER(SEARCH(Chipset_Table[Chipset text], B1591)), ""))</f>
        <v>RTX 5080</v>
      </c>
      <c r="I1591" t="str">
        <f>_xlfn.TEXTJOIN(",",TRUE,_xlfn._xlws.FILTER(VRAM_table[Video memory], (VRAM_table[Video memory text]&lt;&gt;"") * ISNUMBER(SEARCH(VRAM_table[Video memory text], B1591)), ""))</f>
        <v>16GB,6GB</v>
      </c>
    </row>
    <row r="1592" spans="1:9" x14ac:dyDescent="0.35">
      <c r="A1592" t="s">
        <v>782</v>
      </c>
      <c r="B1592" t="s">
        <v>995</v>
      </c>
      <c r="C1592">
        <v>21990000</v>
      </c>
      <c r="D1592">
        <v>21990000</v>
      </c>
      <c r="E1592" t="s">
        <v>996</v>
      </c>
      <c r="F1592" t="s">
        <v>1064</v>
      </c>
      <c r="G1592" t="str">
        <f>_xlfn.TEXTJOIN(",",TRUE,_xlfn._xlws.FILTER(GPU_brand[GPU brand], (GPU_brand[GPU brand text]&lt;&gt;"") * ISNUMBER(SEARCH(GPU_brand[GPU brand text], B1592)), ""))</f>
        <v>ASRock</v>
      </c>
      <c r="H1592" t="str">
        <f>_xlfn.TEXTJOIN(",",TRUE,_xlfn._xlws.FILTER(Chipset_Table[Chipset], (Chipset_Table[Chipset text]&lt;&gt;"") * ISNUMBER(SEARCH(Chipset_Table[Chipset text], B1592)), ""))</f>
        <v>RX 9070</v>
      </c>
      <c r="I1592" t="str">
        <f>_xlfn.TEXTJOIN(",",TRUE,_xlfn._xlws.FILTER(VRAM_table[Video memory], (VRAM_table[Video memory text]&lt;&gt;"") * ISNUMBER(SEARCH(VRAM_table[Video memory text], B1592)), ""))</f>
        <v>16GB,16GB,6GB,6GB</v>
      </c>
    </row>
    <row r="1593" spans="1:9" x14ac:dyDescent="0.35">
      <c r="A1593" t="s">
        <v>782</v>
      </c>
      <c r="B1593" t="s">
        <v>990</v>
      </c>
      <c r="C1593">
        <v>8890000</v>
      </c>
      <c r="D1593">
        <v>8890000</v>
      </c>
      <c r="E1593" t="s">
        <v>991</v>
      </c>
      <c r="F1593" t="s">
        <v>1064</v>
      </c>
      <c r="G1593" t="str">
        <f>_xlfn.TEXTJOIN(",",TRUE,_xlfn._xlws.FILTER(GPU_brand[GPU brand], (GPU_brand[GPU brand text]&lt;&gt;"") * ISNUMBER(SEARCH(GPU_brand[GPU brand text], B1593)), ""))</f>
        <v/>
      </c>
      <c r="H1593" t="str">
        <f>_xlfn.TEXTJOIN(",",TRUE,_xlfn._xlws.FILTER(Chipset_Table[Chipset], (Chipset_Table[Chipset text]&lt;&gt;"") * ISNUMBER(SEARCH(Chipset_Table[Chipset text], B1593)), ""))</f>
        <v>NVIDIA T1000</v>
      </c>
      <c r="I1593" t="str">
        <f>_xlfn.TEXTJOIN(",",TRUE,_xlfn._xlws.FILTER(VRAM_table[Video memory], (VRAM_table[Video memory text]&lt;&gt;"") * ISNUMBER(SEARCH(VRAM_table[Video memory text], B1593)), ""))</f>
        <v>4GB,4GB</v>
      </c>
    </row>
    <row r="1594" spans="1:9" x14ac:dyDescent="0.35">
      <c r="A1594" t="s">
        <v>782</v>
      </c>
      <c r="B1594" t="s">
        <v>978</v>
      </c>
      <c r="C1594">
        <v>35090000</v>
      </c>
      <c r="D1594">
        <v>35090000</v>
      </c>
      <c r="E1594" t="s">
        <v>979</v>
      </c>
      <c r="F1594" t="s">
        <v>1064</v>
      </c>
      <c r="G1594" t="str">
        <f>_xlfn.TEXTJOIN(",",TRUE,_xlfn._xlws.FILTER(GPU_brand[GPU brand], (GPU_brand[GPU brand text]&lt;&gt;"") * ISNUMBER(SEARCH(GPU_brand[GPU brand text], B1594)), ""))</f>
        <v>PNY</v>
      </c>
      <c r="H1594" t="str">
        <f>_xlfn.TEXTJOIN(",",TRUE,_xlfn._xlws.FILTER(Chipset_Table[Chipset], (Chipset_Table[Chipset text]&lt;&gt;"") * ISNUMBER(SEARCH(Chipset_Table[Chipset text], B1594)), ""))</f>
        <v>GeForce RTX 5080,RTX 5080</v>
      </c>
      <c r="I1594" t="str">
        <f>_xlfn.TEXTJOIN(",",TRUE,_xlfn._xlws.FILTER(VRAM_table[Video memory], (VRAM_table[Video memory text]&lt;&gt;"") * ISNUMBER(SEARCH(VRAM_table[Video memory text], B1594)), ""))</f>
        <v>16GB,16GB,6GB,6GB</v>
      </c>
    </row>
    <row r="1595" spans="1:9" x14ac:dyDescent="0.35">
      <c r="A1595" t="s">
        <v>782</v>
      </c>
      <c r="B1595" t="s">
        <v>1005</v>
      </c>
      <c r="C1595">
        <v>37990000</v>
      </c>
      <c r="D1595">
        <v>37990000</v>
      </c>
      <c r="E1595" t="s">
        <v>1006</v>
      </c>
      <c r="F1595" t="s">
        <v>1064</v>
      </c>
      <c r="G1595" t="str">
        <f>_xlfn.TEXTJOIN(",",TRUE,_xlfn._xlws.FILTER(GPU_brand[GPU brand], (GPU_brand[GPU brand text]&lt;&gt;"") * ISNUMBER(SEARCH(GPU_brand[GPU brand text], B1595)), ""))</f>
        <v>ASUS</v>
      </c>
      <c r="H1595" t="str">
        <f>_xlfn.TEXTJOIN(",",TRUE,_xlfn._xlws.FILTER(Chipset_Table[Chipset], (Chipset_Table[Chipset text]&lt;&gt;"") * ISNUMBER(SEARCH(Chipset_Table[Chipset text], B1595)), ""))</f>
        <v>RTX 5080</v>
      </c>
      <c r="I1595" t="str">
        <f>_xlfn.TEXTJOIN(",",TRUE,_xlfn._xlws.FILTER(VRAM_table[Video memory], (VRAM_table[Video memory text]&lt;&gt;"") * ISNUMBER(SEARCH(VRAM_table[Video memory text], B1595)), ""))</f>
        <v>16GB,16GB,6GB,6GB</v>
      </c>
    </row>
    <row r="1596" spans="1:9" x14ac:dyDescent="0.35">
      <c r="A1596" t="s">
        <v>782</v>
      </c>
      <c r="B1596" t="s">
        <v>944</v>
      </c>
      <c r="C1596">
        <v>9190000</v>
      </c>
      <c r="D1596">
        <v>9190000</v>
      </c>
      <c r="E1596" t="s">
        <v>945</v>
      </c>
      <c r="F1596" t="s">
        <v>1064</v>
      </c>
      <c r="G1596" t="str">
        <f>_xlfn.TEXTJOIN(",",TRUE,_xlfn._xlws.FILTER(GPU_brand[GPU brand], (GPU_brand[GPU brand text]&lt;&gt;"") * ISNUMBER(SEARCH(GPU_brand[GPU brand text], B1596)), ""))</f>
        <v>ZOTAC</v>
      </c>
      <c r="H1596" t="str">
        <f>_xlfn.TEXTJOIN(",",TRUE,_xlfn._xlws.FILTER(Chipset_Table[Chipset], (Chipset_Table[Chipset text]&lt;&gt;"") * ISNUMBER(SEARCH(Chipset_Table[Chipset text], B1596)), ""))</f>
        <v>GeForce RTX 5060</v>
      </c>
      <c r="I1596" t="str">
        <f>_xlfn.TEXTJOIN(",",TRUE,_xlfn._xlws.FILTER(VRAM_table[Video memory], (VRAM_table[Video memory text]&lt;&gt;"") * ISNUMBER(SEARCH(VRAM_table[Video memory text], B1596)), ""))</f>
        <v>8GB,8GB</v>
      </c>
    </row>
    <row r="1597" spans="1:9" x14ac:dyDescent="0.35">
      <c r="A1597" t="s">
        <v>782</v>
      </c>
      <c r="B1597" t="s">
        <v>948</v>
      </c>
      <c r="C1597">
        <v>17990000</v>
      </c>
      <c r="D1597">
        <v>17990000</v>
      </c>
      <c r="E1597" t="s">
        <v>949</v>
      </c>
      <c r="F1597" t="s">
        <v>1064</v>
      </c>
      <c r="G1597" t="str">
        <f>_xlfn.TEXTJOIN(",",TRUE,_xlfn._xlws.FILTER(GPU_brand[GPU brand], (GPU_brand[GPU brand text]&lt;&gt;"") * ISNUMBER(SEARCH(GPU_brand[GPU brand text], B1597)), ""))</f>
        <v>Gigabyte</v>
      </c>
      <c r="H1597" t="str">
        <f>_xlfn.TEXTJOIN(",",TRUE,_xlfn._xlws.FILTER(Chipset_Table[Chipset], (Chipset_Table[Chipset text]&lt;&gt;"") * ISNUMBER(SEARCH(Chipset_Table[Chipset text], B1597)), ""))</f>
        <v>GeForce RTX 5060,GeForce RTX 5060 Ti,RTX 5060 Ti</v>
      </c>
      <c r="I1597" t="str">
        <f>_xlfn.TEXTJOIN(",",TRUE,_xlfn._xlws.FILTER(VRAM_table[Video memory], (VRAM_table[Video memory text]&lt;&gt;"") * ISNUMBER(SEARCH(VRAM_table[Video memory text], B1597)), ""))</f>
        <v>16GB,16GB,6GB,6GB</v>
      </c>
    </row>
    <row r="1598" spans="1:9" x14ac:dyDescent="0.35">
      <c r="A1598" t="s">
        <v>782</v>
      </c>
      <c r="B1598" t="s">
        <v>946</v>
      </c>
      <c r="C1598">
        <v>9990000</v>
      </c>
      <c r="D1598">
        <v>9990000</v>
      </c>
      <c r="E1598" t="s">
        <v>947</v>
      </c>
      <c r="F1598" t="s">
        <v>1064</v>
      </c>
      <c r="G1598" t="str">
        <f>_xlfn.TEXTJOIN(",",TRUE,_xlfn._xlws.FILTER(GPU_brand[GPU brand], (GPU_brand[GPU brand text]&lt;&gt;"") * ISNUMBER(SEARCH(GPU_brand[GPU brand text], B1598)), ""))</f>
        <v>MSI</v>
      </c>
      <c r="H1598" t="str">
        <f>_xlfn.TEXTJOIN(",",TRUE,_xlfn._xlws.FILTER(Chipset_Table[Chipset], (Chipset_Table[Chipset text]&lt;&gt;"") * ISNUMBER(SEARCH(Chipset_Table[Chipset text], B1598)), ""))</f>
        <v>GeForce RTX 5060</v>
      </c>
      <c r="I1598" t="str">
        <f>_xlfn.TEXTJOIN(",",TRUE,_xlfn._xlws.FILTER(VRAM_table[Video memory], (VRAM_table[Video memory text]&lt;&gt;"") * ISNUMBER(SEARCH(VRAM_table[Video memory text], B1598)), ""))</f>
        <v>8GB,8GB</v>
      </c>
    </row>
    <row r="1599" spans="1:9" x14ac:dyDescent="0.35">
      <c r="A1599" t="s">
        <v>782</v>
      </c>
      <c r="B1599" t="s">
        <v>980</v>
      </c>
      <c r="C1599">
        <v>46990000</v>
      </c>
      <c r="D1599">
        <v>46990000</v>
      </c>
      <c r="E1599" t="s">
        <v>981</v>
      </c>
      <c r="F1599" t="s">
        <v>1064</v>
      </c>
      <c r="G1599" t="str">
        <f>_xlfn.TEXTJOIN(",",TRUE,_xlfn._xlws.FILTER(GPU_brand[GPU brand], (GPU_brand[GPU brand text]&lt;&gt;"") * ISNUMBER(SEARCH(GPU_brand[GPU brand text], B1599)), ""))</f>
        <v>ASUS</v>
      </c>
      <c r="H1599" t="str">
        <f>_xlfn.TEXTJOIN(",",TRUE,_xlfn._xlws.FILTER(Chipset_Table[Chipset], (Chipset_Table[Chipset text]&lt;&gt;"") * ISNUMBER(SEARCH(Chipset_Table[Chipset text], B1599)), ""))</f>
        <v>GeForce RTX 5080,RTX 5080</v>
      </c>
      <c r="I1599" t="str">
        <f>_xlfn.TEXTJOIN(",",TRUE,_xlfn._xlws.FILTER(VRAM_table[Video memory], (VRAM_table[Video memory text]&lt;&gt;"") * ISNUMBER(SEARCH(VRAM_table[Video memory text], B1599)), ""))</f>
        <v>16GB,16GB,6GB,6GB</v>
      </c>
    </row>
    <row r="1600" spans="1:9" x14ac:dyDescent="0.35">
      <c r="A1600" t="s">
        <v>782</v>
      </c>
      <c r="B1600" t="s">
        <v>1023</v>
      </c>
      <c r="C1600">
        <v>18390000</v>
      </c>
      <c r="D1600">
        <v>18390000</v>
      </c>
      <c r="E1600" t="s">
        <v>1024</v>
      </c>
      <c r="F1600" t="s">
        <v>1064</v>
      </c>
      <c r="G1600" t="str">
        <f>_xlfn.TEXTJOIN(",",TRUE,_xlfn._xlws.FILTER(GPU_brand[GPU brand], (GPU_brand[GPU brand text]&lt;&gt;"") * ISNUMBER(SEARCH(GPU_brand[GPU brand text], B1600)), ""))</f>
        <v>Colorful</v>
      </c>
      <c r="H1600" t="str">
        <f>_xlfn.TEXTJOIN(",",TRUE,_xlfn._xlws.FILTER(Chipset_Table[Chipset], (Chipset_Table[Chipset text]&lt;&gt;"") * ISNUMBER(SEARCH(Chipset_Table[Chipset text], B1600)), ""))</f>
        <v>GeForce RTX 4070</v>
      </c>
      <c r="I1600" t="str">
        <f>_xlfn.TEXTJOIN(",",TRUE,_xlfn._xlws.FILTER(VRAM_table[Video memory], (VRAM_table[Video memory text]&lt;&gt;"") * ISNUMBER(SEARCH(VRAM_table[Video memory text], B1600)), ""))</f>
        <v>12GB,2GB</v>
      </c>
    </row>
    <row r="1601" spans="1:9" x14ac:dyDescent="0.35">
      <c r="A1601" t="s">
        <v>782</v>
      </c>
      <c r="B1601" t="s">
        <v>1021</v>
      </c>
      <c r="C1601">
        <v>12790000</v>
      </c>
      <c r="D1601">
        <v>12790000</v>
      </c>
      <c r="E1601" t="s">
        <v>1022</v>
      </c>
      <c r="F1601" t="s">
        <v>1064</v>
      </c>
      <c r="G1601" t="str">
        <f>_xlfn.TEXTJOIN(",",TRUE,_xlfn._xlws.FILTER(GPU_brand[GPU brand], (GPU_brand[GPU brand text]&lt;&gt;"") * ISNUMBER(SEARCH(GPU_brand[GPU brand text], B1601)), ""))</f>
        <v>Colorful</v>
      </c>
      <c r="H1601" t="str">
        <f>_xlfn.TEXTJOIN(",",TRUE,_xlfn._xlws.FILTER(Chipset_Table[Chipset], (Chipset_Table[Chipset text]&lt;&gt;"") * ISNUMBER(SEARCH(Chipset_Table[Chipset text], B1601)), ""))</f>
        <v>GeForce RTX 5060,GeForce RTX 5060 Ti,RTX 5060 Ti</v>
      </c>
      <c r="I1601" t="str">
        <f>_xlfn.TEXTJOIN(",",TRUE,_xlfn._xlws.FILTER(VRAM_table[Video memory], (VRAM_table[Video memory text]&lt;&gt;"") * ISNUMBER(SEARCH(VRAM_table[Video memory text], B1601)), ""))</f>
        <v>8GB,8GB</v>
      </c>
    </row>
    <row r="1602" spans="1:9" x14ac:dyDescent="0.35">
      <c r="A1602" t="s">
        <v>782</v>
      </c>
      <c r="B1602" t="s">
        <v>1015</v>
      </c>
      <c r="C1602">
        <v>13890000</v>
      </c>
      <c r="D1602">
        <v>13890000</v>
      </c>
      <c r="E1602" t="s">
        <v>1016</v>
      </c>
      <c r="F1602" t="s">
        <v>1064</v>
      </c>
      <c r="G1602" t="str">
        <f>_xlfn.TEXTJOIN(",",TRUE,_xlfn._xlws.FILTER(GPU_brand[GPU brand], (GPU_brand[GPU brand text]&lt;&gt;"") * ISNUMBER(SEARCH(GPU_brand[GPU brand text], B1602)), ""))</f>
        <v>Colorful</v>
      </c>
      <c r="H1602" t="str">
        <f>_xlfn.TEXTJOIN(",",TRUE,_xlfn._xlws.FILTER(Chipset_Table[Chipset], (Chipset_Table[Chipset text]&lt;&gt;"") * ISNUMBER(SEARCH(Chipset_Table[Chipset text], B1602)), ""))</f>
        <v>GeForce RTX 5060,GeForce RTX 5060 Ti,RTX 5060 Ti</v>
      </c>
      <c r="I1602" t="str">
        <f>_xlfn.TEXTJOIN(",",TRUE,_xlfn._xlws.FILTER(VRAM_table[Video memory], (VRAM_table[Video memory text]&lt;&gt;"") * ISNUMBER(SEARCH(VRAM_table[Video memory text], B1602)), ""))</f>
        <v>8GB,8GB</v>
      </c>
    </row>
    <row r="1603" spans="1:9" x14ac:dyDescent="0.35">
      <c r="A1603" t="s">
        <v>782</v>
      </c>
      <c r="B1603" t="s">
        <v>1017</v>
      </c>
      <c r="C1603">
        <v>13390000</v>
      </c>
      <c r="D1603">
        <v>13390000</v>
      </c>
      <c r="E1603" t="s">
        <v>1018</v>
      </c>
      <c r="F1603" t="s">
        <v>1064</v>
      </c>
      <c r="G1603" t="str">
        <f>_xlfn.TEXTJOIN(",",TRUE,_xlfn._xlws.FILTER(GPU_brand[GPU brand], (GPU_brand[GPU brand text]&lt;&gt;"") * ISNUMBER(SEARCH(GPU_brand[GPU brand text], B1603)), ""))</f>
        <v>MSI</v>
      </c>
      <c r="H1603" t="str">
        <f>_xlfn.TEXTJOIN(",",TRUE,_xlfn._xlws.FILTER(Chipset_Table[Chipset], (Chipset_Table[Chipset text]&lt;&gt;"") * ISNUMBER(SEARCH(Chipset_Table[Chipset text], B1603)), ""))</f>
        <v>GeForce RTX 5060,GeForce RTX 5060 Ti,RTX 5060 Ti</v>
      </c>
      <c r="I1603" t="str">
        <f>_xlfn.TEXTJOIN(",",TRUE,_xlfn._xlws.FILTER(VRAM_table[Video memory], (VRAM_table[Video memory text]&lt;&gt;"") * ISNUMBER(SEARCH(VRAM_table[Video memory text], B1603)), ""))</f>
        <v>8GB,8GB</v>
      </c>
    </row>
    <row r="1604" spans="1:9" x14ac:dyDescent="0.35">
      <c r="A1604" t="s">
        <v>782</v>
      </c>
      <c r="B1604" t="s">
        <v>1027</v>
      </c>
      <c r="C1604">
        <v>11390000</v>
      </c>
      <c r="D1604">
        <v>11390000</v>
      </c>
      <c r="E1604" t="s">
        <v>1028</v>
      </c>
      <c r="F1604" t="s">
        <v>1064</v>
      </c>
      <c r="G1604" t="str">
        <f>_xlfn.TEXTJOIN(",",TRUE,_xlfn._xlws.FILTER(GPU_brand[GPU brand], (GPU_brand[GPU brand text]&lt;&gt;"") * ISNUMBER(SEARCH(GPU_brand[GPU brand text], B1604)), ""))</f>
        <v>ZOTAC</v>
      </c>
      <c r="H1604" t="str">
        <f>_xlfn.TEXTJOIN(",",TRUE,_xlfn._xlws.FILTER(Chipset_Table[Chipset], (Chipset_Table[Chipset text]&lt;&gt;"") * ISNUMBER(SEARCH(Chipset_Table[Chipset text], B1604)), ""))</f>
        <v>GeForce RTX 5060,GeForce RTX 5060 Ti,RTX 5060 Ti</v>
      </c>
      <c r="I1604" t="str">
        <f>_xlfn.TEXTJOIN(",",TRUE,_xlfn._xlws.FILTER(VRAM_table[Video memory], (VRAM_table[Video memory text]&lt;&gt;"") * ISNUMBER(SEARCH(VRAM_table[Video memory text], B1604)), ""))</f>
        <v>8GB,8GB</v>
      </c>
    </row>
    <row r="1605" spans="1:9" x14ac:dyDescent="0.35">
      <c r="A1605" t="s">
        <v>782</v>
      </c>
      <c r="B1605" t="s">
        <v>1013</v>
      </c>
      <c r="C1605">
        <v>22590000</v>
      </c>
      <c r="D1605">
        <v>22590000</v>
      </c>
      <c r="E1605" t="s">
        <v>1014</v>
      </c>
      <c r="F1605" t="s">
        <v>1064</v>
      </c>
      <c r="G1605" t="str">
        <f>_xlfn.TEXTJOIN(",",TRUE,_xlfn._xlws.FILTER(GPU_brand[GPU brand], (GPU_brand[GPU brand text]&lt;&gt;"") * ISNUMBER(SEARCH(GPU_brand[GPU brand text], B1605)), ""))</f>
        <v>ASRock</v>
      </c>
      <c r="H1605" t="str">
        <f>_xlfn.TEXTJOIN(",",TRUE,_xlfn._xlws.FILTER(Chipset_Table[Chipset], (Chipset_Table[Chipset text]&lt;&gt;"") * ISNUMBER(SEARCH(Chipset_Table[Chipset text], B1605)), ""))</f>
        <v>RX 9070</v>
      </c>
      <c r="I1605" t="str">
        <f>_xlfn.TEXTJOIN(",",TRUE,_xlfn._xlws.FILTER(VRAM_table[Video memory], (VRAM_table[Video memory text]&lt;&gt;"") * ISNUMBER(SEARCH(VRAM_table[Video memory text], B1605)), ""))</f>
        <v>16GB,16GB,6GB,6GB</v>
      </c>
    </row>
    <row r="1606" spans="1:9" x14ac:dyDescent="0.35">
      <c r="A1606" t="s">
        <v>782</v>
      </c>
      <c r="B1606" t="s">
        <v>1029</v>
      </c>
      <c r="C1606">
        <v>42490000</v>
      </c>
      <c r="D1606">
        <v>42490000</v>
      </c>
      <c r="E1606" t="s">
        <v>1030</v>
      </c>
      <c r="F1606" t="s">
        <v>1064</v>
      </c>
      <c r="G1606" t="str">
        <f>_xlfn.TEXTJOIN(",",TRUE,_xlfn._xlws.FILTER(GPU_brand[GPU brand], (GPU_brand[GPU brand text]&lt;&gt;"") * ISNUMBER(SEARCH(GPU_brand[GPU brand text], B1606)), ""))</f>
        <v>ASUS</v>
      </c>
      <c r="H1606" t="str">
        <f>_xlfn.TEXTJOIN(",",TRUE,_xlfn._xlws.FILTER(Chipset_Table[Chipset], (Chipset_Table[Chipset text]&lt;&gt;"") * ISNUMBER(SEARCH(Chipset_Table[Chipset text], B1606)), ""))</f>
        <v>GeForce RTX 5080,RTX 5080</v>
      </c>
      <c r="I1606" t="str">
        <f>_xlfn.TEXTJOIN(",",TRUE,_xlfn._xlws.FILTER(VRAM_table[Video memory], (VRAM_table[Video memory text]&lt;&gt;"") * ISNUMBER(SEARCH(VRAM_table[Video memory text], B1606)), ""))</f>
        <v>16GB,16GB,6GB,6GB</v>
      </c>
    </row>
    <row r="1607" spans="1:9" x14ac:dyDescent="0.35">
      <c r="A1607" t="s">
        <v>782</v>
      </c>
      <c r="B1607" t="s">
        <v>1041</v>
      </c>
      <c r="C1607">
        <v>26490000</v>
      </c>
      <c r="D1607">
        <v>26490000</v>
      </c>
      <c r="E1607" t="s">
        <v>1042</v>
      </c>
      <c r="F1607" t="s">
        <v>1064</v>
      </c>
      <c r="G1607" t="str">
        <f>_xlfn.TEXTJOIN(",",TRUE,_xlfn._xlws.FILTER(GPU_brand[GPU brand], (GPU_brand[GPU brand text]&lt;&gt;"") * ISNUMBER(SEARCH(GPU_brand[GPU brand text], B1607)), ""))</f>
        <v>Gigabyte</v>
      </c>
      <c r="H1607" t="str">
        <f>_xlfn.TEXTJOIN(",",TRUE,_xlfn._xlws.FILTER(Chipset_Table[Chipset], (Chipset_Table[Chipset text]&lt;&gt;"") * ISNUMBER(SEARCH(Chipset_Table[Chipset text], B1607)), ""))</f>
        <v>GeForce RTX 5070,GeForce RTX 5070 Ti,RTX 5070</v>
      </c>
      <c r="I1607" t="str">
        <f>_xlfn.TEXTJOIN(",",TRUE,_xlfn._xlws.FILTER(VRAM_table[Video memory], (VRAM_table[Video memory text]&lt;&gt;"") * ISNUMBER(SEARCH(VRAM_table[Video memory text], B1607)), ""))</f>
        <v>16GB,16GB,6GB,6GB</v>
      </c>
    </row>
    <row r="1608" spans="1:9" x14ac:dyDescent="0.35">
      <c r="A1608" t="s">
        <v>782</v>
      </c>
      <c r="B1608" t="s">
        <v>993</v>
      </c>
      <c r="C1608">
        <v>38290000</v>
      </c>
      <c r="D1608">
        <v>38290000</v>
      </c>
      <c r="E1608" t="s">
        <v>994</v>
      </c>
      <c r="F1608" t="s">
        <v>1064</v>
      </c>
      <c r="G1608" t="str">
        <f>_xlfn.TEXTJOIN(",",TRUE,_xlfn._xlws.FILTER(GPU_brand[GPU brand], (GPU_brand[GPU brand text]&lt;&gt;"") * ISNUMBER(SEARCH(GPU_brand[GPU brand text], B1608)), ""))</f>
        <v>MSI</v>
      </c>
      <c r="H1608" t="str">
        <f>_xlfn.TEXTJOIN(",",TRUE,_xlfn._xlws.FILTER(Chipset_Table[Chipset], (Chipset_Table[Chipset text]&lt;&gt;"") * ISNUMBER(SEARCH(Chipset_Table[Chipset text], B1608)), ""))</f>
        <v>RTX 5080</v>
      </c>
      <c r="I1608" t="str">
        <f>_xlfn.TEXTJOIN(",",TRUE,_xlfn._xlws.FILTER(VRAM_table[Video memory], (VRAM_table[Video memory text]&lt;&gt;"") * ISNUMBER(SEARCH(VRAM_table[Video memory text], B1608)), ""))</f>
        <v>16GB,6GB</v>
      </c>
    </row>
    <row r="1609" spans="1:9" x14ac:dyDescent="0.35">
      <c r="A1609" t="s">
        <v>782</v>
      </c>
      <c r="B1609" t="s">
        <v>1031</v>
      </c>
      <c r="C1609">
        <v>38290000</v>
      </c>
      <c r="D1609">
        <v>38290000</v>
      </c>
      <c r="E1609" t="s">
        <v>1032</v>
      </c>
      <c r="F1609" t="s">
        <v>1064</v>
      </c>
      <c r="G1609" t="str">
        <f>_xlfn.TEXTJOIN(",",TRUE,_xlfn._xlws.FILTER(GPU_brand[GPU brand], (GPU_brand[GPU brand text]&lt;&gt;"") * ISNUMBER(SEARCH(GPU_brand[GPU brand text], B1609)), ""))</f>
        <v>ZOTAC</v>
      </c>
      <c r="H1609" t="str">
        <f>_xlfn.TEXTJOIN(",",TRUE,_xlfn._xlws.FILTER(Chipset_Table[Chipset], (Chipset_Table[Chipset text]&lt;&gt;"") * ISNUMBER(SEARCH(Chipset_Table[Chipset text], B1609)), ""))</f>
        <v>GeForce RTX 5080,RTX 5080</v>
      </c>
      <c r="I1609" t="str">
        <f>_xlfn.TEXTJOIN(",",TRUE,_xlfn._xlws.FILTER(VRAM_table[Video memory], (VRAM_table[Video memory text]&lt;&gt;"") * ISNUMBER(SEARCH(VRAM_table[Video memory text], B1609)), ""))</f>
        <v>16GB,16GB,6GB,6GB</v>
      </c>
    </row>
    <row r="1610" spans="1:9" x14ac:dyDescent="0.35">
      <c r="A1610" t="s">
        <v>782</v>
      </c>
      <c r="B1610" t="s">
        <v>1019</v>
      </c>
      <c r="C1610">
        <v>19290000</v>
      </c>
      <c r="D1610">
        <v>19290000</v>
      </c>
      <c r="E1610" t="s">
        <v>1020</v>
      </c>
      <c r="F1610" t="s">
        <v>1064</v>
      </c>
      <c r="G1610" t="str">
        <f>_xlfn.TEXTJOIN(",",TRUE,_xlfn._xlws.FILTER(GPU_brand[GPU brand], (GPU_brand[GPU brand text]&lt;&gt;"") * ISNUMBER(SEARCH(GPU_brand[GPU brand text], B1610)), ""))</f>
        <v>Gigabyte</v>
      </c>
      <c r="H1610" t="str">
        <f>_xlfn.TEXTJOIN(",",TRUE,_xlfn._xlws.FILTER(Chipset_Table[Chipset], (Chipset_Table[Chipset text]&lt;&gt;"") * ISNUMBER(SEARCH(Chipset_Table[Chipset text], B1610)), ""))</f>
        <v>RX 9070</v>
      </c>
      <c r="I1610" t="str">
        <f>_xlfn.TEXTJOIN(",",TRUE,_xlfn._xlws.FILTER(VRAM_table[Video memory], (VRAM_table[Video memory text]&lt;&gt;"") * ISNUMBER(SEARCH(VRAM_table[Video memory text], B1610)), ""))</f>
        <v>16GB,16GB,6GB,6GB</v>
      </c>
    </row>
    <row r="1611" spans="1:9" x14ac:dyDescent="0.35">
      <c r="A1611" t="s">
        <v>782</v>
      </c>
      <c r="B1611" t="s">
        <v>1025</v>
      </c>
      <c r="C1611">
        <v>29990000</v>
      </c>
      <c r="D1611">
        <v>29990000</v>
      </c>
      <c r="E1611" t="s">
        <v>1026</v>
      </c>
      <c r="F1611" t="s">
        <v>1064</v>
      </c>
      <c r="G1611" t="str">
        <f>_xlfn.TEXTJOIN(",",TRUE,_xlfn._xlws.FILTER(GPU_brand[GPU brand], (GPU_brand[GPU brand text]&lt;&gt;"") * ISNUMBER(SEARCH(GPU_brand[GPU brand text], B1611)), ""))</f>
        <v>ZOTAC</v>
      </c>
      <c r="H1611" t="str">
        <f>_xlfn.TEXTJOIN(",",TRUE,_xlfn._xlws.FILTER(Chipset_Table[Chipset], (Chipset_Table[Chipset text]&lt;&gt;"") * ISNUMBER(SEARCH(Chipset_Table[Chipset text], B1611)), ""))</f>
        <v>GeForce RTX 5070,GeForce RTX 5070 Ti,RTX 5070</v>
      </c>
      <c r="I1611" t="str">
        <f>_xlfn.TEXTJOIN(",",TRUE,_xlfn._xlws.FILTER(VRAM_table[Video memory], (VRAM_table[Video memory text]&lt;&gt;"") * ISNUMBER(SEARCH(VRAM_table[Video memory text], B1611)), ""))</f>
        <v>16GB,16GB,6GB,6GB</v>
      </c>
    </row>
    <row r="1612" spans="1:9" x14ac:dyDescent="0.35">
      <c r="A1612" t="s">
        <v>782</v>
      </c>
      <c r="B1612" t="s">
        <v>940</v>
      </c>
      <c r="C1612">
        <v>11390000</v>
      </c>
      <c r="D1612">
        <v>11390000</v>
      </c>
      <c r="E1612" t="s">
        <v>941</v>
      </c>
      <c r="F1612" t="s">
        <v>1064</v>
      </c>
      <c r="G1612" t="str">
        <f>_xlfn.TEXTJOIN(",",TRUE,_xlfn._xlws.FILTER(GPU_brand[GPU brand], (GPU_brand[GPU brand text]&lt;&gt;"") * ISNUMBER(SEARCH(GPU_brand[GPU brand text], B1612)), ""))</f>
        <v>Colorful</v>
      </c>
      <c r="H1612" t="str">
        <f>_xlfn.TEXTJOIN(",",TRUE,_xlfn._xlws.FILTER(Chipset_Table[Chipset], (Chipset_Table[Chipset text]&lt;&gt;"") * ISNUMBER(SEARCH(Chipset_Table[Chipset text], B1612)), ""))</f>
        <v>GeForce RTX 5060</v>
      </c>
      <c r="I1612" t="str">
        <f>_xlfn.TEXTJOIN(",",TRUE,_xlfn._xlws.FILTER(VRAM_table[Video memory], (VRAM_table[Video memory text]&lt;&gt;"") * ISNUMBER(SEARCH(VRAM_table[Video memory text], B1612)), ""))</f>
        <v>8GB,8GB</v>
      </c>
    </row>
    <row r="1613" spans="1:9" x14ac:dyDescent="0.35">
      <c r="A1613" t="s">
        <v>782</v>
      </c>
      <c r="B1613" t="s">
        <v>870</v>
      </c>
      <c r="C1613">
        <v>9690000</v>
      </c>
      <c r="D1613">
        <v>9690000</v>
      </c>
      <c r="E1613" t="s">
        <v>871</v>
      </c>
      <c r="F1613" t="s">
        <v>1064</v>
      </c>
      <c r="G1613" t="str">
        <f>_xlfn.TEXTJOIN(",",TRUE,_xlfn._xlws.FILTER(GPU_brand[GPU brand], (GPU_brand[GPU brand text]&lt;&gt;"") * ISNUMBER(SEARCH(GPU_brand[GPU brand text], B1613)), ""))</f>
        <v>Gigabyte</v>
      </c>
      <c r="H1613" t="str">
        <f>_xlfn.TEXTJOIN(",",TRUE,_xlfn._xlws.FILTER(Chipset_Table[Chipset], (Chipset_Table[Chipset text]&lt;&gt;"") * ISNUMBER(SEARCH(Chipset_Table[Chipset text], B1613)), ""))</f>
        <v>GeForce RTX 5060</v>
      </c>
      <c r="I1613" t="str">
        <f>_xlfn.TEXTJOIN(",",TRUE,_xlfn._xlws.FILTER(VRAM_table[Video memory], (VRAM_table[Video memory text]&lt;&gt;"") * ISNUMBER(SEARCH(VRAM_table[Video memory text], B1613)), ""))</f>
        <v>8GB,8GB</v>
      </c>
    </row>
    <row r="1614" spans="1:9" x14ac:dyDescent="0.35">
      <c r="A1614" t="s">
        <v>782</v>
      </c>
      <c r="B1614" t="s">
        <v>1003</v>
      </c>
      <c r="C1614">
        <v>9590000</v>
      </c>
      <c r="D1614">
        <v>9590000</v>
      </c>
      <c r="E1614" t="s">
        <v>1004</v>
      </c>
      <c r="F1614" t="s">
        <v>1064</v>
      </c>
      <c r="G1614" t="str">
        <f>_xlfn.TEXTJOIN(",",TRUE,_xlfn._xlws.FILTER(GPU_brand[GPU brand], (GPU_brand[GPU brand text]&lt;&gt;"") * ISNUMBER(SEARCH(GPU_brand[GPU brand text], B1614)), ""))</f>
        <v>INNO3D</v>
      </c>
      <c r="H1614" t="str">
        <f>_xlfn.TEXTJOIN(",",TRUE,_xlfn._xlws.FILTER(Chipset_Table[Chipset], (Chipset_Table[Chipset text]&lt;&gt;"") * ISNUMBER(SEARCH(Chipset_Table[Chipset text], B1614)), ""))</f>
        <v>GeForce RTX 5060</v>
      </c>
      <c r="I1614" t="str">
        <f>_xlfn.TEXTJOIN(",",TRUE,_xlfn._xlws.FILTER(VRAM_table[Video memory], (VRAM_table[Video memory text]&lt;&gt;"") * ISNUMBER(SEARCH(VRAM_table[Video memory text], B1614)), ""))</f>
        <v>8GB,8GB</v>
      </c>
    </row>
    <row r="1615" spans="1:9" x14ac:dyDescent="0.35">
      <c r="A1615" t="s">
        <v>782</v>
      </c>
      <c r="B1615" t="s">
        <v>1001</v>
      </c>
      <c r="C1615">
        <v>17090000</v>
      </c>
      <c r="D1615">
        <v>17090000</v>
      </c>
      <c r="E1615" t="s">
        <v>1002</v>
      </c>
      <c r="F1615" t="s">
        <v>1064</v>
      </c>
      <c r="G1615" t="str">
        <f>_xlfn.TEXTJOIN(",",TRUE,_xlfn._xlws.FILTER(GPU_brand[GPU brand], (GPU_brand[GPU brand text]&lt;&gt;"") * ISNUMBER(SEARCH(GPU_brand[GPU brand text], B1615)), ""))</f>
        <v>MSI</v>
      </c>
      <c r="H1615" t="str">
        <f>_xlfn.TEXTJOIN(",",TRUE,_xlfn._xlws.FILTER(Chipset_Table[Chipset], (Chipset_Table[Chipset text]&lt;&gt;"") * ISNUMBER(SEARCH(Chipset_Table[Chipset text], B1615)), ""))</f>
        <v>GeForce RTX 5060,GeForce RTX 5060 Ti,RTX 5060 Ti</v>
      </c>
      <c r="I1615" t="str">
        <f>_xlfn.TEXTJOIN(",",TRUE,_xlfn._xlws.FILTER(VRAM_table[Video memory], (VRAM_table[Video memory text]&lt;&gt;"") * ISNUMBER(SEARCH(VRAM_table[Video memory text], B1615)), ""))</f>
        <v>16GB,16GB,6GB,6GB</v>
      </c>
    </row>
    <row r="1616" spans="1:9" x14ac:dyDescent="0.35">
      <c r="A1616" t="s">
        <v>782</v>
      </c>
      <c r="B1616" t="s">
        <v>1007</v>
      </c>
      <c r="C1616">
        <v>9190000</v>
      </c>
      <c r="D1616">
        <v>9190000</v>
      </c>
      <c r="E1616" t="s">
        <v>1008</v>
      </c>
      <c r="F1616" t="s">
        <v>1064</v>
      </c>
      <c r="G1616" t="str">
        <f>_xlfn.TEXTJOIN(",",TRUE,_xlfn._xlws.FILTER(GPU_brand[GPU brand], (GPU_brand[GPU brand text]&lt;&gt;"") * ISNUMBER(SEARCH(GPU_brand[GPU brand text], B1616)), ""))</f>
        <v>Gigabyte</v>
      </c>
      <c r="H1616" t="str">
        <f>_xlfn.TEXTJOIN(",",TRUE,_xlfn._xlws.FILTER(Chipset_Table[Chipset], (Chipset_Table[Chipset text]&lt;&gt;"") * ISNUMBER(SEARCH(Chipset_Table[Chipset text], B1616)), ""))</f>
        <v>GeForce RTX 5060</v>
      </c>
      <c r="I1616" t="str">
        <f>_xlfn.TEXTJOIN(",",TRUE,_xlfn._xlws.FILTER(VRAM_table[Video memory], (VRAM_table[Video memory text]&lt;&gt;"") * ISNUMBER(SEARCH(VRAM_table[Video memory text], B1616)), ""))</f>
        <v>8GB,8GB</v>
      </c>
    </row>
    <row r="1617" spans="1:9" x14ac:dyDescent="0.35">
      <c r="A1617" t="s">
        <v>782</v>
      </c>
      <c r="B1617" t="s">
        <v>902</v>
      </c>
      <c r="C1617">
        <v>18490000</v>
      </c>
      <c r="D1617">
        <v>18490000</v>
      </c>
      <c r="E1617" t="s">
        <v>903</v>
      </c>
      <c r="F1617" t="s">
        <v>1064</v>
      </c>
      <c r="G1617" t="str">
        <f>_xlfn.TEXTJOIN(",",TRUE,_xlfn._xlws.FILTER(GPU_brand[GPU brand], (GPU_brand[GPU brand text]&lt;&gt;"") * ISNUMBER(SEARCH(GPU_brand[GPU brand text], B1617)), ""))</f>
        <v>ASUS</v>
      </c>
      <c r="H1617" t="str">
        <f>_xlfn.TEXTJOIN(",",TRUE,_xlfn._xlws.FILTER(Chipset_Table[Chipset], (Chipset_Table[Chipset text]&lt;&gt;"") * ISNUMBER(SEARCH(Chipset_Table[Chipset text], B1617)), ""))</f>
        <v>GeForce RTX 5070,RTX 5070</v>
      </c>
      <c r="I1617" t="str">
        <f>_xlfn.TEXTJOIN(",",TRUE,_xlfn._xlws.FILTER(VRAM_table[Video memory], (VRAM_table[Video memory text]&lt;&gt;"") * ISNUMBER(SEARCH(VRAM_table[Video memory text], B1617)), ""))</f>
        <v>12GB,2GB</v>
      </c>
    </row>
    <row r="1618" spans="1:9" x14ac:dyDescent="0.35">
      <c r="A1618" t="s">
        <v>782</v>
      </c>
      <c r="B1618" t="s">
        <v>1049</v>
      </c>
      <c r="C1618">
        <v>1790000</v>
      </c>
      <c r="D1618">
        <v>1790000</v>
      </c>
      <c r="E1618" t="s">
        <v>1050</v>
      </c>
      <c r="F1618" t="s">
        <v>1064</v>
      </c>
      <c r="G1618" t="str">
        <f>_xlfn.TEXTJOIN(",",TRUE,_xlfn._xlws.FILTER(GPU_brand[GPU brand], (GPU_brand[GPU brand text]&lt;&gt;"") * ISNUMBER(SEARCH(GPU_brand[GPU brand text], B1618)), ""))</f>
        <v>T-WOLF</v>
      </c>
      <c r="H1618" t="str">
        <f>_xlfn.TEXTJOIN(",",TRUE,_xlfn._xlws.FILTER(Chipset_Table[Chipset], (Chipset_Table[Chipset text]&lt;&gt;"") * ISNUMBER(SEARCH(Chipset_Table[Chipset text], B1618)), ""))</f>
        <v>RX 550</v>
      </c>
      <c r="I1618" t="str">
        <f>_xlfn.TEXTJOIN(",",TRUE,_xlfn._xlws.FILTER(VRAM_table[Video memory], (VRAM_table[Video memory text]&lt;&gt;"") * ISNUMBER(SEARCH(VRAM_table[Video memory text], B1618)), ""))</f>
        <v>4GB,4GB</v>
      </c>
    </row>
    <row r="1619" spans="1:9" x14ac:dyDescent="0.35">
      <c r="A1619" t="s">
        <v>782</v>
      </c>
      <c r="B1619" t="s">
        <v>1043</v>
      </c>
      <c r="C1619">
        <v>33290000</v>
      </c>
      <c r="D1619">
        <v>33290000</v>
      </c>
      <c r="E1619" t="s">
        <v>1044</v>
      </c>
      <c r="F1619" t="s">
        <v>1064</v>
      </c>
      <c r="G1619" t="str">
        <f>_xlfn.TEXTJOIN(",",TRUE,_xlfn._xlws.FILTER(GPU_brand[GPU brand], (GPU_brand[GPU brand text]&lt;&gt;"") * ISNUMBER(SEARCH(GPU_brand[GPU brand text], B1619)), ""))</f>
        <v>ASUS</v>
      </c>
      <c r="H1619" t="str">
        <f>_xlfn.TEXTJOIN(",",TRUE,_xlfn._xlws.FILTER(Chipset_Table[Chipset], (Chipset_Table[Chipset text]&lt;&gt;"") * ISNUMBER(SEARCH(Chipset_Table[Chipset text], B1619)), ""))</f>
        <v>GeForce RTX 5070,GeForce RTX 5070 Ti,RTX 5070</v>
      </c>
      <c r="I1619" t="str">
        <f>_xlfn.TEXTJOIN(",",TRUE,_xlfn._xlws.FILTER(VRAM_table[Video memory], (VRAM_table[Video memory text]&lt;&gt;"") * ISNUMBER(SEARCH(VRAM_table[Video memory text], B1619)), ""))</f>
        <v>16GB,16GB,6GB,6GB</v>
      </c>
    </row>
    <row r="1620" spans="1:9" x14ac:dyDescent="0.35">
      <c r="A1620" t="s">
        <v>782</v>
      </c>
      <c r="B1620" t="s">
        <v>1047</v>
      </c>
      <c r="C1620">
        <v>8190000</v>
      </c>
      <c r="D1620">
        <v>8190000</v>
      </c>
      <c r="E1620" t="s">
        <v>1048</v>
      </c>
      <c r="F1620" t="s">
        <v>1064</v>
      </c>
      <c r="G1620" t="str">
        <f>_xlfn.TEXTJOIN(",",TRUE,_xlfn._xlws.FILTER(GPU_brand[GPU brand], (GPU_brand[GPU brand text]&lt;&gt;"") * ISNUMBER(SEARCH(GPU_brand[GPU brand text], B1620)), ""))</f>
        <v>SimorChip</v>
      </c>
      <c r="H1620" t="str">
        <f>_xlfn.TEXTJOIN(",",TRUE,_xlfn._xlws.FILTER(Chipset_Table[Chipset], (Chipset_Table[Chipset text]&lt;&gt;"") * ISNUMBER(SEARCH(Chipset_Table[Chipset text], B1620)), ""))</f>
        <v>GeForce RTX 3060,RTX 3060</v>
      </c>
      <c r="I1620" t="str">
        <f>_xlfn.TEXTJOIN(",",TRUE,_xlfn._xlws.FILTER(VRAM_table[Video memory], (VRAM_table[Video memory text]&lt;&gt;"") * ISNUMBER(SEARCH(VRAM_table[Video memory text], B1620)), ""))</f>
        <v>12GB,2GB</v>
      </c>
    </row>
    <row r="1621" spans="1:9" x14ac:dyDescent="0.35">
      <c r="A1621" t="s">
        <v>782</v>
      </c>
      <c r="B1621" t="s">
        <v>1045</v>
      </c>
      <c r="C1621">
        <v>4590000</v>
      </c>
      <c r="D1621">
        <v>4590000</v>
      </c>
      <c r="E1621" t="s">
        <v>1046</v>
      </c>
      <c r="F1621" t="s">
        <v>1064</v>
      </c>
      <c r="G1621" t="str">
        <f>_xlfn.TEXTJOIN(",",TRUE,_xlfn._xlws.FILTER(GPU_brand[GPU brand], (GPU_brand[GPU brand text]&lt;&gt;"") * ISNUMBER(SEARCH(GPU_brand[GPU brand text], B1621)), ""))</f>
        <v>Unika</v>
      </c>
      <c r="H1621" t="str">
        <f>_xlfn.TEXTJOIN(",",TRUE,_xlfn._xlws.FILTER(Chipset_Table[Chipset], (Chipset_Table[Chipset text]&lt;&gt;"") * ISNUMBER(SEARCH(Chipset_Table[Chipset text], B1621)), ""))</f>
        <v>GeForce GTX 1660 SUPER,GeForce GTX 1660, GTX 1660 Super</v>
      </c>
      <c r="I1621" t="str">
        <f>_xlfn.TEXTJOIN(",",TRUE,_xlfn._xlws.FILTER(VRAM_table[Video memory], (VRAM_table[Video memory text]&lt;&gt;"") * ISNUMBER(SEARCH(VRAM_table[Video memory text], B1621)), ""))</f>
        <v>6GB,6GB</v>
      </c>
    </row>
    <row r="1622" spans="1:9" x14ac:dyDescent="0.35">
      <c r="A1622" t="s">
        <v>782</v>
      </c>
      <c r="B1622" t="s">
        <v>912</v>
      </c>
      <c r="C1622">
        <v>6190000</v>
      </c>
      <c r="D1622">
        <v>6190000</v>
      </c>
      <c r="E1622" t="s">
        <v>913</v>
      </c>
      <c r="F1622" t="s">
        <v>1064</v>
      </c>
      <c r="G1622" t="str">
        <f>_xlfn.TEXTJOIN(",",TRUE,_xlfn._xlws.FILTER(GPU_brand[GPU brand], (GPU_brand[GPU brand text]&lt;&gt;"") * ISNUMBER(SEARCH(GPU_brand[GPU brand text], B1622)), ""))</f>
        <v>T-WOLF</v>
      </c>
      <c r="H1622" t="str">
        <f>_xlfn.TEXTJOIN(",",TRUE,_xlfn._xlws.FILTER(Chipset_Table[Chipset], (Chipset_Table[Chipset text]&lt;&gt;"") * ISNUMBER(SEARCH(Chipset_Table[Chipset text], B1622)), ""))</f>
        <v>GeForce RTX 2060,RTX 2060</v>
      </c>
      <c r="I1622" t="str">
        <f>_xlfn.TEXTJOIN(",",TRUE,_xlfn._xlws.FILTER(VRAM_table[Video memory], (VRAM_table[Video memory text]&lt;&gt;"") * ISNUMBER(SEARCH(VRAM_table[Video memory text], B1622)), ""))</f>
        <v>8GB,8GB</v>
      </c>
    </row>
    <row r="1623" spans="1:9" x14ac:dyDescent="0.35">
      <c r="A1623" t="s">
        <v>782</v>
      </c>
      <c r="B1623" t="s">
        <v>1037</v>
      </c>
      <c r="C1623">
        <v>1950000</v>
      </c>
      <c r="D1623">
        <v>1950000</v>
      </c>
      <c r="E1623" t="s">
        <v>1038</v>
      </c>
      <c r="F1623" t="s">
        <v>1064</v>
      </c>
      <c r="G1623" t="str">
        <f>_xlfn.TEXTJOIN(",",TRUE,_xlfn._xlws.FILTER(GPU_brand[GPU brand], (GPU_brand[GPU brand text]&lt;&gt;"") * ISNUMBER(SEARCH(GPU_brand[GPU brand text], B1623)), ""))</f>
        <v>Unika</v>
      </c>
      <c r="H1623" t="str">
        <f>_xlfn.TEXTJOIN(",",TRUE,_xlfn._xlws.FILTER(Chipset_Table[Chipset], (Chipset_Table[Chipset text]&lt;&gt;"") * ISNUMBER(SEARCH(Chipset_Table[Chipset text], B1623)), ""))</f>
        <v>RX 560</v>
      </c>
      <c r="I1623" t="str">
        <f>_xlfn.TEXTJOIN(",",TRUE,_xlfn._xlws.FILTER(VRAM_table[Video memory], (VRAM_table[Video memory text]&lt;&gt;"") * ISNUMBER(SEARCH(VRAM_table[Video memory text], B1623)), ""))</f>
        <v>4GB,4GB</v>
      </c>
    </row>
  </sheetData>
  <hyperlinks>
    <hyperlink ref="E434" r:id="rId1" xr:uid="{00000000-0004-0000-0000-000000000000}"/>
  </hyperlinks>
  <pageMargins left="0.75" right="0.75" top="1" bottom="1" header="0.5" footer="0.5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9"/>
  <sheetViews>
    <sheetView workbookViewId="0">
      <selection activeCell="G22" sqref="G22"/>
    </sheetView>
  </sheetViews>
  <sheetFormatPr defaultRowHeight="14.5" x14ac:dyDescent="0.35"/>
  <sheetData>
    <row r="1" spans="1:8" x14ac:dyDescent="0.35">
      <c r="A1" t="s">
        <v>1067</v>
      </c>
      <c r="B1" t="s">
        <v>1068</v>
      </c>
      <c r="D1" t="s">
        <v>1069</v>
      </c>
      <c r="E1" t="s">
        <v>1070</v>
      </c>
      <c r="G1" t="s">
        <v>1071</v>
      </c>
      <c r="H1" t="s">
        <v>1072</v>
      </c>
    </row>
    <row r="2" spans="1:8" x14ac:dyDescent="0.35">
      <c r="A2" t="s">
        <v>1065</v>
      </c>
      <c r="B2" t="s">
        <v>1065</v>
      </c>
      <c r="D2" t="s">
        <v>329</v>
      </c>
      <c r="E2" t="s">
        <v>329</v>
      </c>
      <c r="G2" t="s">
        <v>23</v>
      </c>
      <c r="H2" t="s">
        <v>23</v>
      </c>
    </row>
    <row r="3" spans="1:8" x14ac:dyDescent="0.35">
      <c r="A3" t="s">
        <v>1073</v>
      </c>
      <c r="B3" t="s">
        <v>1073</v>
      </c>
      <c r="D3" t="s">
        <v>13</v>
      </c>
      <c r="E3" t="s">
        <v>13</v>
      </c>
      <c r="G3" t="s">
        <v>17</v>
      </c>
      <c r="H3" t="s">
        <v>17</v>
      </c>
    </row>
    <row r="4" spans="1:8" x14ac:dyDescent="0.35">
      <c r="A4" t="s">
        <v>1074</v>
      </c>
      <c r="B4" t="s">
        <v>1074</v>
      </c>
      <c r="D4" t="s">
        <v>16</v>
      </c>
      <c r="E4" t="s">
        <v>16</v>
      </c>
      <c r="G4" t="s">
        <v>1075</v>
      </c>
      <c r="H4" t="s">
        <v>45</v>
      </c>
    </row>
    <row r="5" spans="1:8" x14ac:dyDescent="0.35">
      <c r="A5" t="s">
        <v>1076</v>
      </c>
      <c r="B5" t="s">
        <v>1076</v>
      </c>
      <c r="D5" t="s">
        <v>456</v>
      </c>
      <c r="E5" t="s">
        <v>456</v>
      </c>
      <c r="G5" t="s">
        <v>20</v>
      </c>
      <c r="H5" t="s">
        <v>20</v>
      </c>
    </row>
    <row r="6" spans="1:8" x14ac:dyDescent="0.35">
      <c r="A6" t="s">
        <v>1077</v>
      </c>
      <c r="B6" t="s">
        <v>1077</v>
      </c>
      <c r="D6" t="s">
        <v>1078</v>
      </c>
      <c r="E6" t="s">
        <v>1078</v>
      </c>
      <c r="G6" t="s">
        <v>1079</v>
      </c>
      <c r="H6" t="s">
        <v>17</v>
      </c>
    </row>
    <row r="7" spans="1:8" x14ac:dyDescent="0.35">
      <c r="A7" t="s">
        <v>320</v>
      </c>
      <c r="B7" t="s">
        <v>320</v>
      </c>
      <c r="D7" t="s">
        <v>1080</v>
      </c>
      <c r="E7" t="s">
        <v>1080</v>
      </c>
      <c r="G7" t="s">
        <v>1081</v>
      </c>
      <c r="H7" t="s">
        <v>45</v>
      </c>
    </row>
    <row r="8" spans="1:8" x14ac:dyDescent="0.35">
      <c r="A8" t="s">
        <v>1082</v>
      </c>
      <c r="B8" t="s">
        <v>1082</v>
      </c>
      <c r="D8" t="s">
        <v>26</v>
      </c>
      <c r="E8" t="s">
        <v>26</v>
      </c>
      <c r="G8" t="s">
        <v>1083</v>
      </c>
      <c r="H8" t="s">
        <v>20</v>
      </c>
    </row>
    <row r="9" spans="1:8" x14ac:dyDescent="0.35">
      <c r="A9" t="s">
        <v>1084</v>
      </c>
      <c r="B9" t="s">
        <v>1084</v>
      </c>
      <c r="D9" t="s">
        <v>31</v>
      </c>
      <c r="E9" t="s">
        <v>31</v>
      </c>
      <c r="G9" t="s">
        <v>1085</v>
      </c>
      <c r="H9" t="s">
        <v>45</v>
      </c>
    </row>
    <row r="10" spans="1:8" x14ac:dyDescent="0.35">
      <c r="A10" t="s">
        <v>1086</v>
      </c>
      <c r="B10" t="s">
        <v>1086</v>
      </c>
      <c r="D10" t="s">
        <v>40</v>
      </c>
      <c r="E10" t="s">
        <v>40</v>
      </c>
      <c r="G10" t="s">
        <v>1087</v>
      </c>
      <c r="H10" t="s">
        <v>23</v>
      </c>
    </row>
    <row r="11" spans="1:8" x14ac:dyDescent="0.35">
      <c r="A11" t="s">
        <v>1088</v>
      </c>
      <c r="B11" t="s">
        <v>1088</v>
      </c>
      <c r="D11" t="s">
        <v>1089</v>
      </c>
      <c r="E11" t="s">
        <v>1089</v>
      </c>
      <c r="G11" t="s">
        <v>323</v>
      </c>
      <c r="H11" t="s">
        <v>323</v>
      </c>
    </row>
    <row r="12" spans="1:8" x14ac:dyDescent="0.35">
      <c r="A12" t="s">
        <v>1090</v>
      </c>
      <c r="B12" t="s">
        <v>1090</v>
      </c>
      <c r="D12" t="s">
        <v>326</v>
      </c>
      <c r="E12" t="s">
        <v>326</v>
      </c>
      <c r="G12" t="s">
        <v>332</v>
      </c>
      <c r="H12" t="s">
        <v>332</v>
      </c>
    </row>
    <row r="13" spans="1:8" x14ac:dyDescent="0.35">
      <c r="A13" t="s">
        <v>1091</v>
      </c>
      <c r="B13" t="s">
        <v>1091</v>
      </c>
      <c r="D13" t="s">
        <v>1092</v>
      </c>
      <c r="E13" t="s">
        <v>1092</v>
      </c>
      <c r="G13" t="s">
        <v>1093</v>
      </c>
      <c r="H13" t="s">
        <v>323</v>
      </c>
    </row>
    <row r="14" spans="1:8" x14ac:dyDescent="0.35">
      <c r="A14" t="s">
        <v>1094</v>
      </c>
      <c r="B14" t="s">
        <v>1094</v>
      </c>
      <c r="D14" t="s">
        <v>1095</v>
      </c>
      <c r="E14" t="s">
        <v>1095</v>
      </c>
      <c r="G14" t="s">
        <v>1096</v>
      </c>
      <c r="H14" t="s">
        <v>373</v>
      </c>
    </row>
    <row r="15" spans="1:8" x14ac:dyDescent="0.35">
      <c r="A15" t="s">
        <v>1097</v>
      </c>
      <c r="B15" t="s">
        <v>1097</v>
      </c>
      <c r="D15" t="s">
        <v>1098</v>
      </c>
      <c r="E15" t="s">
        <v>1098</v>
      </c>
      <c r="G15" t="s">
        <v>1099</v>
      </c>
      <c r="H15" t="s">
        <v>332</v>
      </c>
    </row>
    <row r="16" spans="1:8" x14ac:dyDescent="0.35">
      <c r="A16" t="s">
        <v>1100</v>
      </c>
      <c r="B16" t="s">
        <v>1100</v>
      </c>
      <c r="D16" t="s">
        <v>1101</v>
      </c>
      <c r="E16" t="s">
        <v>1101</v>
      </c>
      <c r="G16" t="s">
        <v>1102</v>
      </c>
      <c r="H16" t="s">
        <v>1103</v>
      </c>
    </row>
    <row r="17" spans="1:8" x14ac:dyDescent="0.35">
      <c r="A17" t="s">
        <v>1104</v>
      </c>
      <c r="B17" t="s">
        <v>1104</v>
      </c>
      <c r="D17" t="s">
        <v>348</v>
      </c>
      <c r="E17" t="s">
        <v>348</v>
      </c>
      <c r="G17" t="s">
        <v>1105</v>
      </c>
      <c r="H17" t="s">
        <v>1105</v>
      </c>
    </row>
    <row r="18" spans="1:8" x14ac:dyDescent="0.35">
      <c r="A18" t="s">
        <v>1106</v>
      </c>
      <c r="B18" t="s">
        <v>1106</v>
      </c>
      <c r="D18" t="s">
        <v>1107</v>
      </c>
      <c r="E18" t="s">
        <v>1107</v>
      </c>
      <c r="G18" t="s">
        <v>1108</v>
      </c>
      <c r="H18" t="s">
        <v>1108</v>
      </c>
    </row>
    <row r="19" spans="1:8" x14ac:dyDescent="0.35">
      <c r="A19" t="s">
        <v>1109</v>
      </c>
      <c r="B19" t="s">
        <v>1109</v>
      </c>
      <c r="D19" t="s">
        <v>1066</v>
      </c>
      <c r="E19" t="s">
        <v>1066</v>
      </c>
      <c r="G19" t="s">
        <v>1110</v>
      </c>
      <c r="H19" t="s">
        <v>17</v>
      </c>
    </row>
    <row r="20" spans="1:8" x14ac:dyDescent="0.35">
      <c r="D20" t="s">
        <v>1111</v>
      </c>
      <c r="E20" t="s">
        <v>1111</v>
      </c>
      <c r="G20" t="s">
        <v>522</v>
      </c>
      <c r="H20" t="s">
        <v>332</v>
      </c>
    </row>
    <row r="21" spans="1:8" x14ac:dyDescent="0.35">
      <c r="D21" t="s">
        <v>384</v>
      </c>
      <c r="E21" t="s">
        <v>384</v>
      </c>
      <c r="G21" t="s">
        <v>920</v>
      </c>
      <c r="H21" t="s">
        <v>17</v>
      </c>
    </row>
    <row r="22" spans="1:8" x14ac:dyDescent="0.35">
      <c r="D22" t="s">
        <v>1112</v>
      </c>
      <c r="E22" t="s">
        <v>1112</v>
      </c>
    </row>
    <row r="23" spans="1:8" x14ac:dyDescent="0.35">
      <c r="D23" t="s">
        <v>407</v>
      </c>
      <c r="E23" t="s">
        <v>407</v>
      </c>
    </row>
    <row r="24" spans="1:8" x14ac:dyDescent="0.35">
      <c r="D24" t="s">
        <v>491</v>
      </c>
      <c r="E24" t="s">
        <v>491</v>
      </c>
    </row>
    <row r="25" spans="1:8" x14ac:dyDescent="0.35">
      <c r="D25" t="s">
        <v>1113</v>
      </c>
      <c r="E25" t="s">
        <v>1113</v>
      </c>
    </row>
    <row r="26" spans="1:8" x14ac:dyDescent="0.35">
      <c r="D26" t="s">
        <v>1114</v>
      </c>
      <c r="E26" t="s">
        <v>1114</v>
      </c>
    </row>
    <row r="27" spans="1:8" x14ac:dyDescent="0.35">
      <c r="D27" t="s">
        <v>1115</v>
      </c>
      <c r="E27" t="s">
        <v>1115</v>
      </c>
    </row>
    <row r="28" spans="1:8" x14ac:dyDescent="0.35">
      <c r="D28" t="s">
        <v>1116</v>
      </c>
      <c r="E28" t="s">
        <v>1116</v>
      </c>
    </row>
    <row r="29" spans="1:8" x14ac:dyDescent="0.35">
      <c r="D29" t="s">
        <v>1117</v>
      </c>
      <c r="E29" t="s">
        <v>1117</v>
      </c>
    </row>
    <row r="30" spans="1:8" x14ac:dyDescent="0.35">
      <c r="D30" t="s">
        <v>1118</v>
      </c>
      <c r="E30" t="s">
        <v>1118</v>
      </c>
    </row>
    <row r="31" spans="1:8" x14ac:dyDescent="0.35">
      <c r="D31" t="s">
        <v>1119</v>
      </c>
      <c r="E31" t="s">
        <v>1119</v>
      </c>
    </row>
    <row r="32" spans="1:8" x14ac:dyDescent="0.35">
      <c r="D32" t="s">
        <v>795</v>
      </c>
      <c r="E32" t="s">
        <v>795</v>
      </c>
    </row>
    <row r="33" spans="4:5" x14ac:dyDescent="0.35">
      <c r="D33" t="s">
        <v>1120</v>
      </c>
      <c r="E33" t="s">
        <v>1120</v>
      </c>
    </row>
    <row r="34" spans="4:5" x14ac:dyDescent="0.35">
      <c r="D34" t="s">
        <v>1121</v>
      </c>
      <c r="E34" t="s">
        <v>31</v>
      </c>
    </row>
    <row r="35" spans="4:5" x14ac:dyDescent="0.35">
      <c r="D35" t="s">
        <v>1122</v>
      </c>
      <c r="E35" t="s">
        <v>1122</v>
      </c>
    </row>
    <row r="36" spans="4:5" x14ac:dyDescent="0.35">
      <c r="D36" t="s">
        <v>1123</v>
      </c>
      <c r="E36" t="s">
        <v>1123</v>
      </c>
    </row>
    <row r="37" spans="4:5" x14ac:dyDescent="0.35">
      <c r="D37" t="s">
        <v>1124</v>
      </c>
      <c r="E37" t="s">
        <v>1124</v>
      </c>
    </row>
    <row r="38" spans="4:5" x14ac:dyDescent="0.35">
      <c r="D38" t="s">
        <v>1125</v>
      </c>
      <c r="E38" t="s">
        <v>1126</v>
      </c>
    </row>
    <row r="39" spans="4:5" x14ac:dyDescent="0.35">
      <c r="D39" t="s">
        <v>1127</v>
      </c>
      <c r="E39" t="s">
        <v>1127</v>
      </c>
    </row>
    <row r="40" spans="4:5" x14ac:dyDescent="0.35">
      <c r="D40" t="s">
        <v>1128</v>
      </c>
      <c r="E40" t="s">
        <v>1129</v>
      </c>
    </row>
    <row r="41" spans="4:5" x14ac:dyDescent="0.35">
      <c r="D41" t="s">
        <v>1130</v>
      </c>
      <c r="E41" t="s">
        <v>1130</v>
      </c>
    </row>
    <row r="42" spans="4:5" x14ac:dyDescent="0.35">
      <c r="D42" t="s">
        <v>1131</v>
      </c>
      <c r="E42" t="s">
        <v>1131</v>
      </c>
    </row>
    <row r="43" spans="4:5" x14ac:dyDescent="0.35">
      <c r="D43" t="s">
        <v>1126</v>
      </c>
      <c r="E43" t="s">
        <v>1126</v>
      </c>
    </row>
    <row r="44" spans="4:5" x14ac:dyDescent="0.35">
      <c r="D44" t="s">
        <v>1132</v>
      </c>
      <c r="E44" t="s">
        <v>1132</v>
      </c>
    </row>
    <row r="45" spans="4:5" x14ac:dyDescent="0.35">
      <c r="D45" t="s">
        <v>1133</v>
      </c>
      <c r="E45" t="s">
        <v>1133</v>
      </c>
    </row>
    <row r="46" spans="4:5" x14ac:dyDescent="0.35">
      <c r="D46" t="s">
        <v>1134</v>
      </c>
      <c r="E46" t="s">
        <v>1134</v>
      </c>
    </row>
    <row r="47" spans="4:5" x14ac:dyDescent="0.35">
      <c r="D47" t="s">
        <v>1135</v>
      </c>
      <c r="E47" t="s">
        <v>1136</v>
      </c>
    </row>
    <row r="48" spans="4:5" x14ac:dyDescent="0.35">
      <c r="D48" t="s">
        <v>1137</v>
      </c>
      <c r="E48" t="s">
        <v>1137</v>
      </c>
    </row>
    <row r="49" spans="4:5" x14ac:dyDescent="0.35">
      <c r="D49" t="s">
        <v>1138</v>
      </c>
      <c r="E49" t="s">
        <v>1139</v>
      </c>
    </row>
    <row r="50" spans="4:5" x14ac:dyDescent="0.35">
      <c r="D50" t="s">
        <v>1140</v>
      </c>
      <c r="E50" t="s">
        <v>1140</v>
      </c>
    </row>
    <row r="51" spans="4:5" x14ac:dyDescent="0.35">
      <c r="D51" t="s">
        <v>1141</v>
      </c>
      <c r="E51" t="s">
        <v>1141</v>
      </c>
    </row>
    <row r="52" spans="4:5" x14ac:dyDescent="0.35">
      <c r="D52" t="s">
        <v>1142</v>
      </c>
      <c r="E52" t="s">
        <v>1142</v>
      </c>
    </row>
    <row r="53" spans="4:5" x14ac:dyDescent="0.35">
      <c r="D53" t="s">
        <v>1136</v>
      </c>
      <c r="E53" t="s">
        <v>1136</v>
      </c>
    </row>
    <row r="54" spans="4:5" x14ac:dyDescent="0.35">
      <c r="D54" t="s">
        <v>1143</v>
      </c>
      <c r="E54" t="s">
        <v>1143</v>
      </c>
    </row>
    <row r="55" spans="4:5" x14ac:dyDescent="0.35">
      <c r="D55" t="s">
        <v>1144</v>
      </c>
      <c r="E55" t="s">
        <v>1144</v>
      </c>
    </row>
    <row r="56" spans="4:5" x14ac:dyDescent="0.35">
      <c r="D56" t="s">
        <v>1145</v>
      </c>
      <c r="E56" t="s">
        <v>1080</v>
      </c>
    </row>
    <row r="57" spans="4:5" x14ac:dyDescent="0.35">
      <c r="D57" t="s">
        <v>1129</v>
      </c>
      <c r="E57" t="s">
        <v>1129</v>
      </c>
    </row>
    <row r="58" spans="4:5" x14ac:dyDescent="0.35">
      <c r="D58" t="s">
        <v>1146</v>
      </c>
      <c r="E58" t="s">
        <v>1146</v>
      </c>
    </row>
    <row r="59" spans="4:5" x14ac:dyDescent="0.35">
      <c r="D59" t="s">
        <v>1147</v>
      </c>
      <c r="E59" t="s">
        <v>339</v>
      </c>
    </row>
  </sheetData>
  <pageMargins left="0.75" right="0.75" top="1" bottom="1" header="0.5" footer="0.5"/>
  <pageSetup paperSize="9"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GPU Lookup</vt:lpstr>
      <vt:lpstr>GPU 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Trần Duy Quang</cp:lastModifiedBy>
  <dcterms:created xsi:type="dcterms:W3CDTF">2026-05-11T09:14:21Z</dcterms:created>
  <dcterms:modified xsi:type="dcterms:W3CDTF">2026-06-01T11:25:01Z</dcterms:modified>
</cp:coreProperties>
</file>